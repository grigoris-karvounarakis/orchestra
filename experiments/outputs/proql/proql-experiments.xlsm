
<file path=[Content_Types].xml><?xml version="1.0" encoding="utf-8"?>
<Types xmlns="http://schemas.openxmlformats.org/package/2006/content-types">
  <Override PartName="/xl/chartsheets/sheet17.xml" ContentType="application/vnd.openxmlformats-officedocument.spreadsheetml.chartsheet+xml"/>
  <Override PartName="/xl/chartsheets/sheet24.xml" ContentType="application/vnd.openxmlformats-officedocument.spreadsheetml.chartsheet+xml"/>
  <Override PartName="/xl/styles.xml" ContentType="application/vnd.openxmlformats-officedocument.spreadsheetml.styles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39.xml" ContentType="application/vnd.openxmlformats-officedocument.drawing+xml"/>
  <Override PartName="/xl/chartsheets/sheet13.xml" ContentType="application/vnd.openxmlformats-officedocument.spreadsheetml.chartsheet+xml"/>
  <Override PartName="/xl/drawings/drawing17.xml" ContentType="application/vnd.openxmlformats-officedocument.drawing+xml"/>
  <Override PartName="/xl/drawings/drawing28.xml" ContentType="application/vnd.openxmlformats-officedocument.drawingml.chartshapes+xml"/>
  <Override PartName="/xl/drawings/drawing46.xml" ContentType="application/vnd.openxmlformats-officedocument.drawing+xml"/>
  <Default Extension="xml" ContentType="application/xml"/>
  <Override PartName="/xl/chartsheets/sheet20.xml" ContentType="application/vnd.openxmlformats-officedocument.spreadsheetml.chartsheet+xml"/>
  <Override PartName="/xl/drawings/drawing2.xml" ContentType="application/vnd.openxmlformats-officedocument.drawingml.chartshapes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chartsheets/sheet8.xml" ContentType="application/vnd.openxmlformats-officedocument.spreadsheetml.chartsheet+xml"/>
  <Override PartName="/xl/drawings/drawing13.xml" ContentType="application/vnd.openxmlformats-officedocument.drawing+xml"/>
  <Override PartName="/xl/drawings/drawing24.xml" ContentType="application/vnd.openxmlformats-officedocument.drawingml.chartshapes+xml"/>
  <Override PartName="/xl/drawings/drawing42.xml" ContentType="application/vnd.openxmlformats-officedocument.drawing+xml"/>
  <Override PartName="/xl/charts/chart27.xml" ContentType="application/vnd.openxmlformats-officedocument.drawingml.chart+xml"/>
  <Override PartName="/xl/chartsheets/sheet4.xml" ContentType="application/vnd.openxmlformats-officedocument.spreadsheetml.chartsheet+xml"/>
  <Override PartName="/xl/drawings/drawing20.xml" ContentType="application/vnd.openxmlformats-officedocument.drawingml.chartshapes+xml"/>
  <Override PartName="/xl/drawings/drawing31.xml" ContentType="application/vnd.openxmlformats-officedocument.drawing+xml"/>
  <Override PartName="/xl/charts/chart16.xml" ContentType="application/vnd.openxmlformats-officedocument.drawingml.chart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heets/sheet29.xml" ContentType="application/vnd.openxmlformats-officedocument.spreadsheetml.chartsheet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heets/sheet18.xml" ContentType="application/vnd.openxmlformats-officedocument.spreadsheetml.chartsheet+xml"/>
  <Override PartName="/xl/chartsheets/sheet27.xml" ContentType="application/vnd.openxmlformats-officedocument.spreadsheetml.chartsheet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heets/sheet16.xml" ContentType="application/vnd.openxmlformats-officedocument.spreadsheetml.chartsheet+xml"/>
  <Override PartName="/xl/chartsheets/sheet25.xml" ContentType="application/vnd.openxmlformats-officedocument.spreadsheetml.chartshee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chartsheets/sheet1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23.xml" ContentType="application/vnd.openxmlformats-officedocument.spreadsheetml.chartshee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18.xml" ContentType="application/vnd.openxmlformats-officedocument.drawingml.chartshapes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heets/sheet9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30.xml" ContentType="application/vnd.openxmlformats-officedocument.spreadsheetml.chart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ml.chartshapes+xml"/>
  <Override PartName="/xl/drawings/drawing25.xml" ContentType="application/vnd.openxmlformats-officedocument.drawing+xml"/>
  <Override PartName="/xl/drawings/drawing34.xml" ContentType="application/vnd.openxmlformats-officedocument.drawingml.chartshapes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10.xml" ContentType="application/vnd.openxmlformats-officedocument.spreadsheetml.chart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drawings/drawing23.xml" ContentType="application/vnd.openxmlformats-officedocument.drawing+xml"/>
  <Override PartName="/xl/drawings/drawing32.xml" ContentType="application/vnd.openxmlformats-officedocument.drawingml.chartshapes+xml"/>
  <Override PartName="/xl/charts/chart19.xml" ContentType="application/vnd.openxmlformats-officedocument.drawingml.chart+xml"/>
  <Override PartName="/xl/drawings/drawing41.xml" ContentType="application/vnd.openxmlformats-officedocument.drawing+xml"/>
  <Override PartName="/xl/charts/chart28.xml" ContentType="application/vnd.openxmlformats-officedocument.drawingml.chart+xml"/>
  <Override PartName="/xl/chartsheets/sheet5.xml" ContentType="application/vnd.openxmlformats-officedocument.spreadsheetml.chartsheet+xml"/>
  <Override PartName="/xl/queryTables/queryTable7.xml" ContentType="application/vnd.openxmlformats-officedocument.spreadsheetml.queryTable+xml"/>
  <Override PartName="/xl/drawings/drawing12.xml" ContentType="application/vnd.openxmlformats-officedocument.drawingml.chartshapes+xml"/>
  <Override PartName="/xl/drawings/drawing21.xml" ContentType="application/vnd.openxmlformats-officedocument.drawing+xml"/>
  <Override PartName="/xl/drawings/drawing30.xml" ContentType="application/vnd.openxmlformats-officedocument.drawingml.chartshape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chartsheets/sheet3.xml" ContentType="application/vnd.openxmlformats-officedocument.spreadsheetml.chartsheet+xml"/>
  <Override PartName="/xl/queryTables/queryTable5.xml" ContentType="application/vnd.openxmlformats-officedocument.spreadsheetml.queryTable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heets/sheet1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8.xml" ContentType="application/vnd.openxmlformats-officedocument.spreadsheetml.chartsheet+xml"/>
  <Override PartName="/xl/queryTables/queryTable3.xml" ContentType="application/vnd.openxmlformats-officedocument.spreadsheetml.queryTable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chartsheets/sheet26.xml" ContentType="application/vnd.openxmlformats-officedocument.spreadsheetml.chartsheet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drawings/drawing8.xml" ContentType="application/vnd.openxmlformats-officedocument.drawingml.chartshapes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chartsheets/sheet22.xml" ContentType="application/vnd.openxmlformats-officedocument.spreadsheetml.chart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heets/sheet11.xml" ContentType="application/vnd.openxmlformats-officedocument.spreadsheetml.chartsheet+xml"/>
  <Override PartName="/xl/drawings/drawing15.xml" ContentType="application/vnd.openxmlformats-officedocument.drawing+xml"/>
  <Override PartName="/xl/drawings/drawing26.xml" ContentType="application/vnd.openxmlformats-officedocument.drawingml.chartshapes+xml"/>
  <Override PartName="/xl/drawings/drawing44.xml" ContentType="application/vnd.openxmlformats-officedocument.drawingml.chartshapes+xml"/>
  <Override PartName="/xl/charts/chart29.xml" ContentType="application/vnd.openxmlformats-officedocument.drawingml.chart+xml"/>
  <Override PartName="/xl/chartsheets/sheet6.xml" ContentType="application/vnd.openxmlformats-officedocument.spreadsheetml.chartsheet+xml"/>
  <Override PartName="/xl/connections.xml" ContentType="application/vnd.openxmlformats-officedocument.spreadsheetml.connections+xml"/>
  <Override PartName="/xl/drawings/drawing22.xml" ContentType="application/vnd.openxmlformats-officedocument.drawingml.chartshapes+xml"/>
  <Override PartName="/xl/drawings/drawing33.xml" ContentType="application/vnd.openxmlformats-officedocument.drawing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charts/chart2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300" windowWidth="18732" windowHeight="11700" tabRatio="599" firstSheet="18" activeTab="20"/>
  </bookViews>
  <sheets>
    <sheet name="scale data at all peers" sheetId="86" r:id="rId1"/>
    <sheet name="scale vs peers" sheetId="1" r:id="rId2"/>
    <sheet name="scale vs data" sheetId="105" r:id="rId3"/>
    <sheet name="inner join lengths data" sheetId="87" r:id="rId4"/>
    <sheet name="join types data" sheetId="88" r:id="rId5"/>
    <sheet name="Chain modl1 scale vs peers" sheetId="55" r:id="rId6"/>
    <sheet name="Chain 8p scale vs modl" sheetId="104" r:id="rId7"/>
    <sheet name="Chain scale vs peers" sheetId="106" r:id="rId8"/>
    <sheet name="Chain scale vs data" sheetId="114" r:id="rId9"/>
    <sheet name="Branch scale vs peers" sheetId="108" r:id="rId10"/>
    <sheet name="4-ary lv scale vs peers rules" sheetId="111" r:id="rId11"/>
    <sheet name="Chain 30p lv+mid ijoin len rtq" sheetId="94" r:id="rId12"/>
    <sheet name="Chain 30p lv+mid ijoin len midq" sheetId="95" r:id="rId13"/>
    <sheet name="Branch 30p lv ijoin len rtq" sheetId="96" r:id="rId14"/>
    <sheet name="Branch 30p lv+mid ijoin len rtq" sheetId="97" r:id="rId15"/>
    <sheet name="Chain 8p modl2 all joins rtq" sheetId="103" r:id="rId16"/>
    <sheet name="Chain 8p modl2 all joins maint" sheetId="117" r:id="rId17"/>
    <sheet name="Chain 30p lv all joins rtqdash" sheetId="113" r:id="rId18"/>
    <sheet name="Chain 30p lv all joins maintime" sheetId="115" r:id="rId19"/>
    <sheet name="Chain 30p lv all joins instsize" sheetId="116" r:id="rId20"/>
    <sheet name="Branch 30p lv all joins rtqdash" sheetId="112" r:id="rId21"/>
    <sheet name="Branch 30p lv all joins maint" sheetId="118" r:id="rId22"/>
    <sheet name="4-ary 30p lv all joins rtq" sheetId="100" r:id="rId23"/>
    <sheet name="4-ary 30p lv all joins maint" sheetId="120" r:id="rId24"/>
    <sheet name="backup graphs" sheetId="107" r:id="rId25"/>
    <sheet name="Chain lv scale vs peers" sheetId="60" r:id="rId26"/>
    <sheet name="Chain lv+mid scale vs peers" sheetId="89" r:id="rId27"/>
    <sheet name="Branch lv scale vs peers" sheetId="90" r:id="rId28"/>
    <sheet name="Branch lv+mid scale vs peers" sheetId="91" r:id="rId29"/>
    <sheet name="4-ary lv+mid scale vs peers" sheetId="93" r:id="rId30"/>
    <sheet name="4-ary scale vs peers" sheetId="109" r:id="rId31"/>
    <sheet name="4-ary lv scale vs peers inst" sheetId="92" r:id="rId32"/>
    <sheet name="Branch 30p lv+mid all joins rtq" sheetId="99" r:id="rId33"/>
    <sheet name="4-ary 30p lv+mid all joins rtq" sheetId="101" r:id="rId34"/>
    <sheet name="Chain 30p lv ijoin length rtq" sheetId="67" r:id="rId35"/>
    <sheet name="Branch 30p lv all joins rtq" sheetId="98" r:id="rId36"/>
  </sheets>
  <definedNames>
    <definedName name="_10_noninc.log_1" localSheetId="3">'inner join lengths data'!#REF!</definedName>
    <definedName name="_10_noninc.log_1" localSheetId="4">'join types data'!#REF!</definedName>
    <definedName name="_10_noninc.log_1" localSheetId="0">'scale data at all peers'!#REF!</definedName>
    <definedName name="_10_noninc.log_1" localSheetId="2">'scale vs data'!#REF!</definedName>
    <definedName name="_10_noninc.log_1" localSheetId="1">'scale vs peers'!#REF!</definedName>
    <definedName name="_100p_dred.out" localSheetId="3">'inner join lengths data'!#REF!</definedName>
    <definedName name="_100p_dred.out" localSheetId="4">'join types data'!#REF!</definedName>
    <definedName name="_100p_dred.out" localSheetId="0">'scale data at all peers'!#REF!</definedName>
    <definedName name="_100p_dred.out" localSheetId="2">'scale vs data'!#REF!</definedName>
    <definedName name="_100p_dred.out" localSheetId="1">'scale vs peers'!#REF!</definedName>
    <definedName name="_100p_inc.out" localSheetId="3">'inner join lengths data'!#REF!</definedName>
    <definedName name="_100p_inc.out" localSheetId="4">'join types data'!#REF!</definedName>
    <definedName name="_100p_inc.out" localSheetId="0">'scale data at all peers'!#REF!</definedName>
    <definedName name="_100p_inc.out" localSheetId="2">'scale vs data'!#REF!</definedName>
    <definedName name="_100p_inc.out" localSheetId="1">'scale vs peers'!#REF!</definedName>
    <definedName name="_100p_noninc.out" localSheetId="3">'inner join lengths data'!#REF!</definedName>
    <definedName name="_100p_noninc.out" localSheetId="4">'join types data'!#REF!</definedName>
    <definedName name="_100p_noninc.out" localSheetId="0">'scale data at all peers'!#REF!</definedName>
    <definedName name="_100p_noninc.out" localSheetId="2">'scale vs data'!#REF!</definedName>
    <definedName name="_100p_noninc.out" localSheetId="1">'scale vs peers'!#REF!</definedName>
    <definedName name="_10p.log" localSheetId="3">'inner join lengths data'!#REF!</definedName>
    <definedName name="_10p.log" localSheetId="4">'join types data'!#REF!</definedName>
    <definedName name="_10p.log" localSheetId="0">'scale data at all peers'!$B$3:$C$127</definedName>
    <definedName name="_10p.log" localSheetId="2">'scale vs data'!#REF!</definedName>
    <definedName name="_10p.log" localSheetId="1">'scale vs peers'!#REF!</definedName>
    <definedName name="_10p_dred" localSheetId="3">'inner join lengths data'!#REF!</definedName>
    <definedName name="_10p_dred" localSheetId="4">'join types data'!#REF!</definedName>
    <definedName name="_10p_dred" localSheetId="0">'scale data at all peers'!#REF!</definedName>
    <definedName name="_10p_dred" localSheetId="2">'scale vs data'!#REF!</definedName>
    <definedName name="_10p_dred" localSheetId="1">'scale vs peers'!#REF!</definedName>
    <definedName name="_10p_dred.out" localSheetId="3">'inner join lengths data'!#REF!</definedName>
    <definedName name="_10p_dred.out" localSheetId="4">'join types data'!#REF!</definedName>
    <definedName name="_10p_dred.out" localSheetId="0">'scale data at all peers'!#REF!</definedName>
    <definedName name="_10p_dred.out" localSheetId="2">'scale vs data'!#REF!</definedName>
    <definedName name="_10p_dred.out" localSheetId="1">'scale vs peers'!#REF!</definedName>
    <definedName name="_10p_dred.out_1" localSheetId="3">'inner join lengths data'!#REF!</definedName>
    <definedName name="_10p_dred.out_1" localSheetId="4">'join types data'!#REF!</definedName>
    <definedName name="_10p_dred.out_1" localSheetId="0">'scale data at all peers'!#REF!</definedName>
    <definedName name="_10p_dred.out_1" localSheetId="2">'scale vs data'!#REF!</definedName>
    <definedName name="_10p_dred.out_1" localSheetId="1">'scale vs peers'!#REF!</definedName>
    <definedName name="_10p_inc.out" localSheetId="3">'inner join lengths data'!#REF!</definedName>
    <definedName name="_10p_inc.out" localSheetId="4">'join types data'!#REF!</definedName>
    <definedName name="_10p_inc.out" localSheetId="0">'scale data at all peers'!#REF!</definedName>
    <definedName name="_10p_inc.out" localSheetId="2">'scale vs data'!#REF!</definedName>
    <definedName name="_10p_inc.out" localSheetId="1">'scale vs peers'!#REF!</definedName>
    <definedName name="_10p_noninc.out" localSheetId="3">'inner join lengths data'!#REF!</definedName>
    <definedName name="_10p_noninc.out" localSheetId="4">'join types data'!#REF!</definedName>
    <definedName name="_10p_noninc.out" localSheetId="0">'scale data at all peers'!#REF!</definedName>
    <definedName name="_10p_noninc.out" localSheetId="2">'scale vs data'!#REF!</definedName>
    <definedName name="_10p_noninc.out" localSheetId="1">'scale vs peers'!#REF!</definedName>
    <definedName name="_10p_noninc.out__2" localSheetId="3">'inner join lengths data'!#REF!</definedName>
    <definedName name="_10p_noninc.out__2" localSheetId="4">'join types data'!#REF!</definedName>
    <definedName name="_10p_noninc.out__2" localSheetId="0">'scale data at all peers'!#REF!</definedName>
    <definedName name="_10p_noninc.out__2" localSheetId="2">'scale vs data'!#REF!</definedName>
    <definedName name="_10p_noninc.out__2" localSheetId="1">'scale vs peers'!#REF!</definedName>
    <definedName name="_20_noninc.log" localSheetId="3">'inner join lengths data'!#REF!</definedName>
    <definedName name="_20_noninc.log" localSheetId="4">'join types data'!#REF!</definedName>
    <definedName name="_20_noninc.log" localSheetId="0">'scale data at all peers'!#REF!</definedName>
    <definedName name="_20_noninc.log" localSheetId="2">'scale vs data'!#REF!</definedName>
    <definedName name="_20_noninc.log" localSheetId="1">'scale vs peers'!#REF!</definedName>
    <definedName name="_20_noninc.log_1" localSheetId="3">'inner join lengths data'!#REF!</definedName>
    <definedName name="_20_noninc.log_1" localSheetId="4">'join types data'!#REF!</definedName>
    <definedName name="_20_noninc.log_1" localSheetId="0">'scale data at all peers'!#REF!</definedName>
    <definedName name="_20_noninc.log_1" localSheetId="2">'scale vs data'!#REF!</definedName>
    <definedName name="_20_noninc.log_1" localSheetId="1">'scale vs peers'!#REF!</definedName>
    <definedName name="_20p.log" localSheetId="3">'inner join lengths data'!#REF!</definedName>
    <definedName name="_20p.log" localSheetId="4">'join types data'!#REF!</definedName>
    <definedName name="_20p.log" localSheetId="0">'scale data at all peers'!$C$3:$C$124</definedName>
    <definedName name="_20p.log" localSheetId="2">'scale vs data'!#REF!</definedName>
    <definedName name="_20p.log" localSheetId="1">'scale vs peers'!#REF!</definedName>
    <definedName name="_20p_dred.out" localSheetId="3">'inner join lengths data'!#REF!</definedName>
    <definedName name="_20p_dred.out" localSheetId="4">'join types data'!#REF!</definedName>
    <definedName name="_20p_dred.out" localSheetId="0">'scale data at all peers'!#REF!</definedName>
    <definedName name="_20p_dred.out" localSheetId="2">'scale vs data'!#REF!</definedName>
    <definedName name="_20p_dred.out" localSheetId="1">'scale vs peers'!#REF!</definedName>
    <definedName name="_20p_inc.out" localSheetId="3">'inner join lengths data'!#REF!</definedName>
    <definedName name="_20p_inc.out" localSheetId="4">'join types data'!#REF!</definedName>
    <definedName name="_20p_inc.out" localSheetId="0">'scale data at all peers'!#REF!</definedName>
    <definedName name="_20p_inc.out" localSheetId="2">'scale vs data'!#REF!</definedName>
    <definedName name="_20p_inc.out" localSheetId="1">'scale vs peers'!#REF!</definedName>
    <definedName name="_20p_noninc.out" localSheetId="3">'inner join lengths data'!#REF!</definedName>
    <definedName name="_20p_noninc.out" localSheetId="4">'join types data'!#REF!</definedName>
    <definedName name="_20p_noninc.out" localSheetId="0">'scale data at all peers'!#REF!</definedName>
    <definedName name="_20p_noninc.out" localSheetId="2">'scale vs data'!#REF!</definedName>
    <definedName name="_20p_noninc.out" localSheetId="1">'scale vs peers'!#REF!</definedName>
    <definedName name="_20p_noninc.out__2__1" localSheetId="3">'inner join lengths data'!#REF!</definedName>
    <definedName name="_20p_noninc.out__2__1" localSheetId="4">'join types data'!#REF!</definedName>
    <definedName name="_20p_noninc.out__2__1" localSheetId="0">'scale data at all peers'!#REF!</definedName>
    <definedName name="_20p_noninc.out__2__1" localSheetId="2">'scale vs data'!#REF!</definedName>
    <definedName name="_20p_noninc.out__2__1" localSheetId="1">'scale vs peers'!#REF!</definedName>
    <definedName name="_20p_noninc.out_1" localSheetId="3">'inner join lengths data'!#REF!</definedName>
    <definedName name="_20p_noninc.out_1" localSheetId="4">'join types data'!#REF!</definedName>
    <definedName name="_20p_noninc.out_1" localSheetId="0">'scale data at all peers'!#REF!</definedName>
    <definedName name="_20p_noninc.out_1" localSheetId="2">'scale vs data'!#REF!</definedName>
    <definedName name="_20p_noninc.out_1" localSheetId="1">'scale vs peers'!#REF!</definedName>
    <definedName name="_30_noninc.log" localSheetId="3">'inner join lengths data'!#REF!</definedName>
    <definedName name="_30_noninc.log" localSheetId="4">'join types data'!#REF!</definedName>
    <definedName name="_30_noninc.log" localSheetId="0">'scale data at all peers'!#REF!</definedName>
    <definedName name="_30_noninc.log" localSheetId="2">'scale vs data'!#REF!</definedName>
    <definedName name="_30_noninc.log" localSheetId="1">'scale vs peers'!#REF!</definedName>
    <definedName name="_30_noninc.log_1" localSheetId="3">'inner join lengths data'!#REF!</definedName>
    <definedName name="_30_noninc.log_1" localSheetId="4">'join types data'!#REF!</definedName>
    <definedName name="_30_noninc.log_1" localSheetId="0">'scale data at all peers'!#REF!</definedName>
    <definedName name="_30_noninc.log_1" localSheetId="2">'scale vs data'!#REF!</definedName>
    <definedName name="_30_noninc.log_1" localSheetId="1">'scale vs peers'!#REF!</definedName>
    <definedName name="_30p.log" localSheetId="3">'inner join lengths data'!#REF!</definedName>
    <definedName name="_30p.log" localSheetId="4">'join types data'!#REF!</definedName>
    <definedName name="_30p.log" localSheetId="0">'scale data at all peers'!$D$3:$D$124</definedName>
    <definedName name="_30p.log" localSheetId="2">'scale vs data'!#REF!</definedName>
    <definedName name="_30p.log" localSheetId="1">'scale vs peers'!#REF!</definedName>
    <definedName name="_30p_dred.out" localSheetId="3">'inner join lengths data'!#REF!</definedName>
    <definedName name="_30p_dred.out" localSheetId="4">'join types data'!#REF!</definedName>
    <definedName name="_30p_dred.out" localSheetId="0">'scale data at all peers'!#REF!</definedName>
    <definedName name="_30p_dred.out" localSheetId="2">'scale vs data'!#REF!</definedName>
    <definedName name="_30p_dred.out" localSheetId="1">'scale vs peers'!#REF!</definedName>
    <definedName name="_30p_inc.out" localSheetId="3">'inner join lengths data'!#REF!</definedName>
    <definedName name="_30p_inc.out" localSheetId="4">'join types data'!#REF!</definedName>
    <definedName name="_30p_inc.out" localSheetId="0">'scale data at all peers'!#REF!</definedName>
    <definedName name="_30p_inc.out" localSheetId="2">'scale vs data'!#REF!</definedName>
    <definedName name="_30p_inc.out" localSheetId="1">'scale vs peers'!#REF!</definedName>
    <definedName name="_30p_noninc.out" localSheetId="3">'inner join lengths data'!#REF!</definedName>
    <definedName name="_30p_noninc.out" localSheetId="4">'join types data'!#REF!</definedName>
    <definedName name="_30p_noninc.out" localSheetId="0">'scale data at all peers'!#REF!</definedName>
    <definedName name="_30p_noninc.out" localSheetId="2">'scale vs data'!#REF!</definedName>
    <definedName name="_30p_noninc.out" localSheetId="1">'scale vs peers'!#REF!</definedName>
    <definedName name="_30p_noninc.out__2" localSheetId="3">'inner join lengths data'!#REF!</definedName>
    <definedName name="_30p_noninc.out__2" localSheetId="4">'join types data'!#REF!</definedName>
    <definedName name="_30p_noninc.out__2" localSheetId="0">'scale data at all peers'!#REF!</definedName>
    <definedName name="_30p_noninc.out__2" localSheetId="2">'scale vs data'!#REF!</definedName>
    <definedName name="_30p_noninc.out__2" localSheetId="1">'scale vs peers'!#REF!</definedName>
    <definedName name="_40p.log" localSheetId="3">'inner join lengths data'!#REF!</definedName>
    <definedName name="_40p.log" localSheetId="4">'join types data'!#REF!</definedName>
    <definedName name="_40p.log" localSheetId="0">'scale data at all peers'!$E$3:$E$124</definedName>
    <definedName name="_40p.log" localSheetId="2">'scale vs data'!#REF!</definedName>
    <definedName name="_40p.log" localSheetId="1">'scale vs peers'!#REF!</definedName>
    <definedName name="_40p_dred.out" localSheetId="3">'inner join lengths data'!#REF!</definedName>
    <definedName name="_40p_dred.out" localSheetId="4">'join types data'!#REF!</definedName>
    <definedName name="_40p_dred.out" localSheetId="0">'scale data at all peers'!#REF!</definedName>
    <definedName name="_40p_dred.out" localSheetId="2">'scale vs data'!#REF!</definedName>
    <definedName name="_40p_dred.out" localSheetId="1">'scale vs peers'!#REF!</definedName>
    <definedName name="_40p_inc.out" localSheetId="3">'inner join lengths data'!#REF!</definedName>
    <definedName name="_40p_inc.out" localSheetId="4">'join types data'!#REF!</definedName>
    <definedName name="_40p_inc.out" localSheetId="0">'scale data at all peers'!#REF!</definedName>
    <definedName name="_40p_inc.out" localSheetId="2">'scale vs data'!#REF!</definedName>
    <definedName name="_40p_inc.out" localSheetId="1">'scale vs peers'!#REF!</definedName>
    <definedName name="_40p_noninc.out" localSheetId="3">'inner join lengths data'!#REF!</definedName>
    <definedName name="_40p_noninc.out" localSheetId="4">'join types data'!#REF!</definedName>
    <definedName name="_40p_noninc.out" localSheetId="0">'scale data at all peers'!#REF!</definedName>
    <definedName name="_40p_noninc.out" localSheetId="2">'scale vs data'!#REF!</definedName>
    <definedName name="_40p_noninc.out" localSheetId="1">'scale vs peers'!#REF!</definedName>
    <definedName name="_40p_noninc.out__2" localSheetId="3">'inner join lengths data'!#REF!</definedName>
    <definedName name="_40p_noninc.out__2" localSheetId="4">'join types data'!#REF!</definedName>
    <definedName name="_40p_noninc.out__2" localSheetId="0">'scale data at all peers'!#REF!</definedName>
    <definedName name="_40p_noninc.out__2" localSheetId="2">'scale vs data'!#REF!</definedName>
    <definedName name="_40p_noninc.out__2" localSheetId="1">'scale vs peers'!#REF!</definedName>
    <definedName name="_50_noninc.log" localSheetId="3">'inner join lengths data'!#REF!</definedName>
    <definedName name="_50_noninc.log" localSheetId="4">'join types data'!#REF!</definedName>
    <definedName name="_50_noninc.log" localSheetId="0">'scale data at all peers'!#REF!</definedName>
    <definedName name="_50_noninc.log" localSheetId="2">'scale vs data'!#REF!</definedName>
    <definedName name="_50_noninc.log" localSheetId="1">'scale vs peers'!#REF!</definedName>
    <definedName name="_50_noninc.log_1" localSheetId="3">'inner join lengths data'!#REF!</definedName>
    <definedName name="_50_noninc.log_1" localSheetId="4">'join types data'!#REF!</definedName>
    <definedName name="_50_noninc.log_1" localSheetId="0">'scale data at all peers'!#REF!</definedName>
    <definedName name="_50_noninc.log_1" localSheetId="2">'scale vs data'!#REF!</definedName>
    <definedName name="_50_noninc.log_1" localSheetId="1">'scale vs peers'!#REF!</definedName>
    <definedName name="_50p.log" localSheetId="3">'inner join lengths data'!#REF!</definedName>
    <definedName name="_50p.log" localSheetId="4">'join types data'!#REF!</definedName>
    <definedName name="_50p.log" localSheetId="0">'scale data at all peers'!$F$3:$F$124</definedName>
    <definedName name="_50p.log" localSheetId="2">'scale vs data'!#REF!</definedName>
    <definedName name="_50p.log" localSheetId="1">'scale vs peers'!#REF!</definedName>
    <definedName name="_50p_dred.out" localSheetId="3">'inner join lengths data'!#REF!</definedName>
    <definedName name="_50p_dred.out" localSheetId="4">'join types data'!#REF!</definedName>
    <definedName name="_50p_dred.out" localSheetId="0">'scale data at all peers'!#REF!</definedName>
    <definedName name="_50p_dred.out" localSheetId="2">'scale vs data'!#REF!</definedName>
    <definedName name="_50p_dred.out" localSheetId="1">'scale vs peers'!#REF!</definedName>
    <definedName name="_50p_inc.out" localSheetId="3">'inner join lengths data'!#REF!</definedName>
    <definedName name="_50p_inc.out" localSheetId="4">'join types data'!#REF!</definedName>
    <definedName name="_50p_inc.out" localSheetId="0">'scale data at all peers'!#REF!</definedName>
    <definedName name="_50p_inc.out" localSheetId="2">'scale vs data'!#REF!</definedName>
    <definedName name="_50p_inc.out" localSheetId="1">'scale vs peers'!#REF!</definedName>
    <definedName name="_50p_noninc.out" localSheetId="3">'inner join lengths data'!#REF!</definedName>
    <definedName name="_50p_noninc.out" localSheetId="4">'join types data'!#REF!</definedName>
    <definedName name="_50p_noninc.out" localSheetId="0">'scale data at all peers'!#REF!</definedName>
    <definedName name="_50p_noninc.out" localSheetId="2">'scale vs data'!#REF!</definedName>
    <definedName name="_50p_noninc.out" localSheetId="1">'scale vs peers'!#REF!</definedName>
    <definedName name="_50p_noninc.out__2" localSheetId="3">'inner join lengths data'!#REF!</definedName>
    <definedName name="_50p_noninc.out__2" localSheetId="4">'join types data'!#REF!</definedName>
    <definedName name="_50p_noninc.out__2" localSheetId="0">'scale data at all peers'!#REF!</definedName>
    <definedName name="_50p_noninc.out__2" localSheetId="2">'scale vs data'!#REF!</definedName>
    <definedName name="_50p_noninc.out__2" localSheetId="1">'scale vs peers'!#REF!</definedName>
    <definedName name="_50p_noninc.out_1" localSheetId="3">'inner join lengths data'!#REF!</definedName>
    <definedName name="_50p_noninc.out_1" localSheetId="4">'join types data'!#REF!</definedName>
    <definedName name="_50p_noninc.out_1" localSheetId="0">'scale data at all peers'!#REF!</definedName>
    <definedName name="_50p_noninc.out_1" localSheetId="2">'scale vs data'!#REF!</definedName>
    <definedName name="_50p_noninc.out_1" localSheetId="1">'scale vs peers'!#REF!</definedName>
    <definedName name="_60p.log" localSheetId="3">'inner join lengths data'!#REF!</definedName>
    <definedName name="_60p.log" localSheetId="4">'join types data'!#REF!</definedName>
    <definedName name="_60p.log" localSheetId="0">'scale data at all peers'!$G$3:$G$124</definedName>
    <definedName name="_60p.log" localSheetId="2">'scale vs data'!#REF!</definedName>
    <definedName name="_60p.log" localSheetId="1">'scale vs peers'!#REF!</definedName>
    <definedName name="_60p_dred.out" localSheetId="3">'inner join lengths data'!#REF!</definedName>
    <definedName name="_60p_dred.out" localSheetId="4">'join types data'!#REF!</definedName>
    <definedName name="_60p_dred.out" localSheetId="0">'scale data at all peers'!#REF!</definedName>
    <definedName name="_60p_dred.out" localSheetId="2">'scale vs data'!#REF!</definedName>
    <definedName name="_60p_dred.out" localSheetId="1">'scale vs peers'!#REF!</definedName>
    <definedName name="_60p_inc.out" localSheetId="3">'inner join lengths data'!#REF!</definedName>
    <definedName name="_60p_inc.out" localSheetId="4">'join types data'!#REF!</definedName>
    <definedName name="_60p_inc.out" localSheetId="0">'scale data at all peers'!#REF!</definedName>
    <definedName name="_60p_inc.out" localSheetId="2">'scale vs data'!#REF!</definedName>
    <definedName name="_60p_inc.out" localSheetId="1">'scale vs peers'!#REF!</definedName>
    <definedName name="_60p_noninc.out" localSheetId="3">'inner join lengths data'!#REF!</definedName>
    <definedName name="_60p_noninc.out" localSheetId="4">'join types data'!#REF!</definedName>
    <definedName name="_60p_noninc.out" localSheetId="0">'scale data at all peers'!#REF!</definedName>
    <definedName name="_60p_noninc.out" localSheetId="2">'scale vs data'!#REF!</definedName>
    <definedName name="_60p_noninc.out" localSheetId="1">'scale vs peers'!#REF!</definedName>
    <definedName name="_60p_noninc.out__2" localSheetId="3">'inner join lengths data'!#REF!</definedName>
    <definedName name="_60p_noninc.out__2" localSheetId="4">'join types data'!#REF!</definedName>
    <definedName name="_60p_noninc.out__2" localSheetId="0">'scale data at all peers'!#REF!</definedName>
    <definedName name="_60p_noninc.out__2" localSheetId="2">'scale vs data'!#REF!</definedName>
    <definedName name="_60p_noninc.out__2" localSheetId="1">'scale vs peers'!#REF!</definedName>
    <definedName name="_70_noninc.log" localSheetId="3">'inner join lengths data'!#REF!</definedName>
    <definedName name="_70_noninc.log" localSheetId="4">'join types data'!#REF!</definedName>
    <definedName name="_70_noninc.log" localSheetId="0">'scale data at all peers'!#REF!</definedName>
    <definedName name="_70_noninc.log" localSheetId="2">'scale vs data'!#REF!</definedName>
    <definedName name="_70_noninc.log" localSheetId="1">'scale vs peers'!#REF!</definedName>
    <definedName name="_70p.log" localSheetId="3">'inner join lengths data'!#REF!</definedName>
    <definedName name="_70p.log" localSheetId="4">'join types data'!#REF!</definedName>
    <definedName name="_70p.log" localSheetId="0">'scale data at all peers'!$K$1:$K$128</definedName>
    <definedName name="_70p.log" localSheetId="2">'scale vs data'!#REF!</definedName>
    <definedName name="_70p.log" localSheetId="1">'scale vs peers'!#REF!</definedName>
    <definedName name="_70p_dred.out" localSheetId="3">'inner join lengths data'!#REF!</definedName>
    <definedName name="_70p_dred.out" localSheetId="4">'join types data'!#REF!</definedName>
    <definedName name="_70p_dred.out" localSheetId="0">'scale data at all peers'!#REF!</definedName>
    <definedName name="_70p_dred.out" localSheetId="2">'scale vs data'!#REF!</definedName>
    <definedName name="_70p_dred.out" localSheetId="1">'scale vs peers'!#REF!</definedName>
    <definedName name="_70p_inc.out" localSheetId="3">'inner join lengths data'!#REF!</definedName>
    <definedName name="_70p_inc.out" localSheetId="4">'join types data'!#REF!</definedName>
    <definedName name="_70p_inc.out" localSheetId="0">'scale data at all peers'!#REF!</definedName>
    <definedName name="_70p_inc.out" localSheetId="2">'scale vs data'!#REF!</definedName>
    <definedName name="_70p_inc.out" localSheetId="1">'scale vs peers'!#REF!</definedName>
    <definedName name="_70p_noninc.out" localSheetId="3">'inner join lengths data'!#REF!</definedName>
    <definedName name="_70p_noninc.out" localSheetId="4">'join types data'!#REF!</definedName>
    <definedName name="_70p_noninc.out" localSheetId="0">'scale data at all peers'!#REF!</definedName>
    <definedName name="_70p_noninc.out" localSheetId="2">'scale vs data'!#REF!</definedName>
    <definedName name="_70p_noninc.out" localSheetId="1">'scale vs peers'!#REF!</definedName>
    <definedName name="_70p_noninc.out__2" localSheetId="3">'inner join lengths data'!#REF!</definedName>
    <definedName name="_70p_noninc.out__2" localSheetId="4">'join types data'!#REF!</definedName>
    <definedName name="_70p_noninc.out__2" localSheetId="0">'scale data at all peers'!#REF!</definedName>
    <definedName name="_70p_noninc.out__2" localSheetId="2">'scale vs data'!#REF!</definedName>
    <definedName name="_70p_noninc.out__2" localSheetId="1">'scale vs peers'!#REF!</definedName>
    <definedName name="_80p_dred.out" localSheetId="3">'inner join lengths data'!#REF!</definedName>
    <definedName name="_80p_dred.out" localSheetId="4">'join types data'!#REF!</definedName>
    <definedName name="_80p_dred.out" localSheetId="0">'scale data at all peers'!#REF!</definedName>
    <definedName name="_80p_dred.out" localSheetId="2">'scale vs data'!#REF!</definedName>
    <definedName name="_80p_dred.out" localSheetId="1">'scale vs peers'!#REF!</definedName>
    <definedName name="_80p_inc.out" localSheetId="3">'inner join lengths data'!#REF!</definedName>
    <definedName name="_80p_inc.out" localSheetId="4">'join types data'!#REF!</definedName>
    <definedName name="_80p_inc.out" localSheetId="0">'scale data at all peers'!#REF!</definedName>
    <definedName name="_80p_inc.out" localSheetId="2">'scale vs data'!#REF!</definedName>
    <definedName name="_80p_inc.out" localSheetId="1">'scale vs peers'!#REF!</definedName>
    <definedName name="_80p_noninc.out" localSheetId="3">'inner join lengths data'!#REF!</definedName>
    <definedName name="_80p_noninc.out" localSheetId="4">'join types data'!#REF!</definedName>
    <definedName name="_80p_noninc.out" localSheetId="0">'scale data at all peers'!#REF!</definedName>
    <definedName name="_80p_noninc.out" localSheetId="2">'scale vs data'!#REF!</definedName>
    <definedName name="_80p_noninc.out" localSheetId="1">'scale vs peers'!#REF!</definedName>
    <definedName name="_90p_dred.out" localSheetId="3">'inner join lengths data'!#REF!</definedName>
    <definedName name="_90p_dred.out" localSheetId="4">'join types data'!#REF!</definedName>
    <definedName name="_90p_dred.out" localSheetId="0">'scale data at all peers'!#REF!</definedName>
    <definedName name="_90p_dred.out" localSheetId="2">'scale vs data'!#REF!</definedName>
    <definedName name="_90p_dred.out" localSheetId="1">'scale vs peers'!#REF!</definedName>
    <definedName name="_90p_inc.out" localSheetId="3">'inner join lengths data'!#REF!</definedName>
    <definedName name="_90p_inc.out" localSheetId="4">'join types data'!#REF!</definedName>
    <definedName name="_90p_inc.out" localSheetId="0">'scale data at all peers'!#REF!</definedName>
    <definedName name="_90p_inc.out" localSheetId="2">'scale vs data'!#REF!</definedName>
    <definedName name="_90p_inc.out" localSheetId="1">'scale vs peers'!#REF!</definedName>
    <definedName name="_90p_noninc.out" localSheetId="3">'inner join lengths data'!#REF!</definedName>
    <definedName name="_90p_noninc.out" localSheetId="4">'join types data'!#REF!</definedName>
    <definedName name="_90p_noninc.out" localSheetId="0">'scale data at all peers'!#REF!</definedName>
    <definedName name="_90p_noninc.out" localSheetId="2">'scale vs data'!#REF!</definedName>
    <definedName name="_90p_noninc.out" localSheetId="1">'scale vs peers'!#REF!</definedName>
    <definedName name="_90p_noninc.out__2" localSheetId="3">'inner join lengths data'!#REF!</definedName>
    <definedName name="_90p_noninc.out__2" localSheetId="4">'join types data'!#REF!</definedName>
    <definedName name="_90p_noninc.out__2" localSheetId="0">'scale data at all peers'!#REF!</definedName>
    <definedName name="_90p_noninc.out__2" localSheetId="2">'scale vs data'!#REF!</definedName>
    <definedName name="_90p_noninc.out__2" localSheetId="1">'scale vs peers'!#REF!</definedName>
  </definedNames>
  <calcPr calcId="125725"/>
</workbook>
</file>

<file path=xl/calcChain.xml><?xml version="1.0" encoding="utf-8"?>
<calcChain xmlns="http://schemas.openxmlformats.org/spreadsheetml/2006/main">
  <c r="F32" i="88"/>
  <c r="AI121"/>
  <c r="AI122"/>
  <c r="AI123"/>
  <c r="AI114"/>
  <c r="AI115"/>
  <c r="AI116"/>
  <c r="AI117"/>
  <c r="AI118"/>
  <c r="AI119"/>
  <c r="AI120"/>
  <c r="U121"/>
  <c r="U122"/>
  <c r="U123"/>
  <c r="AW121"/>
  <c r="AW122"/>
  <c r="AW123"/>
  <c r="AV121"/>
  <c r="AV122"/>
  <c r="AV123"/>
  <c r="G121"/>
  <c r="G122"/>
  <c r="G123" s="1"/>
  <c r="AN79"/>
  <c r="AO79"/>
  <c r="AP79"/>
  <c r="AN80"/>
  <c r="AN85" s="1"/>
  <c r="AO80"/>
  <c r="AP80"/>
  <c r="AP85" s="1"/>
  <c r="AN81"/>
  <c r="AO81"/>
  <c r="AP81"/>
  <c r="AN82"/>
  <c r="AO82"/>
  <c r="AP82"/>
  <c r="AN83"/>
  <c r="AO83"/>
  <c r="AP83"/>
  <c r="AN84"/>
  <c r="AO84"/>
  <c r="AP84"/>
  <c r="AO78"/>
  <c r="AP78"/>
  <c r="AN78"/>
  <c r="P39" i="86"/>
  <c r="P46" s="1"/>
  <c r="P47" s="1"/>
  <c r="Q39"/>
  <c r="R39"/>
  <c r="R46" s="1"/>
  <c r="R47" s="1"/>
  <c r="S39"/>
  <c r="P40"/>
  <c r="Q40"/>
  <c r="R40"/>
  <c r="S40"/>
  <c r="P41"/>
  <c r="Q41"/>
  <c r="R41"/>
  <c r="S41"/>
  <c r="P42"/>
  <c r="Q42"/>
  <c r="R42"/>
  <c r="S42"/>
  <c r="P43"/>
  <c r="Q43"/>
  <c r="R43"/>
  <c r="S43"/>
  <c r="P44"/>
  <c r="Q44"/>
  <c r="R44"/>
  <c r="S44"/>
  <c r="Q38"/>
  <c r="R38"/>
  <c r="S38"/>
  <c r="P38"/>
  <c r="P22"/>
  <c r="Q22"/>
  <c r="R22"/>
  <c r="S22"/>
  <c r="P23"/>
  <c r="Q23"/>
  <c r="R23"/>
  <c r="S23"/>
  <c r="P24"/>
  <c r="Q24"/>
  <c r="R24"/>
  <c r="S24"/>
  <c r="P25"/>
  <c r="Q25"/>
  <c r="R25"/>
  <c r="S25"/>
  <c r="P26"/>
  <c r="Q26"/>
  <c r="R26"/>
  <c r="S26"/>
  <c r="P27"/>
  <c r="Q27"/>
  <c r="R27"/>
  <c r="S27"/>
  <c r="Q21"/>
  <c r="R21"/>
  <c r="S21"/>
  <c r="P21"/>
  <c r="S46"/>
  <c r="S47" s="1"/>
  <c r="Q46"/>
  <c r="Q47" s="1"/>
  <c r="L46"/>
  <c r="L47" s="1"/>
  <c r="K46"/>
  <c r="K47" s="1"/>
  <c r="J46"/>
  <c r="J47" s="1"/>
  <c r="I46"/>
  <c r="I47" s="1"/>
  <c r="S45"/>
  <c r="Q45"/>
  <c r="L45"/>
  <c r="K45"/>
  <c r="J45"/>
  <c r="I45"/>
  <c r="S29"/>
  <c r="S30" s="1"/>
  <c r="R29"/>
  <c r="R30" s="1"/>
  <c r="Q29"/>
  <c r="Q30" s="1"/>
  <c r="P29"/>
  <c r="P30" s="1"/>
  <c r="S28"/>
  <c r="R28"/>
  <c r="Q28"/>
  <c r="P28"/>
  <c r="L29"/>
  <c r="L30" s="1"/>
  <c r="K29"/>
  <c r="K30" s="1"/>
  <c r="J29"/>
  <c r="J30" s="1"/>
  <c r="I29"/>
  <c r="I30" s="1"/>
  <c r="L28"/>
  <c r="K28"/>
  <c r="J28"/>
  <c r="I28"/>
  <c r="E29"/>
  <c r="E30" s="1"/>
  <c r="D29"/>
  <c r="D30" s="1"/>
  <c r="C29"/>
  <c r="C30" s="1"/>
  <c r="B29"/>
  <c r="B30" s="1"/>
  <c r="E28"/>
  <c r="D28"/>
  <c r="C28"/>
  <c r="B28"/>
  <c r="AH114" i="88"/>
  <c r="AH115"/>
  <c r="AH116"/>
  <c r="AH117"/>
  <c r="AH118"/>
  <c r="AH119"/>
  <c r="AH120"/>
  <c r="AH121"/>
  <c r="AH122"/>
  <c r="AH123"/>
  <c r="AH132"/>
  <c r="AH139" s="1"/>
  <c r="AH133"/>
  <c r="AH134"/>
  <c r="AH135"/>
  <c r="AH136"/>
  <c r="AH137"/>
  <c r="AH138"/>
  <c r="AH140"/>
  <c r="AH141" s="1"/>
  <c r="T121"/>
  <c r="T122"/>
  <c r="T123"/>
  <c r="F121"/>
  <c r="F122"/>
  <c r="F123"/>
  <c r="T139"/>
  <c r="T140"/>
  <c r="T141" s="1"/>
  <c r="F139"/>
  <c r="F140"/>
  <c r="F141" s="1"/>
  <c r="B99" i="87"/>
  <c r="BD86" i="88"/>
  <c r="BD87" s="1"/>
  <c r="BC86"/>
  <c r="BC87" s="1"/>
  <c r="BB86"/>
  <c r="BB87" s="1"/>
  <c r="BA86"/>
  <c r="BA87" s="1"/>
  <c r="AZ86"/>
  <c r="AZ87" s="1"/>
  <c r="AY86"/>
  <c r="AY87" s="1"/>
  <c r="AX86"/>
  <c r="AX87" s="1"/>
  <c r="AW86"/>
  <c r="AW87" s="1"/>
  <c r="AV86"/>
  <c r="AV87" s="1"/>
  <c r="AU86"/>
  <c r="AU87" s="1"/>
  <c r="AT86"/>
  <c r="AT87" s="1"/>
  <c r="AS86"/>
  <c r="AS87" s="1"/>
  <c r="AR86"/>
  <c r="AR87" s="1"/>
  <c r="BD85"/>
  <c r="BC85"/>
  <c r="BB85"/>
  <c r="BA85"/>
  <c r="AZ85"/>
  <c r="AY85"/>
  <c r="AX85"/>
  <c r="AW85"/>
  <c r="AV85"/>
  <c r="AU85"/>
  <c r="AT85"/>
  <c r="AS85"/>
  <c r="AR85"/>
  <c r="BD68"/>
  <c r="BD69" s="1"/>
  <c r="BC68"/>
  <c r="BC69" s="1"/>
  <c r="BB68"/>
  <c r="BB69" s="1"/>
  <c r="BA68"/>
  <c r="BA69" s="1"/>
  <c r="AZ68"/>
  <c r="AZ69" s="1"/>
  <c r="AY68"/>
  <c r="AY69" s="1"/>
  <c r="AX68"/>
  <c r="AX69" s="1"/>
  <c r="AW68"/>
  <c r="AW69" s="1"/>
  <c r="AV68"/>
  <c r="AV69" s="1"/>
  <c r="AU68"/>
  <c r="AU69" s="1"/>
  <c r="AT68"/>
  <c r="AT69" s="1"/>
  <c r="AS68"/>
  <c r="AS69" s="1"/>
  <c r="AR68"/>
  <c r="AR69" s="1"/>
  <c r="BD67"/>
  <c r="BC67"/>
  <c r="BB67"/>
  <c r="BA67"/>
  <c r="AZ67"/>
  <c r="AY67"/>
  <c r="AX67"/>
  <c r="AW67"/>
  <c r="AV67"/>
  <c r="AU67"/>
  <c r="AT67"/>
  <c r="AS67"/>
  <c r="AR67"/>
  <c r="BD51"/>
  <c r="BD52" s="1"/>
  <c r="BC51"/>
  <c r="BC52" s="1"/>
  <c r="BB51"/>
  <c r="BB52" s="1"/>
  <c r="BA51"/>
  <c r="BA52" s="1"/>
  <c r="AZ51"/>
  <c r="AZ52" s="1"/>
  <c r="AY51"/>
  <c r="AY52" s="1"/>
  <c r="AX51"/>
  <c r="AX52" s="1"/>
  <c r="AW51"/>
  <c r="AW52" s="1"/>
  <c r="AV51"/>
  <c r="AV52" s="1"/>
  <c r="AU51"/>
  <c r="AU52" s="1"/>
  <c r="AT51"/>
  <c r="AT52" s="1"/>
  <c r="AS51"/>
  <c r="AS52" s="1"/>
  <c r="AR51"/>
  <c r="AR52" s="1"/>
  <c r="BD50"/>
  <c r="BC50"/>
  <c r="BB50"/>
  <c r="BA50"/>
  <c r="AZ50"/>
  <c r="AY50"/>
  <c r="AX50"/>
  <c r="AW50"/>
  <c r="AV50"/>
  <c r="AU50"/>
  <c r="AT50"/>
  <c r="AS50"/>
  <c r="AR50"/>
  <c r="BC34"/>
  <c r="AY34"/>
  <c r="AU34"/>
  <c r="BD33"/>
  <c r="BD34" s="1"/>
  <c r="BC33"/>
  <c r="BB33"/>
  <c r="BB34" s="1"/>
  <c r="BA33"/>
  <c r="BA34" s="1"/>
  <c r="AZ33"/>
  <c r="AZ34" s="1"/>
  <c r="AY33"/>
  <c r="AX33"/>
  <c r="AX34" s="1"/>
  <c r="AW33"/>
  <c r="AW34" s="1"/>
  <c r="AV33"/>
  <c r="AV34" s="1"/>
  <c r="AU33"/>
  <c r="AT33"/>
  <c r="AT34" s="1"/>
  <c r="AS33"/>
  <c r="AS34" s="1"/>
  <c r="AR33"/>
  <c r="AR34" s="1"/>
  <c r="BD32"/>
  <c r="BC32"/>
  <c r="BB32"/>
  <c r="BA32"/>
  <c r="AZ32"/>
  <c r="AY32"/>
  <c r="AX32"/>
  <c r="AW32"/>
  <c r="AV32"/>
  <c r="AU32"/>
  <c r="AT32"/>
  <c r="AS32"/>
  <c r="AR32"/>
  <c r="BB14"/>
  <c r="BC14"/>
  <c r="BD14"/>
  <c r="BB15"/>
  <c r="BB16" s="1"/>
  <c r="BC15"/>
  <c r="BC16" s="1"/>
  <c r="BD15"/>
  <c r="BD16"/>
  <c r="AP13"/>
  <c r="AO13"/>
  <c r="AN13"/>
  <c r="AP12"/>
  <c r="AO12"/>
  <c r="AN12"/>
  <c r="AP11"/>
  <c r="AO11"/>
  <c r="AN11"/>
  <c r="AP10"/>
  <c r="AO10"/>
  <c r="AN10"/>
  <c r="AP9"/>
  <c r="AO9"/>
  <c r="AN9"/>
  <c r="AP8"/>
  <c r="AP15" s="1"/>
  <c r="AP16" s="1"/>
  <c r="AO8"/>
  <c r="AN8"/>
  <c r="AP7"/>
  <c r="AO7"/>
  <c r="AO14" s="1"/>
  <c r="AN7"/>
  <c r="AP103"/>
  <c r="AP104" s="1"/>
  <c r="AO103"/>
  <c r="AO104" s="1"/>
  <c r="AN103"/>
  <c r="AN104" s="1"/>
  <c r="AP102"/>
  <c r="AO102"/>
  <c r="AN102"/>
  <c r="AP86"/>
  <c r="AP87" s="1"/>
  <c r="AN86"/>
  <c r="AN87" s="1"/>
  <c r="AP66"/>
  <c r="AO66"/>
  <c r="AN66"/>
  <c r="AP65"/>
  <c r="AO65"/>
  <c r="AN65"/>
  <c r="AP64"/>
  <c r="AO64"/>
  <c r="AN64"/>
  <c r="AP63"/>
  <c r="AO63"/>
  <c r="AN63"/>
  <c r="AP62"/>
  <c r="AO62"/>
  <c r="AN62"/>
  <c r="AP61"/>
  <c r="AO61"/>
  <c r="AO68" s="1"/>
  <c r="AO69" s="1"/>
  <c r="AN61"/>
  <c r="AP60"/>
  <c r="AP67" s="1"/>
  <c r="AO60"/>
  <c r="AN60"/>
  <c r="AN67" s="1"/>
  <c r="AP49"/>
  <c r="AO49"/>
  <c r="AN49"/>
  <c r="AP48"/>
  <c r="AO48"/>
  <c r="AN48"/>
  <c r="AP47"/>
  <c r="AO47"/>
  <c r="AN47"/>
  <c r="AP46"/>
  <c r="AO46"/>
  <c r="AN46"/>
  <c r="AP45"/>
  <c r="AO45"/>
  <c r="AN45"/>
  <c r="AP44"/>
  <c r="AP51" s="1"/>
  <c r="AP52" s="1"/>
  <c r="AO44"/>
  <c r="AN44"/>
  <c r="AN51" s="1"/>
  <c r="AN52" s="1"/>
  <c r="AP43"/>
  <c r="AO43"/>
  <c r="AO50" s="1"/>
  <c r="AN43"/>
  <c r="AP31"/>
  <c r="AO31"/>
  <c r="AN31"/>
  <c r="AP30"/>
  <c r="AO30"/>
  <c r="AN30"/>
  <c r="AP29"/>
  <c r="AO29"/>
  <c r="AN29"/>
  <c r="AP28"/>
  <c r="AO28"/>
  <c r="AN28"/>
  <c r="AP27"/>
  <c r="AO27"/>
  <c r="AN27"/>
  <c r="AP26"/>
  <c r="AO26"/>
  <c r="AO33" s="1"/>
  <c r="AO34" s="1"/>
  <c r="AN26"/>
  <c r="AP25"/>
  <c r="AO25"/>
  <c r="AN25"/>
  <c r="AN15"/>
  <c r="AN16" s="1"/>
  <c r="AB103"/>
  <c r="AB104" s="1"/>
  <c r="AA103"/>
  <c r="AA104" s="1"/>
  <c r="Z103"/>
  <c r="Z104" s="1"/>
  <c r="AB102"/>
  <c r="AA102"/>
  <c r="Z102"/>
  <c r="AB86"/>
  <c r="AB87" s="1"/>
  <c r="AA86"/>
  <c r="AA87" s="1"/>
  <c r="Z86"/>
  <c r="Z87" s="1"/>
  <c r="AB85"/>
  <c r="AA85"/>
  <c r="Z85"/>
  <c r="AB68"/>
  <c r="AB69" s="1"/>
  <c r="AA68"/>
  <c r="AA69" s="1"/>
  <c r="Z68"/>
  <c r="Z69" s="1"/>
  <c r="AB67"/>
  <c r="AA67"/>
  <c r="Z67"/>
  <c r="AB51"/>
  <c r="AB52" s="1"/>
  <c r="AA51"/>
  <c r="AA52" s="1"/>
  <c r="Z51"/>
  <c r="Z52" s="1"/>
  <c r="AB50"/>
  <c r="AA50"/>
  <c r="Z50"/>
  <c r="AB33"/>
  <c r="AB34" s="1"/>
  <c r="AA33"/>
  <c r="AA34" s="1"/>
  <c r="Z33"/>
  <c r="Z34" s="1"/>
  <c r="AB32"/>
  <c r="AA32"/>
  <c r="Z32"/>
  <c r="AB15"/>
  <c r="AB16" s="1"/>
  <c r="AA15"/>
  <c r="AA16" s="1"/>
  <c r="Z15"/>
  <c r="Z16" s="1"/>
  <c r="AB14"/>
  <c r="AA14"/>
  <c r="Z14"/>
  <c r="N103"/>
  <c r="N104" s="1"/>
  <c r="M103"/>
  <c r="M104" s="1"/>
  <c r="L103"/>
  <c r="L104" s="1"/>
  <c r="N102"/>
  <c r="M102"/>
  <c r="L102"/>
  <c r="N86"/>
  <c r="N87" s="1"/>
  <c r="M86"/>
  <c r="M87" s="1"/>
  <c r="L86"/>
  <c r="L87" s="1"/>
  <c r="N85"/>
  <c r="M85"/>
  <c r="L85"/>
  <c r="L69"/>
  <c r="N68"/>
  <c r="N69" s="1"/>
  <c r="M68"/>
  <c r="M69" s="1"/>
  <c r="L68"/>
  <c r="N67"/>
  <c r="M67"/>
  <c r="L67"/>
  <c r="N51"/>
  <c r="N52" s="1"/>
  <c r="M51"/>
  <c r="M52" s="1"/>
  <c r="L51"/>
  <c r="L52" s="1"/>
  <c r="N50"/>
  <c r="M50"/>
  <c r="L50"/>
  <c r="L34"/>
  <c r="N33"/>
  <c r="N34" s="1"/>
  <c r="M33"/>
  <c r="M34" s="1"/>
  <c r="L33"/>
  <c r="N32"/>
  <c r="M32"/>
  <c r="L32"/>
  <c r="N15"/>
  <c r="N16" s="1"/>
  <c r="M15"/>
  <c r="M16" s="1"/>
  <c r="L15"/>
  <c r="L16" s="1"/>
  <c r="N14"/>
  <c r="M14"/>
  <c r="L14"/>
  <c r="B32"/>
  <c r="I13" i="105"/>
  <c r="J13"/>
  <c r="K13"/>
  <c r="L13"/>
  <c r="I14"/>
  <c r="J14"/>
  <c r="J15" s="1"/>
  <c r="K14"/>
  <c r="K15" s="1"/>
  <c r="L14"/>
  <c r="L15" s="1"/>
  <c r="I15"/>
  <c r="I31"/>
  <c r="J31"/>
  <c r="K31"/>
  <c r="L31"/>
  <c r="I32"/>
  <c r="I33" s="1"/>
  <c r="J32"/>
  <c r="J33" s="1"/>
  <c r="K32"/>
  <c r="K33" s="1"/>
  <c r="L32"/>
  <c r="L33" s="1"/>
  <c r="X32"/>
  <c r="X33" s="1"/>
  <c r="W32"/>
  <c r="W33" s="1"/>
  <c r="V32"/>
  <c r="V33" s="1"/>
  <c r="U32"/>
  <c r="U33" s="1"/>
  <c r="T32"/>
  <c r="T33" s="1"/>
  <c r="H32"/>
  <c r="H33" s="1"/>
  <c r="F32"/>
  <c r="F33" s="1"/>
  <c r="E32"/>
  <c r="E33" s="1"/>
  <c r="D32"/>
  <c r="D33" s="1"/>
  <c r="C32"/>
  <c r="C33" s="1"/>
  <c r="B32"/>
  <c r="B33" s="1"/>
  <c r="X31"/>
  <c r="W31"/>
  <c r="V31"/>
  <c r="U31"/>
  <c r="T31"/>
  <c r="H31"/>
  <c r="F31"/>
  <c r="E31"/>
  <c r="D31"/>
  <c r="C31"/>
  <c r="B31"/>
  <c r="R30"/>
  <c r="Q30"/>
  <c r="P30"/>
  <c r="O30"/>
  <c r="N30"/>
  <c r="R29"/>
  <c r="Q29"/>
  <c r="P29"/>
  <c r="O29"/>
  <c r="N29"/>
  <c r="R28"/>
  <c r="Q28"/>
  <c r="P28"/>
  <c r="O28"/>
  <c r="N28"/>
  <c r="R27"/>
  <c r="Q27"/>
  <c r="P27"/>
  <c r="O27"/>
  <c r="N27"/>
  <c r="R26"/>
  <c r="Q26"/>
  <c r="P26"/>
  <c r="O26"/>
  <c r="N26"/>
  <c r="R25"/>
  <c r="Q25"/>
  <c r="P25"/>
  <c r="O25"/>
  <c r="N25"/>
  <c r="R24"/>
  <c r="Q24"/>
  <c r="P24"/>
  <c r="O24"/>
  <c r="N24"/>
  <c r="X14"/>
  <c r="X15" s="1"/>
  <c r="W14"/>
  <c r="W15" s="1"/>
  <c r="V14"/>
  <c r="V15" s="1"/>
  <c r="U14"/>
  <c r="U15" s="1"/>
  <c r="T14"/>
  <c r="T15" s="1"/>
  <c r="H14"/>
  <c r="H15" s="1"/>
  <c r="F14"/>
  <c r="F15" s="1"/>
  <c r="E14"/>
  <c r="E15" s="1"/>
  <c r="D14"/>
  <c r="D15" s="1"/>
  <c r="C14"/>
  <c r="C15" s="1"/>
  <c r="B14"/>
  <c r="B15" s="1"/>
  <c r="X13"/>
  <c r="W13"/>
  <c r="V13"/>
  <c r="U13"/>
  <c r="T13"/>
  <c r="H13"/>
  <c r="F13"/>
  <c r="E13"/>
  <c r="D13"/>
  <c r="C13"/>
  <c r="B13"/>
  <c r="R12"/>
  <c r="Q12"/>
  <c r="P12"/>
  <c r="O12"/>
  <c r="N12"/>
  <c r="R11"/>
  <c r="Q11"/>
  <c r="P11"/>
  <c r="O11"/>
  <c r="N11"/>
  <c r="R10"/>
  <c r="Q10"/>
  <c r="P10"/>
  <c r="O10"/>
  <c r="N10"/>
  <c r="R9"/>
  <c r="Q9"/>
  <c r="P9"/>
  <c r="O9"/>
  <c r="N9"/>
  <c r="R8"/>
  <c r="Q8"/>
  <c r="P8"/>
  <c r="O8"/>
  <c r="N8"/>
  <c r="R7"/>
  <c r="Q7"/>
  <c r="P7"/>
  <c r="O7"/>
  <c r="N7"/>
  <c r="R6"/>
  <c r="Q6"/>
  <c r="P6"/>
  <c r="O6"/>
  <c r="N6"/>
  <c r="C14" i="88"/>
  <c r="D14"/>
  <c r="E14"/>
  <c r="B14"/>
  <c r="BA15"/>
  <c r="BA16" s="1"/>
  <c r="AZ15"/>
  <c r="AZ16" s="1"/>
  <c r="AY15"/>
  <c r="AY16" s="1"/>
  <c r="AX15"/>
  <c r="AX16" s="1"/>
  <c r="AW15"/>
  <c r="AW16" s="1"/>
  <c r="AV15"/>
  <c r="AV16" s="1"/>
  <c r="AU15"/>
  <c r="AU16" s="1"/>
  <c r="AT15"/>
  <c r="AT16" s="1"/>
  <c r="AS15"/>
  <c r="AS16" s="1"/>
  <c r="AR15"/>
  <c r="AR16" s="1"/>
  <c r="Y15"/>
  <c r="Y16" s="1"/>
  <c r="X15"/>
  <c r="X16" s="1"/>
  <c r="W15"/>
  <c r="W16" s="1"/>
  <c r="V15"/>
  <c r="V16" s="1"/>
  <c r="U15"/>
  <c r="U16" s="1"/>
  <c r="T15"/>
  <c r="T16" s="1"/>
  <c r="S15"/>
  <c r="S16" s="1"/>
  <c r="R15"/>
  <c r="R16" s="1"/>
  <c r="Q15"/>
  <c r="Q16" s="1"/>
  <c r="P15"/>
  <c r="P16" s="1"/>
  <c r="K15"/>
  <c r="K16" s="1"/>
  <c r="J15"/>
  <c r="J16" s="1"/>
  <c r="I15"/>
  <c r="I16" s="1"/>
  <c r="H15"/>
  <c r="H16" s="1"/>
  <c r="G15"/>
  <c r="G16" s="1"/>
  <c r="F15"/>
  <c r="F16" s="1"/>
  <c r="E15"/>
  <c r="E16" s="1"/>
  <c r="D15"/>
  <c r="D16" s="1"/>
  <c r="C15"/>
  <c r="C16" s="1"/>
  <c r="B15"/>
  <c r="B16" s="1"/>
  <c r="BA14"/>
  <c r="AZ14"/>
  <c r="AY14"/>
  <c r="AX14"/>
  <c r="AW14"/>
  <c r="AV14"/>
  <c r="AU14"/>
  <c r="AT14"/>
  <c r="AS14"/>
  <c r="AR14"/>
  <c r="Y14"/>
  <c r="X14"/>
  <c r="W14"/>
  <c r="V14"/>
  <c r="U14"/>
  <c r="T14"/>
  <c r="S14"/>
  <c r="R14"/>
  <c r="Q14"/>
  <c r="P14"/>
  <c r="K14"/>
  <c r="J14"/>
  <c r="I14"/>
  <c r="H14"/>
  <c r="G14"/>
  <c r="F14"/>
  <c r="AM13"/>
  <c r="AL13"/>
  <c r="AK13"/>
  <c r="AJ13"/>
  <c r="AI13"/>
  <c r="AH13"/>
  <c r="AG13"/>
  <c r="AF13"/>
  <c r="AE13"/>
  <c r="AD13"/>
  <c r="AM12"/>
  <c r="AL12"/>
  <c r="AK12"/>
  <c r="AJ12"/>
  <c r="AI12"/>
  <c r="AH12"/>
  <c r="AG12"/>
  <c r="AF12"/>
  <c r="AE12"/>
  <c r="AD12"/>
  <c r="AM11"/>
  <c r="AL11"/>
  <c r="AK11"/>
  <c r="AJ11"/>
  <c r="AI11"/>
  <c r="AH11"/>
  <c r="AG11"/>
  <c r="AF11"/>
  <c r="AE11"/>
  <c r="AD11"/>
  <c r="AM10"/>
  <c r="AL10"/>
  <c r="AK10"/>
  <c r="AJ10"/>
  <c r="AI10"/>
  <c r="AH10"/>
  <c r="AG10"/>
  <c r="AF10"/>
  <c r="AE10"/>
  <c r="AD10"/>
  <c r="AM9"/>
  <c r="AL9"/>
  <c r="AK9"/>
  <c r="AJ9"/>
  <c r="AI9"/>
  <c r="AH9"/>
  <c r="AG9"/>
  <c r="AF9"/>
  <c r="AE9"/>
  <c r="AD9"/>
  <c r="AM8"/>
  <c r="AM15" s="1"/>
  <c r="AM16" s="1"/>
  <c r="AL8"/>
  <c r="AL15" s="1"/>
  <c r="AL16" s="1"/>
  <c r="AK8"/>
  <c r="AK15" s="1"/>
  <c r="AK16" s="1"/>
  <c r="AJ8"/>
  <c r="AJ15" s="1"/>
  <c r="AJ16" s="1"/>
  <c r="AI8"/>
  <c r="AI15" s="1"/>
  <c r="AI16" s="1"/>
  <c r="AH8"/>
  <c r="AH15" s="1"/>
  <c r="AH16" s="1"/>
  <c r="AG8"/>
  <c r="AG15" s="1"/>
  <c r="AG16" s="1"/>
  <c r="AF8"/>
  <c r="AF15" s="1"/>
  <c r="AF16" s="1"/>
  <c r="AE8"/>
  <c r="AE15" s="1"/>
  <c r="AE16" s="1"/>
  <c r="AD8"/>
  <c r="AD15" s="1"/>
  <c r="AD16" s="1"/>
  <c r="AM7"/>
  <c r="AM14" s="1"/>
  <c r="AL7"/>
  <c r="AL14" s="1"/>
  <c r="AK7"/>
  <c r="AK14" s="1"/>
  <c r="AJ7"/>
  <c r="AJ14" s="1"/>
  <c r="AI7"/>
  <c r="AI14" s="1"/>
  <c r="AH7"/>
  <c r="AH14" s="1"/>
  <c r="AG7"/>
  <c r="AG14" s="1"/>
  <c r="AF7"/>
  <c r="AF14" s="1"/>
  <c r="AE7"/>
  <c r="AE14" s="1"/>
  <c r="AD7"/>
  <c r="AD14" s="1"/>
  <c r="H102"/>
  <c r="Y51"/>
  <c r="Y52" s="1"/>
  <c r="X51"/>
  <c r="X52" s="1"/>
  <c r="W51"/>
  <c r="W52" s="1"/>
  <c r="V51"/>
  <c r="V52" s="1"/>
  <c r="U51"/>
  <c r="U52" s="1"/>
  <c r="T51"/>
  <c r="T52" s="1"/>
  <c r="S51"/>
  <c r="S52" s="1"/>
  <c r="R51"/>
  <c r="R52" s="1"/>
  <c r="Q51"/>
  <c r="Q52" s="1"/>
  <c r="P51"/>
  <c r="P52" s="1"/>
  <c r="K51"/>
  <c r="K52" s="1"/>
  <c r="J51"/>
  <c r="J52" s="1"/>
  <c r="I51"/>
  <c r="I52" s="1"/>
  <c r="H51"/>
  <c r="H52" s="1"/>
  <c r="G51"/>
  <c r="G52" s="1"/>
  <c r="F51"/>
  <c r="F52" s="1"/>
  <c r="E51"/>
  <c r="E52" s="1"/>
  <c r="D51"/>
  <c r="D52" s="1"/>
  <c r="C51"/>
  <c r="C52" s="1"/>
  <c r="B51"/>
  <c r="B52" s="1"/>
  <c r="Y50"/>
  <c r="X50"/>
  <c r="W50"/>
  <c r="V50"/>
  <c r="U50"/>
  <c r="T50"/>
  <c r="S50"/>
  <c r="R50"/>
  <c r="Q50"/>
  <c r="P50"/>
  <c r="K50"/>
  <c r="J50"/>
  <c r="I50"/>
  <c r="H50"/>
  <c r="G50"/>
  <c r="F50"/>
  <c r="E50"/>
  <c r="D50"/>
  <c r="C50"/>
  <c r="B50"/>
  <c r="AM49"/>
  <c r="AL49"/>
  <c r="AK49"/>
  <c r="AJ49"/>
  <c r="AI49"/>
  <c r="AH49"/>
  <c r="AG49"/>
  <c r="AF49"/>
  <c r="AE49"/>
  <c r="AD49"/>
  <c r="AM48"/>
  <c r="AL48"/>
  <c r="AK48"/>
  <c r="AJ48"/>
  <c r="AI48"/>
  <c r="AH48"/>
  <c r="AG48"/>
  <c r="AF48"/>
  <c r="AE48"/>
  <c r="AD48"/>
  <c r="AM47"/>
  <c r="AL47"/>
  <c r="AK47"/>
  <c r="AJ47"/>
  <c r="AI47"/>
  <c r="AH47"/>
  <c r="AG47"/>
  <c r="AF47"/>
  <c r="AE47"/>
  <c r="AD47"/>
  <c r="AM46"/>
  <c r="AL46"/>
  <c r="AK46"/>
  <c r="AJ46"/>
  <c r="AI46"/>
  <c r="AH46"/>
  <c r="AG46"/>
  <c r="AF46"/>
  <c r="AE46"/>
  <c r="AD46"/>
  <c r="AM45"/>
  <c r="AL45"/>
  <c r="AK45"/>
  <c r="AJ45"/>
  <c r="AI45"/>
  <c r="AH45"/>
  <c r="AG45"/>
  <c r="AF45"/>
  <c r="AE45"/>
  <c r="AD45"/>
  <c r="AM44"/>
  <c r="AM51" s="1"/>
  <c r="AM52" s="1"/>
  <c r="AL44"/>
  <c r="AL51" s="1"/>
  <c r="AL52" s="1"/>
  <c r="AK44"/>
  <c r="AK51" s="1"/>
  <c r="AK52" s="1"/>
  <c r="AJ44"/>
  <c r="AJ51" s="1"/>
  <c r="AJ52" s="1"/>
  <c r="AI44"/>
  <c r="AI51" s="1"/>
  <c r="AI52" s="1"/>
  <c r="AH44"/>
  <c r="AH51" s="1"/>
  <c r="AH52" s="1"/>
  <c r="AG44"/>
  <c r="AG51" s="1"/>
  <c r="AG52" s="1"/>
  <c r="AF44"/>
  <c r="AF51" s="1"/>
  <c r="AF52" s="1"/>
  <c r="AE44"/>
  <c r="AE51" s="1"/>
  <c r="AE52" s="1"/>
  <c r="AD44"/>
  <c r="AD51" s="1"/>
  <c r="AD52" s="1"/>
  <c r="AM43"/>
  <c r="AM50" s="1"/>
  <c r="AL43"/>
  <c r="AL50" s="1"/>
  <c r="AK43"/>
  <c r="AK50" s="1"/>
  <c r="AJ43"/>
  <c r="AJ50" s="1"/>
  <c r="AI43"/>
  <c r="AI50" s="1"/>
  <c r="AH43"/>
  <c r="AH50" s="1"/>
  <c r="AG43"/>
  <c r="AG50" s="1"/>
  <c r="AF43"/>
  <c r="AF50" s="1"/>
  <c r="AE43"/>
  <c r="AE50" s="1"/>
  <c r="AD43"/>
  <c r="AD50" s="1"/>
  <c r="Y68"/>
  <c r="Y69" s="1"/>
  <c r="X68"/>
  <c r="X69" s="1"/>
  <c r="W68"/>
  <c r="W69" s="1"/>
  <c r="V68"/>
  <c r="V69" s="1"/>
  <c r="U68"/>
  <c r="U69" s="1"/>
  <c r="T68"/>
  <c r="T69" s="1"/>
  <c r="S68"/>
  <c r="S69" s="1"/>
  <c r="R68"/>
  <c r="R69" s="1"/>
  <c r="Q68"/>
  <c r="Q69" s="1"/>
  <c r="P68"/>
  <c r="P69" s="1"/>
  <c r="K68"/>
  <c r="K69" s="1"/>
  <c r="J68"/>
  <c r="J69" s="1"/>
  <c r="I68"/>
  <c r="I69" s="1"/>
  <c r="H68"/>
  <c r="H69" s="1"/>
  <c r="G68"/>
  <c r="G69" s="1"/>
  <c r="F68"/>
  <c r="F69" s="1"/>
  <c r="E68"/>
  <c r="E69" s="1"/>
  <c r="D68"/>
  <c r="D69" s="1"/>
  <c r="C68"/>
  <c r="C69" s="1"/>
  <c r="B68"/>
  <c r="B69" s="1"/>
  <c r="Y67"/>
  <c r="X67"/>
  <c r="W67"/>
  <c r="V67"/>
  <c r="U67"/>
  <c r="T67"/>
  <c r="S67"/>
  <c r="R67"/>
  <c r="Q67"/>
  <c r="P67"/>
  <c r="K67"/>
  <c r="J67"/>
  <c r="I67"/>
  <c r="H67"/>
  <c r="G67"/>
  <c r="F67"/>
  <c r="E67"/>
  <c r="D67"/>
  <c r="C67"/>
  <c r="B67"/>
  <c r="AM66"/>
  <c r="AL66"/>
  <c r="AK66"/>
  <c r="AJ66"/>
  <c r="AI66"/>
  <c r="AH66"/>
  <c r="AG66"/>
  <c r="AF66"/>
  <c r="AE66"/>
  <c r="AD66"/>
  <c r="AM65"/>
  <c r="AL65"/>
  <c r="AK65"/>
  <c r="AJ65"/>
  <c r="AI65"/>
  <c r="AH65"/>
  <c r="AG65"/>
  <c r="AF65"/>
  <c r="AE65"/>
  <c r="AD65"/>
  <c r="AM64"/>
  <c r="AL64"/>
  <c r="AK64"/>
  <c r="AJ64"/>
  <c r="AI64"/>
  <c r="AH64"/>
  <c r="AG64"/>
  <c r="AF64"/>
  <c r="AE64"/>
  <c r="AD64"/>
  <c r="AM63"/>
  <c r="AL63"/>
  <c r="AK63"/>
  <c r="AJ63"/>
  <c r="AI63"/>
  <c r="AH63"/>
  <c r="AG63"/>
  <c r="AF63"/>
  <c r="AE63"/>
  <c r="AD63"/>
  <c r="AM62"/>
  <c r="AL62"/>
  <c r="AK62"/>
  <c r="AJ62"/>
  <c r="AI62"/>
  <c r="AH62"/>
  <c r="AG62"/>
  <c r="AF62"/>
  <c r="AE62"/>
  <c r="AD62"/>
  <c r="AM61"/>
  <c r="AM68" s="1"/>
  <c r="AM69" s="1"/>
  <c r="AL61"/>
  <c r="AL68" s="1"/>
  <c r="AL69" s="1"/>
  <c r="AK61"/>
  <c r="AK68" s="1"/>
  <c r="AK69" s="1"/>
  <c r="AJ61"/>
  <c r="AJ68" s="1"/>
  <c r="AJ69" s="1"/>
  <c r="AI61"/>
  <c r="AI68" s="1"/>
  <c r="AI69" s="1"/>
  <c r="AH61"/>
  <c r="AH68" s="1"/>
  <c r="AH69" s="1"/>
  <c r="AG61"/>
  <c r="AG68" s="1"/>
  <c r="AG69" s="1"/>
  <c r="AF61"/>
  <c r="AF68" s="1"/>
  <c r="AF69" s="1"/>
  <c r="AE61"/>
  <c r="AE68" s="1"/>
  <c r="AE69" s="1"/>
  <c r="AD61"/>
  <c r="AD68" s="1"/>
  <c r="AD69" s="1"/>
  <c r="AM60"/>
  <c r="AM67" s="1"/>
  <c r="AL60"/>
  <c r="AL67" s="1"/>
  <c r="AK60"/>
  <c r="AK67" s="1"/>
  <c r="AJ60"/>
  <c r="AJ67" s="1"/>
  <c r="AI60"/>
  <c r="AI67" s="1"/>
  <c r="AH60"/>
  <c r="AH67" s="1"/>
  <c r="AG60"/>
  <c r="AG67" s="1"/>
  <c r="AF60"/>
  <c r="AF67" s="1"/>
  <c r="AE60"/>
  <c r="AE67" s="1"/>
  <c r="AD60"/>
  <c r="AD67" s="1"/>
  <c r="Y33"/>
  <c r="Y34" s="1"/>
  <c r="X33"/>
  <c r="X34" s="1"/>
  <c r="W33"/>
  <c r="W34" s="1"/>
  <c r="V33"/>
  <c r="V34" s="1"/>
  <c r="U33"/>
  <c r="U34" s="1"/>
  <c r="T33"/>
  <c r="T34" s="1"/>
  <c r="S33"/>
  <c r="S34" s="1"/>
  <c r="R33"/>
  <c r="R34" s="1"/>
  <c r="Q33"/>
  <c r="Q34" s="1"/>
  <c r="P33"/>
  <c r="P34" s="1"/>
  <c r="K33"/>
  <c r="K34" s="1"/>
  <c r="J33"/>
  <c r="J34" s="1"/>
  <c r="I33"/>
  <c r="I34" s="1"/>
  <c r="H33"/>
  <c r="H34" s="1"/>
  <c r="G33"/>
  <c r="G34" s="1"/>
  <c r="F33"/>
  <c r="F34" s="1"/>
  <c r="E33"/>
  <c r="E34" s="1"/>
  <c r="D33"/>
  <c r="D34" s="1"/>
  <c r="C33"/>
  <c r="C34" s="1"/>
  <c r="B33"/>
  <c r="B34" s="1"/>
  <c r="Y32"/>
  <c r="X32"/>
  <c r="W32"/>
  <c r="V32"/>
  <c r="U32"/>
  <c r="T32"/>
  <c r="S32"/>
  <c r="R32"/>
  <c r="Q32"/>
  <c r="P32"/>
  <c r="K32"/>
  <c r="J32"/>
  <c r="I32"/>
  <c r="H32"/>
  <c r="G32"/>
  <c r="E32"/>
  <c r="D32"/>
  <c r="C32"/>
  <c r="AM31"/>
  <c r="AL31"/>
  <c r="AK31"/>
  <c r="AJ31"/>
  <c r="AI31"/>
  <c r="AH31"/>
  <c r="AG31"/>
  <c r="AF31"/>
  <c r="AE31"/>
  <c r="AD31"/>
  <c r="AM30"/>
  <c r="AL30"/>
  <c r="AK30"/>
  <c r="AJ30"/>
  <c r="AI30"/>
  <c r="AH30"/>
  <c r="AG30"/>
  <c r="AF30"/>
  <c r="AE30"/>
  <c r="AD30"/>
  <c r="AM29"/>
  <c r="AL29"/>
  <c r="AK29"/>
  <c r="AJ29"/>
  <c r="AI29"/>
  <c r="AH29"/>
  <c r="AG29"/>
  <c r="AF29"/>
  <c r="AE29"/>
  <c r="AD29"/>
  <c r="AM28"/>
  <c r="AL28"/>
  <c r="AK28"/>
  <c r="AJ28"/>
  <c r="AI28"/>
  <c r="AH28"/>
  <c r="AG28"/>
  <c r="AF28"/>
  <c r="AE28"/>
  <c r="AD28"/>
  <c r="AM27"/>
  <c r="AL27"/>
  <c r="AK27"/>
  <c r="AJ27"/>
  <c r="AI27"/>
  <c r="AH27"/>
  <c r="AG27"/>
  <c r="AF27"/>
  <c r="AE27"/>
  <c r="AD27"/>
  <c r="AM26"/>
  <c r="AM33" s="1"/>
  <c r="AM34" s="1"/>
  <c r="AL26"/>
  <c r="AL33" s="1"/>
  <c r="AL34" s="1"/>
  <c r="AK26"/>
  <c r="AK33" s="1"/>
  <c r="AK34" s="1"/>
  <c r="AJ26"/>
  <c r="AJ33" s="1"/>
  <c r="AJ34" s="1"/>
  <c r="AI26"/>
  <c r="AI33" s="1"/>
  <c r="AI34" s="1"/>
  <c r="AH26"/>
  <c r="AH33" s="1"/>
  <c r="AH34" s="1"/>
  <c r="AG26"/>
  <c r="AG33" s="1"/>
  <c r="AG34" s="1"/>
  <c r="AF26"/>
  <c r="AF33" s="1"/>
  <c r="AF34" s="1"/>
  <c r="AE26"/>
  <c r="AE33" s="1"/>
  <c r="AE34" s="1"/>
  <c r="AD26"/>
  <c r="AD33" s="1"/>
  <c r="AD34" s="1"/>
  <c r="AM25"/>
  <c r="AM32" s="1"/>
  <c r="AL25"/>
  <c r="AL32" s="1"/>
  <c r="AK25"/>
  <c r="AK32" s="1"/>
  <c r="AJ25"/>
  <c r="AJ32" s="1"/>
  <c r="AI25"/>
  <c r="AI32" s="1"/>
  <c r="AH25"/>
  <c r="AH32" s="1"/>
  <c r="AG25"/>
  <c r="AG32" s="1"/>
  <c r="AF25"/>
  <c r="AF32" s="1"/>
  <c r="AE25"/>
  <c r="AD25"/>
  <c r="AD32" s="1"/>
  <c r="Q11" i="1"/>
  <c r="AA68"/>
  <c r="AB68"/>
  <c r="AS139" i="88"/>
  <c r="AT139"/>
  <c r="AU139"/>
  <c r="AS140"/>
  <c r="AT140"/>
  <c r="AT141" s="1"/>
  <c r="AU140"/>
  <c r="AS141"/>
  <c r="AU141"/>
  <c r="AD133"/>
  <c r="AD140" s="1"/>
  <c r="AD141" s="1"/>
  <c r="AE133"/>
  <c r="AF133"/>
  <c r="AG133"/>
  <c r="AD134"/>
  <c r="AE134"/>
  <c r="AF134"/>
  <c r="AG134"/>
  <c r="AD135"/>
  <c r="AE135"/>
  <c r="AF135"/>
  <c r="AG135"/>
  <c r="AD136"/>
  <c r="AE136"/>
  <c r="AF136"/>
  <c r="AG136"/>
  <c r="AD137"/>
  <c r="AE137"/>
  <c r="AF137"/>
  <c r="AG137"/>
  <c r="AD138"/>
  <c r="AE138"/>
  <c r="AF138"/>
  <c r="AG138"/>
  <c r="AE132"/>
  <c r="AF132"/>
  <c r="AG132"/>
  <c r="AG139" s="1"/>
  <c r="C139"/>
  <c r="AD96"/>
  <c r="AE96"/>
  <c r="AF96"/>
  <c r="AG96"/>
  <c r="AH96"/>
  <c r="AI96"/>
  <c r="AJ96"/>
  <c r="AK96"/>
  <c r="AL96"/>
  <c r="AM96"/>
  <c r="AD97"/>
  <c r="AE97"/>
  <c r="AF97"/>
  <c r="AG97"/>
  <c r="AH97"/>
  <c r="AI97"/>
  <c r="AJ97"/>
  <c r="AK97"/>
  <c r="AL97"/>
  <c r="AM97"/>
  <c r="AD98"/>
  <c r="AE98"/>
  <c r="AF98"/>
  <c r="AG98"/>
  <c r="AH98"/>
  <c r="AI98"/>
  <c r="AJ98"/>
  <c r="AK98"/>
  <c r="AL98"/>
  <c r="AM98"/>
  <c r="AD99"/>
  <c r="AE99"/>
  <c r="AF99"/>
  <c r="AG99"/>
  <c r="AH99"/>
  <c r="AI99"/>
  <c r="AJ99"/>
  <c r="AK99"/>
  <c r="AL99"/>
  <c r="AM99"/>
  <c r="AD100"/>
  <c r="AE100"/>
  <c r="AF100"/>
  <c r="AG100"/>
  <c r="AH100"/>
  <c r="AI100"/>
  <c r="AJ100"/>
  <c r="AK100"/>
  <c r="AL100"/>
  <c r="AM100"/>
  <c r="AD101"/>
  <c r="AE101"/>
  <c r="AF101"/>
  <c r="AG101"/>
  <c r="AH101"/>
  <c r="AI101"/>
  <c r="AJ101"/>
  <c r="AK101"/>
  <c r="AL101"/>
  <c r="AM101"/>
  <c r="AE95"/>
  <c r="AE102" s="1"/>
  <c r="AF95"/>
  <c r="AG95"/>
  <c r="AG102" s="1"/>
  <c r="AH95"/>
  <c r="AI95"/>
  <c r="AI102" s="1"/>
  <c r="AJ95"/>
  <c r="AK95"/>
  <c r="AK102" s="1"/>
  <c r="AL95"/>
  <c r="AM95"/>
  <c r="AM102" s="1"/>
  <c r="AD95"/>
  <c r="Y103"/>
  <c r="Y104" s="1"/>
  <c r="X103"/>
  <c r="X104" s="1"/>
  <c r="W103"/>
  <c r="W104" s="1"/>
  <c r="V103"/>
  <c r="V104" s="1"/>
  <c r="U103"/>
  <c r="U104" s="1"/>
  <c r="T103"/>
  <c r="T104" s="1"/>
  <c r="S103"/>
  <c r="S104" s="1"/>
  <c r="R103"/>
  <c r="R104" s="1"/>
  <c r="Q103"/>
  <c r="Q104" s="1"/>
  <c r="P103"/>
  <c r="P104" s="1"/>
  <c r="Y102"/>
  <c r="X102"/>
  <c r="W102"/>
  <c r="V102"/>
  <c r="U102"/>
  <c r="T102"/>
  <c r="S102"/>
  <c r="R102"/>
  <c r="Q102"/>
  <c r="P102"/>
  <c r="AM103"/>
  <c r="AM104" s="1"/>
  <c r="AK103"/>
  <c r="AK104" s="1"/>
  <c r="AJ103"/>
  <c r="AJ104" s="1"/>
  <c r="AI103"/>
  <c r="AI104" s="1"/>
  <c r="AH103"/>
  <c r="AH104" s="1"/>
  <c r="AE103"/>
  <c r="AE104" s="1"/>
  <c r="AD103"/>
  <c r="AD104" s="1"/>
  <c r="AD115"/>
  <c r="AE115"/>
  <c r="AF115"/>
  <c r="AG115"/>
  <c r="AD116"/>
  <c r="AE116"/>
  <c r="AF116"/>
  <c r="AG116"/>
  <c r="AD117"/>
  <c r="AE117"/>
  <c r="AF117"/>
  <c r="AG117"/>
  <c r="AD118"/>
  <c r="AE118"/>
  <c r="AF118"/>
  <c r="AG118"/>
  <c r="AD119"/>
  <c r="AE119"/>
  <c r="AF119"/>
  <c r="AG119"/>
  <c r="AD120"/>
  <c r="AE120"/>
  <c r="AF120"/>
  <c r="AG120"/>
  <c r="AE114"/>
  <c r="AF114"/>
  <c r="AG114"/>
  <c r="C103"/>
  <c r="C104" s="1"/>
  <c r="D103"/>
  <c r="D104" s="1"/>
  <c r="E103"/>
  <c r="E104" s="1"/>
  <c r="F103"/>
  <c r="F104" s="1"/>
  <c r="G103"/>
  <c r="G104" s="1"/>
  <c r="H103"/>
  <c r="H104" s="1"/>
  <c r="I103"/>
  <c r="I104" s="1"/>
  <c r="J103"/>
  <c r="J104" s="1"/>
  <c r="K103"/>
  <c r="K104" s="1"/>
  <c r="C102"/>
  <c r="D102"/>
  <c r="E102"/>
  <c r="F102"/>
  <c r="G102"/>
  <c r="I102"/>
  <c r="J102"/>
  <c r="K102"/>
  <c r="B103"/>
  <c r="B104" s="1"/>
  <c r="B102"/>
  <c r="C14" i="87"/>
  <c r="C15" s="1"/>
  <c r="D14"/>
  <c r="E14"/>
  <c r="E15" s="1"/>
  <c r="F14"/>
  <c r="N76"/>
  <c r="O76"/>
  <c r="P76"/>
  <c r="Q76"/>
  <c r="R76"/>
  <c r="N77"/>
  <c r="O77"/>
  <c r="P77"/>
  <c r="Q77"/>
  <c r="R77"/>
  <c r="N78"/>
  <c r="O78"/>
  <c r="P78"/>
  <c r="Q78"/>
  <c r="R78"/>
  <c r="N79"/>
  <c r="O79"/>
  <c r="P79"/>
  <c r="Q79"/>
  <c r="R79"/>
  <c r="N80"/>
  <c r="O80"/>
  <c r="P80"/>
  <c r="Q80"/>
  <c r="R80"/>
  <c r="N81"/>
  <c r="O81"/>
  <c r="P81"/>
  <c r="Q81"/>
  <c r="R81"/>
  <c r="O75"/>
  <c r="P75"/>
  <c r="Q75"/>
  <c r="R75"/>
  <c r="I83"/>
  <c r="I84" s="1"/>
  <c r="J83"/>
  <c r="J84" s="1"/>
  <c r="K83"/>
  <c r="K84" s="1"/>
  <c r="L83"/>
  <c r="L84" s="1"/>
  <c r="I82"/>
  <c r="J82"/>
  <c r="K82"/>
  <c r="L82"/>
  <c r="N93"/>
  <c r="N94"/>
  <c r="N95"/>
  <c r="N96"/>
  <c r="N97"/>
  <c r="N98"/>
  <c r="N92"/>
  <c r="H100"/>
  <c r="H101" s="1"/>
  <c r="I100"/>
  <c r="J100"/>
  <c r="K100"/>
  <c r="K101" s="1"/>
  <c r="L100"/>
  <c r="L101" s="1"/>
  <c r="I101"/>
  <c r="C100"/>
  <c r="D100"/>
  <c r="E100"/>
  <c r="F100"/>
  <c r="B100"/>
  <c r="AE78" i="88"/>
  <c r="AF78"/>
  <c r="AG78"/>
  <c r="AH78"/>
  <c r="AI78"/>
  <c r="AJ78"/>
  <c r="AK78"/>
  <c r="AL78"/>
  <c r="AM78"/>
  <c r="AE79"/>
  <c r="AF79"/>
  <c r="AG79"/>
  <c r="AH79"/>
  <c r="AI79"/>
  <c r="AJ79"/>
  <c r="AK79"/>
  <c r="AL79"/>
  <c r="AM79"/>
  <c r="AE80"/>
  <c r="AF80"/>
  <c r="AG80"/>
  <c r="AH80"/>
  <c r="AI80"/>
  <c r="AJ80"/>
  <c r="AK80"/>
  <c r="AL80"/>
  <c r="AM80"/>
  <c r="AE81"/>
  <c r="AF81"/>
  <c r="AG81"/>
  <c r="AH81"/>
  <c r="AI81"/>
  <c r="AJ81"/>
  <c r="AK81"/>
  <c r="AL81"/>
  <c r="AM81"/>
  <c r="AE82"/>
  <c r="AF82"/>
  <c r="AG82"/>
  <c r="AH82"/>
  <c r="AI82"/>
  <c r="AJ82"/>
  <c r="AK82"/>
  <c r="AL82"/>
  <c r="AM82"/>
  <c r="AE83"/>
  <c r="AF83"/>
  <c r="AG83"/>
  <c r="AH83"/>
  <c r="AI83"/>
  <c r="AJ83"/>
  <c r="AK83"/>
  <c r="AL83"/>
  <c r="AM83"/>
  <c r="AE84"/>
  <c r="AF84"/>
  <c r="AG84"/>
  <c r="AH84"/>
  <c r="AI84"/>
  <c r="AJ84"/>
  <c r="AK84"/>
  <c r="AL84"/>
  <c r="AM84"/>
  <c r="S122"/>
  <c r="S123" s="1"/>
  <c r="R122"/>
  <c r="R123" s="1"/>
  <c r="Q122"/>
  <c r="Q123" s="1"/>
  <c r="P122"/>
  <c r="P123" s="1"/>
  <c r="E122"/>
  <c r="E123" s="1"/>
  <c r="D122"/>
  <c r="D123" s="1"/>
  <c r="C122"/>
  <c r="C123" s="1"/>
  <c r="B122"/>
  <c r="B123" s="1"/>
  <c r="S121"/>
  <c r="R121"/>
  <c r="Q121"/>
  <c r="P121"/>
  <c r="E121"/>
  <c r="D121"/>
  <c r="C121"/>
  <c r="B121"/>
  <c r="AD114"/>
  <c r="AD121" s="1"/>
  <c r="AG140"/>
  <c r="AG141" s="1"/>
  <c r="AE140"/>
  <c r="AE141" s="1"/>
  <c r="S140"/>
  <c r="S141" s="1"/>
  <c r="R140"/>
  <c r="R141" s="1"/>
  <c r="Q140"/>
  <c r="Q141" s="1"/>
  <c r="P140"/>
  <c r="P141" s="1"/>
  <c r="E140"/>
  <c r="E141" s="1"/>
  <c r="D140"/>
  <c r="D141" s="1"/>
  <c r="C140"/>
  <c r="C141" s="1"/>
  <c r="B140"/>
  <c r="B141" s="1"/>
  <c r="AE139"/>
  <c r="S139"/>
  <c r="R139"/>
  <c r="Q139"/>
  <c r="P139"/>
  <c r="E139"/>
  <c r="D139"/>
  <c r="B139"/>
  <c r="AF140"/>
  <c r="AF141" s="1"/>
  <c r="AF139"/>
  <c r="AD132"/>
  <c r="AR140"/>
  <c r="AR141" s="1"/>
  <c r="AR139"/>
  <c r="AU122"/>
  <c r="AU123" s="1"/>
  <c r="AT122"/>
  <c r="AT123" s="1"/>
  <c r="AS122"/>
  <c r="AS123" s="1"/>
  <c r="AR122"/>
  <c r="AR123" s="1"/>
  <c r="AU121"/>
  <c r="AT121"/>
  <c r="AS121"/>
  <c r="AR121"/>
  <c r="Y86"/>
  <c r="Y87" s="1"/>
  <c r="X86"/>
  <c r="X87" s="1"/>
  <c r="W86"/>
  <c r="W87" s="1"/>
  <c r="V86"/>
  <c r="V87" s="1"/>
  <c r="U86"/>
  <c r="U87" s="1"/>
  <c r="T86"/>
  <c r="T87" s="1"/>
  <c r="S86"/>
  <c r="S87" s="1"/>
  <c r="R86"/>
  <c r="R87" s="1"/>
  <c r="Q86"/>
  <c r="Q87" s="1"/>
  <c r="P86"/>
  <c r="P87" s="1"/>
  <c r="K86"/>
  <c r="K87" s="1"/>
  <c r="J86"/>
  <c r="J87" s="1"/>
  <c r="I86"/>
  <c r="I87" s="1"/>
  <c r="H86"/>
  <c r="H87" s="1"/>
  <c r="G86"/>
  <c r="G87" s="1"/>
  <c r="F86"/>
  <c r="F87" s="1"/>
  <c r="E86"/>
  <c r="E87" s="1"/>
  <c r="D86"/>
  <c r="D87" s="1"/>
  <c r="C86"/>
  <c r="C87" s="1"/>
  <c r="B86"/>
  <c r="B87" s="1"/>
  <c r="Y85"/>
  <c r="X85"/>
  <c r="W85"/>
  <c r="V85"/>
  <c r="U85"/>
  <c r="T85"/>
  <c r="S85"/>
  <c r="R85"/>
  <c r="Q85"/>
  <c r="P85"/>
  <c r="K85"/>
  <c r="J85"/>
  <c r="I85"/>
  <c r="H85"/>
  <c r="G85"/>
  <c r="F85"/>
  <c r="E85"/>
  <c r="D85"/>
  <c r="C85"/>
  <c r="B85"/>
  <c r="AD84"/>
  <c r="AD83"/>
  <c r="AD82"/>
  <c r="AD81"/>
  <c r="AD80"/>
  <c r="AD79"/>
  <c r="AD78"/>
  <c r="X83" i="87"/>
  <c r="X84" s="1"/>
  <c r="W83"/>
  <c r="W84" s="1"/>
  <c r="V83"/>
  <c r="V84" s="1"/>
  <c r="U83"/>
  <c r="U84" s="1"/>
  <c r="T83"/>
  <c r="T84" s="1"/>
  <c r="X82"/>
  <c r="W82"/>
  <c r="V82"/>
  <c r="U82"/>
  <c r="T82"/>
  <c r="X100"/>
  <c r="X101" s="1"/>
  <c r="W100"/>
  <c r="W101" s="1"/>
  <c r="V100"/>
  <c r="V101" s="1"/>
  <c r="U100"/>
  <c r="U101" s="1"/>
  <c r="T100"/>
  <c r="T101" s="1"/>
  <c r="J101"/>
  <c r="F101"/>
  <c r="E101"/>
  <c r="D101"/>
  <c r="C101"/>
  <c r="B101"/>
  <c r="X99"/>
  <c r="W99"/>
  <c r="V99"/>
  <c r="U99"/>
  <c r="T99"/>
  <c r="L99"/>
  <c r="K99"/>
  <c r="J99"/>
  <c r="I99"/>
  <c r="H99"/>
  <c r="F99"/>
  <c r="E99"/>
  <c r="D99"/>
  <c r="C99"/>
  <c r="R98"/>
  <c r="Q98"/>
  <c r="P98"/>
  <c r="O98"/>
  <c r="R97"/>
  <c r="Q97"/>
  <c r="P97"/>
  <c r="O97"/>
  <c r="R96"/>
  <c r="Q96"/>
  <c r="P96"/>
  <c r="O96"/>
  <c r="R95"/>
  <c r="Q95"/>
  <c r="P95"/>
  <c r="O95"/>
  <c r="R94"/>
  <c r="Q94"/>
  <c r="P94"/>
  <c r="O94"/>
  <c r="R93"/>
  <c r="Q93"/>
  <c r="P93"/>
  <c r="O93"/>
  <c r="R92"/>
  <c r="Q92"/>
  <c r="P92"/>
  <c r="O92"/>
  <c r="O99" s="1"/>
  <c r="H83"/>
  <c r="H84" s="1"/>
  <c r="F83"/>
  <c r="F84" s="1"/>
  <c r="E83"/>
  <c r="E84" s="1"/>
  <c r="D83"/>
  <c r="D84" s="1"/>
  <c r="C83"/>
  <c r="C84" s="1"/>
  <c r="B83"/>
  <c r="B84" s="1"/>
  <c r="H82"/>
  <c r="F82"/>
  <c r="E82"/>
  <c r="D82"/>
  <c r="C82"/>
  <c r="B82"/>
  <c r="Q83"/>
  <c r="Q84" s="1"/>
  <c r="O83"/>
  <c r="O84" s="1"/>
  <c r="P82"/>
  <c r="N75"/>
  <c r="N82" s="1"/>
  <c r="R63"/>
  <c r="Q63"/>
  <c r="P63"/>
  <c r="O63"/>
  <c r="N63"/>
  <c r="R62"/>
  <c r="Q62"/>
  <c r="P62"/>
  <c r="O62"/>
  <c r="N62"/>
  <c r="R61"/>
  <c r="Q61"/>
  <c r="P61"/>
  <c r="O61"/>
  <c r="N61"/>
  <c r="R60"/>
  <c r="Q60"/>
  <c r="P60"/>
  <c r="O60"/>
  <c r="N60"/>
  <c r="R59"/>
  <c r="R65" s="1"/>
  <c r="R66" s="1"/>
  <c r="Q59"/>
  <c r="P59"/>
  <c r="O59"/>
  <c r="N59"/>
  <c r="R58"/>
  <c r="Q58"/>
  <c r="P58"/>
  <c r="O58"/>
  <c r="O64" s="1"/>
  <c r="N58"/>
  <c r="R57"/>
  <c r="Q57"/>
  <c r="P57"/>
  <c r="O57"/>
  <c r="N57"/>
  <c r="L65"/>
  <c r="L66" s="1"/>
  <c r="K65"/>
  <c r="K66" s="1"/>
  <c r="J65"/>
  <c r="J66" s="1"/>
  <c r="I65"/>
  <c r="I66" s="1"/>
  <c r="H65"/>
  <c r="H66" s="1"/>
  <c r="F65"/>
  <c r="F66" s="1"/>
  <c r="E65"/>
  <c r="E66" s="1"/>
  <c r="D65"/>
  <c r="D66" s="1"/>
  <c r="C65"/>
  <c r="C66" s="1"/>
  <c r="B65"/>
  <c r="B66" s="1"/>
  <c r="L64"/>
  <c r="K64"/>
  <c r="J64"/>
  <c r="I64"/>
  <c r="H64"/>
  <c r="F64"/>
  <c r="E64"/>
  <c r="D64"/>
  <c r="C64"/>
  <c r="B64"/>
  <c r="N65"/>
  <c r="N66" s="1"/>
  <c r="R46"/>
  <c r="Q46"/>
  <c r="P46"/>
  <c r="O46"/>
  <c r="N46"/>
  <c r="R45"/>
  <c r="Q45"/>
  <c r="P45"/>
  <c r="O45"/>
  <c r="N45"/>
  <c r="R44"/>
  <c r="Q44"/>
  <c r="P44"/>
  <c r="O44"/>
  <c r="N44"/>
  <c r="R43"/>
  <c r="Q43"/>
  <c r="P43"/>
  <c r="O43"/>
  <c r="N43"/>
  <c r="R42"/>
  <c r="Q42"/>
  <c r="P42"/>
  <c r="O42"/>
  <c r="N42"/>
  <c r="R41"/>
  <c r="Q41"/>
  <c r="P41"/>
  <c r="O41"/>
  <c r="N41"/>
  <c r="R40"/>
  <c r="Q40"/>
  <c r="P40"/>
  <c r="O40"/>
  <c r="N40"/>
  <c r="R30"/>
  <c r="Q30"/>
  <c r="P30"/>
  <c r="O30"/>
  <c r="N30"/>
  <c r="R29"/>
  <c r="Q29"/>
  <c r="P29"/>
  <c r="O29"/>
  <c r="N29"/>
  <c r="R28"/>
  <c r="Q28"/>
  <c r="P28"/>
  <c r="O28"/>
  <c r="N28"/>
  <c r="R27"/>
  <c r="Q27"/>
  <c r="P27"/>
  <c r="O27"/>
  <c r="N27"/>
  <c r="R26"/>
  <c r="Q26"/>
  <c r="P26"/>
  <c r="O26"/>
  <c r="N26"/>
  <c r="R25"/>
  <c r="Q25"/>
  <c r="P25"/>
  <c r="O25"/>
  <c r="N25"/>
  <c r="R24"/>
  <c r="Q24"/>
  <c r="Q31" s="1"/>
  <c r="P24"/>
  <c r="O24"/>
  <c r="N24"/>
  <c r="P32"/>
  <c r="P33" s="1"/>
  <c r="L32"/>
  <c r="L33" s="1"/>
  <c r="K32"/>
  <c r="K33" s="1"/>
  <c r="J32"/>
  <c r="J33" s="1"/>
  <c r="I32"/>
  <c r="I33" s="1"/>
  <c r="H32"/>
  <c r="H33" s="1"/>
  <c r="F32"/>
  <c r="F33" s="1"/>
  <c r="E32"/>
  <c r="E33" s="1"/>
  <c r="D32"/>
  <c r="D33" s="1"/>
  <c r="C32"/>
  <c r="C33" s="1"/>
  <c r="B32"/>
  <c r="B33" s="1"/>
  <c r="L31"/>
  <c r="K31"/>
  <c r="J31"/>
  <c r="I31"/>
  <c r="H31"/>
  <c r="F31"/>
  <c r="E31"/>
  <c r="D31"/>
  <c r="C31"/>
  <c r="B31"/>
  <c r="R12"/>
  <c r="Q12"/>
  <c r="P12"/>
  <c r="O12"/>
  <c r="N12"/>
  <c r="R11"/>
  <c r="Q11"/>
  <c r="P11"/>
  <c r="O11"/>
  <c r="N11"/>
  <c r="R10"/>
  <c r="Q10"/>
  <c r="P10"/>
  <c r="O10"/>
  <c r="N10"/>
  <c r="R9"/>
  <c r="Q9"/>
  <c r="P9"/>
  <c r="O9"/>
  <c r="N9"/>
  <c r="R8"/>
  <c r="Q8"/>
  <c r="P8"/>
  <c r="O8"/>
  <c r="N8"/>
  <c r="N14" s="1"/>
  <c r="N15" s="1"/>
  <c r="R7"/>
  <c r="Q7"/>
  <c r="Q14" s="1"/>
  <c r="Q15" s="1"/>
  <c r="P7"/>
  <c r="O7"/>
  <c r="O14" s="1"/>
  <c r="O15" s="1"/>
  <c r="N7"/>
  <c r="R6"/>
  <c r="R13" s="1"/>
  <c r="Q6"/>
  <c r="P6"/>
  <c r="P13" s="1"/>
  <c r="O6"/>
  <c r="N6"/>
  <c r="N13" s="1"/>
  <c r="F13"/>
  <c r="F15"/>
  <c r="F47"/>
  <c r="F48"/>
  <c r="F49" s="1"/>
  <c r="L13"/>
  <c r="L14"/>
  <c r="L15" s="1"/>
  <c r="L47"/>
  <c r="L48"/>
  <c r="L49" s="1"/>
  <c r="X13"/>
  <c r="X14"/>
  <c r="X15" s="1"/>
  <c r="X47"/>
  <c r="X48"/>
  <c r="X49" s="1"/>
  <c r="W48"/>
  <c r="W49" s="1"/>
  <c r="V48"/>
  <c r="V49" s="1"/>
  <c r="U48"/>
  <c r="U49" s="1"/>
  <c r="T48"/>
  <c r="T49" s="1"/>
  <c r="K48"/>
  <c r="K49" s="1"/>
  <c r="J48"/>
  <c r="J49" s="1"/>
  <c r="I48"/>
  <c r="I49" s="1"/>
  <c r="H48"/>
  <c r="H49" s="1"/>
  <c r="E48"/>
  <c r="E49" s="1"/>
  <c r="D48"/>
  <c r="D49" s="1"/>
  <c r="C48"/>
  <c r="C49" s="1"/>
  <c r="B48"/>
  <c r="B49" s="1"/>
  <c r="W47"/>
  <c r="V47"/>
  <c r="U47"/>
  <c r="T47"/>
  <c r="K47"/>
  <c r="J47"/>
  <c r="I47"/>
  <c r="H47"/>
  <c r="E47"/>
  <c r="D47"/>
  <c r="C47"/>
  <c r="B47"/>
  <c r="W14"/>
  <c r="W15" s="1"/>
  <c r="V14"/>
  <c r="V15" s="1"/>
  <c r="U14"/>
  <c r="U15" s="1"/>
  <c r="T14"/>
  <c r="T15" s="1"/>
  <c r="K14"/>
  <c r="K15" s="1"/>
  <c r="J14"/>
  <c r="J15" s="1"/>
  <c r="I14"/>
  <c r="I15" s="1"/>
  <c r="H14"/>
  <c r="H15" s="1"/>
  <c r="D15"/>
  <c r="B14"/>
  <c r="B15" s="1"/>
  <c r="W13"/>
  <c r="V13"/>
  <c r="U13"/>
  <c r="T13"/>
  <c r="K13"/>
  <c r="J13"/>
  <c r="I13"/>
  <c r="H13"/>
  <c r="E13"/>
  <c r="D13"/>
  <c r="C13"/>
  <c r="B13"/>
  <c r="U104" i="1"/>
  <c r="T104"/>
  <c r="S104"/>
  <c r="R104"/>
  <c r="Q104"/>
  <c r="P104"/>
  <c r="U103"/>
  <c r="T103"/>
  <c r="S103"/>
  <c r="R103"/>
  <c r="Q103"/>
  <c r="P103"/>
  <c r="U102"/>
  <c r="T102"/>
  <c r="S102"/>
  <c r="R102"/>
  <c r="Q102"/>
  <c r="P102"/>
  <c r="U101"/>
  <c r="T101"/>
  <c r="S101"/>
  <c r="R101"/>
  <c r="Q101"/>
  <c r="P101"/>
  <c r="U100"/>
  <c r="T100"/>
  <c r="S100"/>
  <c r="R100"/>
  <c r="Q100"/>
  <c r="P100"/>
  <c r="U99"/>
  <c r="T99"/>
  <c r="S99"/>
  <c r="R99"/>
  <c r="Q99"/>
  <c r="P99"/>
  <c r="U98"/>
  <c r="T98"/>
  <c r="S98"/>
  <c r="R98"/>
  <c r="Q98"/>
  <c r="P98"/>
  <c r="U86"/>
  <c r="T86"/>
  <c r="S86"/>
  <c r="R86"/>
  <c r="Q86"/>
  <c r="P86"/>
  <c r="U85"/>
  <c r="T85"/>
  <c r="S85"/>
  <c r="R85"/>
  <c r="Q85"/>
  <c r="P85"/>
  <c r="U84"/>
  <c r="T84"/>
  <c r="S84"/>
  <c r="R84"/>
  <c r="Q84"/>
  <c r="P84"/>
  <c r="U83"/>
  <c r="T83"/>
  <c r="S83"/>
  <c r="R83"/>
  <c r="Q83"/>
  <c r="P83"/>
  <c r="U82"/>
  <c r="T82"/>
  <c r="S82"/>
  <c r="R82"/>
  <c r="Q82"/>
  <c r="P82"/>
  <c r="U81"/>
  <c r="T81"/>
  <c r="S81"/>
  <c r="R81"/>
  <c r="Q81"/>
  <c r="P81"/>
  <c r="U80"/>
  <c r="T80"/>
  <c r="S80"/>
  <c r="R80"/>
  <c r="Q80"/>
  <c r="P80"/>
  <c r="U67"/>
  <c r="T67"/>
  <c r="S67"/>
  <c r="R67"/>
  <c r="Q67"/>
  <c r="P67"/>
  <c r="U66"/>
  <c r="T66"/>
  <c r="S66"/>
  <c r="R66"/>
  <c r="Q66"/>
  <c r="P66"/>
  <c r="U65"/>
  <c r="T65"/>
  <c r="S65"/>
  <c r="R65"/>
  <c r="Q65"/>
  <c r="P65"/>
  <c r="U64"/>
  <c r="T64"/>
  <c r="S64"/>
  <c r="R64"/>
  <c r="Q64"/>
  <c r="P64"/>
  <c r="U63"/>
  <c r="T63"/>
  <c r="S63"/>
  <c r="R63"/>
  <c r="Q63"/>
  <c r="P63"/>
  <c r="U62"/>
  <c r="T62"/>
  <c r="S62"/>
  <c r="R62"/>
  <c r="Q62"/>
  <c r="P62"/>
  <c r="U61"/>
  <c r="T61"/>
  <c r="S61"/>
  <c r="R61"/>
  <c r="Q61"/>
  <c r="P61"/>
  <c r="U49"/>
  <c r="T49"/>
  <c r="S49"/>
  <c r="R49"/>
  <c r="Q49"/>
  <c r="P49"/>
  <c r="U48"/>
  <c r="T48"/>
  <c r="S48"/>
  <c r="R48"/>
  <c r="Q48"/>
  <c r="P48"/>
  <c r="U47"/>
  <c r="T47"/>
  <c r="S47"/>
  <c r="R47"/>
  <c r="Q47"/>
  <c r="P47"/>
  <c r="U46"/>
  <c r="T46"/>
  <c r="S46"/>
  <c r="R46"/>
  <c r="Q46"/>
  <c r="P46"/>
  <c r="U45"/>
  <c r="T45"/>
  <c r="S45"/>
  <c r="R45"/>
  <c r="Q45"/>
  <c r="P45"/>
  <c r="U44"/>
  <c r="T44"/>
  <c r="S44"/>
  <c r="R44"/>
  <c r="Q44"/>
  <c r="P44"/>
  <c r="U43"/>
  <c r="T43"/>
  <c r="S43"/>
  <c r="R43"/>
  <c r="Q43"/>
  <c r="P43"/>
  <c r="AB106"/>
  <c r="AB107" s="1"/>
  <c r="AA106"/>
  <c r="AA107" s="1"/>
  <c r="Z106"/>
  <c r="Z107" s="1"/>
  <c r="Y106"/>
  <c r="Y107" s="1"/>
  <c r="X106"/>
  <c r="X107" s="1"/>
  <c r="W106"/>
  <c r="W107" s="1"/>
  <c r="N106"/>
  <c r="N107" s="1"/>
  <c r="M106"/>
  <c r="M107" s="1"/>
  <c r="L106"/>
  <c r="L107" s="1"/>
  <c r="K106"/>
  <c r="K107" s="1"/>
  <c r="J106"/>
  <c r="J107" s="1"/>
  <c r="I106"/>
  <c r="I107" s="1"/>
  <c r="G106"/>
  <c r="G107" s="1"/>
  <c r="F106"/>
  <c r="F107" s="1"/>
  <c r="E106"/>
  <c r="E107" s="1"/>
  <c r="D106"/>
  <c r="D107" s="1"/>
  <c r="C106"/>
  <c r="C107" s="1"/>
  <c r="B106"/>
  <c r="B107" s="1"/>
  <c r="AB105"/>
  <c r="AA105"/>
  <c r="Z105"/>
  <c r="Y105"/>
  <c r="X105"/>
  <c r="W105"/>
  <c r="N105"/>
  <c r="M105"/>
  <c r="L105"/>
  <c r="K105"/>
  <c r="J105"/>
  <c r="I105"/>
  <c r="G105"/>
  <c r="F105"/>
  <c r="E105"/>
  <c r="D105"/>
  <c r="C105"/>
  <c r="B105"/>
  <c r="U106"/>
  <c r="U107" s="1"/>
  <c r="T106"/>
  <c r="T107" s="1"/>
  <c r="S106"/>
  <c r="S107" s="1"/>
  <c r="R106"/>
  <c r="R107" s="1"/>
  <c r="Q106"/>
  <c r="Q107" s="1"/>
  <c r="P106"/>
  <c r="P107" s="1"/>
  <c r="U105"/>
  <c r="T105"/>
  <c r="S105"/>
  <c r="R105"/>
  <c r="Q105"/>
  <c r="P105"/>
  <c r="AB88"/>
  <c r="AB89" s="1"/>
  <c r="AA88"/>
  <c r="AA89" s="1"/>
  <c r="Z88"/>
  <c r="Z89" s="1"/>
  <c r="Y88"/>
  <c r="Y89" s="1"/>
  <c r="X88"/>
  <c r="X89" s="1"/>
  <c r="W88"/>
  <c r="W89" s="1"/>
  <c r="N88"/>
  <c r="N89" s="1"/>
  <c r="M88"/>
  <c r="M89" s="1"/>
  <c r="L88"/>
  <c r="L89" s="1"/>
  <c r="K88"/>
  <c r="K89" s="1"/>
  <c r="J88"/>
  <c r="J89" s="1"/>
  <c r="I88"/>
  <c r="I89" s="1"/>
  <c r="G88"/>
  <c r="G89" s="1"/>
  <c r="F88"/>
  <c r="F89" s="1"/>
  <c r="E88"/>
  <c r="E89" s="1"/>
  <c r="D88"/>
  <c r="D89" s="1"/>
  <c r="C88"/>
  <c r="C89" s="1"/>
  <c r="B88"/>
  <c r="B89" s="1"/>
  <c r="AB87"/>
  <c r="AA87"/>
  <c r="Z87"/>
  <c r="Y87"/>
  <c r="X87"/>
  <c r="W87"/>
  <c r="N87"/>
  <c r="M87"/>
  <c r="L87"/>
  <c r="K87"/>
  <c r="J87"/>
  <c r="I87"/>
  <c r="G87"/>
  <c r="F87"/>
  <c r="E87"/>
  <c r="D87"/>
  <c r="C87"/>
  <c r="B87"/>
  <c r="U88"/>
  <c r="U89" s="1"/>
  <c r="T88"/>
  <c r="T89" s="1"/>
  <c r="S88"/>
  <c r="S89" s="1"/>
  <c r="R88"/>
  <c r="R89" s="1"/>
  <c r="Q88"/>
  <c r="Q89" s="1"/>
  <c r="P88"/>
  <c r="P89" s="1"/>
  <c r="U87"/>
  <c r="T87"/>
  <c r="S87"/>
  <c r="R87"/>
  <c r="Q87"/>
  <c r="P87"/>
  <c r="AB69"/>
  <c r="AB70" s="1"/>
  <c r="AA69"/>
  <c r="AA70" s="1"/>
  <c r="Z69"/>
  <c r="Z70" s="1"/>
  <c r="Y69"/>
  <c r="Y70" s="1"/>
  <c r="X69"/>
  <c r="X70" s="1"/>
  <c r="W69"/>
  <c r="W70" s="1"/>
  <c r="N69"/>
  <c r="N70" s="1"/>
  <c r="M69"/>
  <c r="M70" s="1"/>
  <c r="L69"/>
  <c r="L70" s="1"/>
  <c r="K69"/>
  <c r="K70" s="1"/>
  <c r="J69"/>
  <c r="J70" s="1"/>
  <c r="I69"/>
  <c r="I70" s="1"/>
  <c r="G69"/>
  <c r="G70" s="1"/>
  <c r="F69"/>
  <c r="F70" s="1"/>
  <c r="E69"/>
  <c r="E70" s="1"/>
  <c r="D69"/>
  <c r="D70" s="1"/>
  <c r="C69"/>
  <c r="C70" s="1"/>
  <c r="B69"/>
  <c r="B70" s="1"/>
  <c r="Z68"/>
  <c r="Y68"/>
  <c r="X68"/>
  <c r="W68"/>
  <c r="N68"/>
  <c r="M68"/>
  <c r="L68"/>
  <c r="K68"/>
  <c r="J68"/>
  <c r="I68"/>
  <c r="G68"/>
  <c r="F68"/>
  <c r="E68"/>
  <c r="D68"/>
  <c r="C68"/>
  <c r="B68"/>
  <c r="U69"/>
  <c r="U70" s="1"/>
  <c r="T69"/>
  <c r="T70" s="1"/>
  <c r="S69"/>
  <c r="S70" s="1"/>
  <c r="R69"/>
  <c r="R70" s="1"/>
  <c r="Q69"/>
  <c r="Q70" s="1"/>
  <c r="P69"/>
  <c r="P70" s="1"/>
  <c r="U68"/>
  <c r="T68"/>
  <c r="S68"/>
  <c r="R68"/>
  <c r="Q68"/>
  <c r="P68"/>
  <c r="AB51"/>
  <c r="AB52" s="1"/>
  <c r="AA51"/>
  <c r="AA52" s="1"/>
  <c r="Z51"/>
  <c r="Z52" s="1"/>
  <c r="Y51"/>
  <c r="Y52" s="1"/>
  <c r="X51"/>
  <c r="X52" s="1"/>
  <c r="W51"/>
  <c r="W52" s="1"/>
  <c r="N51"/>
  <c r="N52" s="1"/>
  <c r="M51"/>
  <c r="M52" s="1"/>
  <c r="L51"/>
  <c r="L52" s="1"/>
  <c r="K51"/>
  <c r="K52" s="1"/>
  <c r="J51"/>
  <c r="J52" s="1"/>
  <c r="I51"/>
  <c r="I52" s="1"/>
  <c r="G51"/>
  <c r="G52" s="1"/>
  <c r="F51"/>
  <c r="F52" s="1"/>
  <c r="E51"/>
  <c r="E52" s="1"/>
  <c r="D51"/>
  <c r="D52" s="1"/>
  <c r="C51"/>
  <c r="C52" s="1"/>
  <c r="B51"/>
  <c r="B52" s="1"/>
  <c r="AB50"/>
  <c r="AA50"/>
  <c r="Z50"/>
  <c r="Y50"/>
  <c r="X50"/>
  <c r="W50"/>
  <c r="N50"/>
  <c r="M50"/>
  <c r="L50"/>
  <c r="K50"/>
  <c r="J50"/>
  <c r="I50"/>
  <c r="G50"/>
  <c r="F50"/>
  <c r="E50"/>
  <c r="D50"/>
  <c r="C50"/>
  <c r="B50"/>
  <c r="U51"/>
  <c r="U52" s="1"/>
  <c r="T51"/>
  <c r="T52" s="1"/>
  <c r="S51"/>
  <c r="S52" s="1"/>
  <c r="R51"/>
  <c r="R52" s="1"/>
  <c r="Q51"/>
  <c r="Q52" s="1"/>
  <c r="P51"/>
  <c r="P52" s="1"/>
  <c r="U50"/>
  <c r="T50"/>
  <c r="S50"/>
  <c r="R50"/>
  <c r="Q50"/>
  <c r="P50"/>
  <c r="I11" i="86"/>
  <c r="J11"/>
  <c r="K11"/>
  <c r="L11"/>
  <c r="I12"/>
  <c r="J12"/>
  <c r="K12"/>
  <c r="L12"/>
  <c r="I13"/>
  <c r="J13"/>
  <c r="K13"/>
  <c r="L13"/>
  <c r="U30" i="1"/>
  <c r="T30"/>
  <c r="S30"/>
  <c r="R30"/>
  <c r="Q30"/>
  <c r="P30"/>
  <c r="U29"/>
  <c r="T29"/>
  <c r="S29"/>
  <c r="R29"/>
  <c r="Q29"/>
  <c r="P29"/>
  <c r="U28"/>
  <c r="T28"/>
  <c r="S28"/>
  <c r="R28"/>
  <c r="Q28"/>
  <c r="P28"/>
  <c r="U27"/>
  <c r="T27"/>
  <c r="S27"/>
  <c r="R27"/>
  <c r="Q27"/>
  <c r="P27"/>
  <c r="U26"/>
  <c r="T26"/>
  <c r="S26"/>
  <c r="R26"/>
  <c r="Q26"/>
  <c r="P26"/>
  <c r="U25"/>
  <c r="T25"/>
  <c r="S25"/>
  <c r="R25"/>
  <c r="Q25"/>
  <c r="P25"/>
  <c r="U24"/>
  <c r="T24"/>
  <c r="S24"/>
  <c r="R24"/>
  <c r="Q24"/>
  <c r="P24"/>
  <c r="AB32"/>
  <c r="AB33" s="1"/>
  <c r="AA32"/>
  <c r="AA33" s="1"/>
  <c r="Z32"/>
  <c r="Z33" s="1"/>
  <c r="Y32"/>
  <c r="Y33" s="1"/>
  <c r="X32"/>
  <c r="X33" s="1"/>
  <c r="W32"/>
  <c r="W33" s="1"/>
  <c r="AB31"/>
  <c r="AA31"/>
  <c r="Z31"/>
  <c r="Y31"/>
  <c r="X31"/>
  <c r="W31"/>
  <c r="N32"/>
  <c r="N33" s="1"/>
  <c r="M32"/>
  <c r="M33" s="1"/>
  <c r="L32"/>
  <c r="L33" s="1"/>
  <c r="K32"/>
  <c r="K33" s="1"/>
  <c r="J32"/>
  <c r="J33" s="1"/>
  <c r="I32"/>
  <c r="I33" s="1"/>
  <c r="G32"/>
  <c r="G33" s="1"/>
  <c r="F32"/>
  <c r="F33" s="1"/>
  <c r="E32"/>
  <c r="E33" s="1"/>
  <c r="D32"/>
  <c r="D33" s="1"/>
  <c r="C32"/>
  <c r="C33" s="1"/>
  <c r="B32"/>
  <c r="B33" s="1"/>
  <c r="N31"/>
  <c r="M31"/>
  <c r="L31"/>
  <c r="K31"/>
  <c r="J31"/>
  <c r="I31"/>
  <c r="G31"/>
  <c r="F31"/>
  <c r="E31"/>
  <c r="D31"/>
  <c r="C31"/>
  <c r="B31"/>
  <c r="U32"/>
  <c r="U33" s="1"/>
  <c r="T32"/>
  <c r="T33" s="1"/>
  <c r="S32"/>
  <c r="S33" s="1"/>
  <c r="R32"/>
  <c r="R33" s="1"/>
  <c r="Q32"/>
  <c r="Q33" s="1"/>
  <c r="P32"/>
  <c r="P33" s="1"/>
  <c r="U31"/>
  <c r="T31"/>
  <c r="S31"/>
  <c r="R31"/>
  <c r="Q31"/>
  <c r="P31"/>
  <c r="P7"/>
  <c r="Q7"/>
  <c r="R7"/>
  <c r="S7"/>
  <c r="T7"/>
  <c r="U7"/>
  <c r="P8"/>
  <c r="Q8"/>
  <c r="R8"/>
  <c r="S8"/>
  <c r="T8"/>
  <c r="U8"/>
  <c r="P9"/>
  <c r="Q9"/>
  <c r="R9"/>
  <c r="S9"/>
  <c r="T9"/>
  <c r="U9"/>
  <c r="P10"/>
  <c r="Q10"/>
  <c r="R10"/>
  <c r="S10"/>
  <c r="T10"/>
  <c r="U10"/>
  <c r="P11"/>
  <c r="R11"/>
  <c r="S11"/>
  <c r="T11"/>
  <c r="U11"/>
  <c r="P12"/>
  <c r="Q12"/>
  <c r="R12"/>
  <c r="S12"/>
  <c r="T12"/>
  <c r="U12"/>
  <c r="U6"/>
  <c r="Q6"/>
  <c r="Q13" s="1"/>
  <c r="R6"/>
  <c r="R13" s="1"/>
  <c r="S6"/>
  <c r="S13" s="1"/>
  <c r="T6"/>
  <c r="P6"/>
  <c r="AB14"/>
  <c r="AB15" s="1"/>
  <c r="AA14"/>
  <c r="AA15" s="1"/>
  <c r="Z14"/>
  <c r="Z15" s="1"/>
  <c r="Y14"/>
  <c r="Y15" s="1"/>
  <c r="X14"/>
  <c r="X15" s="1"/>
  <c r="W14"/>
  <c r="W15" s="1"/>
  <c r="AB13"/>
  <c r="AA13"/>
  <c r="Z13"/>
  <c r="Y13"/>
  <c r="X13"/>
  <c r="W13"/>
  <c r="T13"/>
  <c r="N14"/>
  <c r="N15" s="1"/>
  <c r="M14"/>
  <c r="M15" s="1"/>
  <c r="L14"/>
  <c r="L15" s="1"/>
  <c r="K14"/>
  <c r="K15" s="1"/>
  <c r="J14"/>
  <c r="J15" s="1"/>
  <c r="I14"/>
  <c r="I15" s="1"/>
  <c r="C14"/>
  <c r="C15" s="1"/>
  <c r="D14"/>
  <c r="D15" s="1"/>
  <c r="E14"/>
  <c r="E15" s="1"/>
  <c r="F14"/>
  <c r="F15" s="1"/>
  <c r="G14"/>
  <c r="G15" s="1"/>
  <c r="B14"/>
  <c r="B15" s="1"/>
  <c r="J13"/>
  <c r="K13"/>
  <c r="L13"/>
  <c r="M13"/>
  <c r="N13"/>
  <c r="I13"/>
  <c r="C13"/>
  <c r="D13"/>
  <c r="E13"/>
  <c r="F13"/>
  <c r="G13"/>
  <c r="B13"/>
  <c r="C126" i="86"/>
  <c r="C127" s="1"/>
  <c r="B126"/>
  <c r="B127" s="1"/>
  <c r="C125"/>
  <c r="B125"/>
  <c r="C115"/>
  <c r="C116" s="1"/>
  <c r="B115"/>
  <c r="B116" s="1"/>
  <c r="C114"/>
  <c r="B114"/>
  <c r="C104"/>
  <c r="C105" s="1"/>
  <c r="B104"/>
  <c r="B105" s="1"/>
  <c r="C103"/>
  <c r="B103"/>
  <c r="C93"/>
  <c r="C94" s="1"/>
  <c r="B93"/>
  <c r="B94" s="1"/>
  <c r="C92"/>
  <c r="B92"/>
  <c r="C82"/>
  <c r="C83" s="1"/>
  <c r="B82"/>
  <c r="B83" s="1"/>
  <c r="C81"/>
  <c r="B81"/>
  <c r="C71"/>
  <c r="C72" s="1"/>
  <c r="B71"/>
  <c r="B72" s="1"/>
  <c r="C70"/>
  <c r="B70"/>
  <c r="C60"/>
  <c r="C61" s="1"/>
  <c r="B60"/>
  <c r="B61" s="1"/>
  <c r="C59"/>
  <c r="B59"/>
  <c r="E46"/>
  <c r="E47" s="1"/>
  <c r="D46"/>
  <c r="D47" s="1"/>
  <c r="C46"/>
  <c r="C47" s="1"/>
  <c r="B46"/>
  <c r="B47" s="1"/>
  <c r="E45"/>
  <c r="D45"/>
  <c r="C45"/>
  <c r="B45"/>
  <c r="E12"/>
  <c r="E13" s="1"/>
  <c r="D12"/>
  <c r="D13" s="1"/>
  <c r="C12"/>
  <c r="C13" s="1"/>
  <c r="B12"/>
  <c r="B13" s="1"/>
  <c r="E11"/>
  <c r="D11"/>
  <c r="C11"/>
  <c r="B11"/>
  <c r="AO85" i="88" l="1"/>
  <c r="AO86"/>
  <c r="AO87" s="1"/>
  <c r="P45" i="86"/>
  <c r="R45"/>
  <c r="AE122" i="88"/>
  <c r="AE123" s="1"/>
  <c r="AD139"/>
  <c r="AO32"/>
  <c r="AN33"/>
  <c r="AN34" s="1"/>
  <c r="AP33"/>
  <c r="AP34" s="1"/>
  <c r="AN50"/>
  <c r="AP50"/>
  <c r="AO51"/>
  <c r="AO52" s="1"/>
  <c r="AO67"/>
  <c r="AN68"/>
  <c r="AN69" s="1"/>
  <c r="AP68"/>
  <c r="AP69" s="1"/>
  <c r="AN14"/>
  <c r="AP14"/>
  <c r="AO15"/>
  <c r="AO16" s="1"/>
  <c r="AP32"/>
  <c r="AN32"/>
  <c r="N31" i="105"/>
  <c r="O32"/>
  <c r="O33" s="1"/>
  <c r="P31"/>
  <c r="Q32"/>
  <c r="Q33" s="1"/>
  <c r="R31"/>
  <c r="R14"/>
  <c r="R15" s="1"/>
  <c r="Q13"/>
  <c r="O13"/>
  <c r="P14"/>
  <c r="P15" s="1"/>
  <c r="N14"/>
  <c r="N15" s="1"/>
  <c r="N13"/>
  <c r="P13"/>
  <c r="R13"/>
  <c r="O14"/>
  <c r="O15" s="1"/>
  <c r="Q14"/>
  <c r="Q15" s="1"/>
  <c r="O31"/>
  <c r="Q31"/>
  <c r="N32"/>
  <c r="N33" s="1"/>
  <c r="P32"/>
  <c r="P33" s="1"/>
  <c r="R32"/>
  <c r="R33" s="1"/>
  <c r="AE32" i="88"/>
  <c r="AF85"/>
  <c r="AE121"/>
  <c r="AF122"/>
  <c r="AF123" s="1"/>
  <c r="AF86"/>
  <c r="AF87" s="1"/>
  <c r="AM85"/>
  <c r="AE86"/>
  <c r="AE87" s="1"/>
  <c r="AD122"/>
  <c r="AD123" s="1"/>
  <c r="AD102"/>
  <c r="AM86"/>
  <c r="AM87" s="1"/>
  <c r="AE85"/>
  <c r="AJ86"/>
  <c r="AJ87" s="1"/>
  <c r="AI86"/>
  <c r="AI87" s="1"/>
  <c r="AJ85"/>
  <c r="AF121"/>
  <c r="AI85"/>
  <c r="AK86"/>
  <c r="AK87" s="1"/>
  <c r="AG86"/>
  <c r="AG87" s="1"/>
  <c r="AL86"/>
  <c r="AL87" s="1"/>
  <c r="AH86"/>
  <c r="AH87" s="1"/>
  <c r="AK85"/>
  <c r="AG85"/>
  <c r="AH102"/>
  <c r="AG122"/>
  <c r="AG123" s="1"/>
  <c r="AL103"/>
  <c r="AL104" s="1"/>
  <c r="AF103"/>
  <c r="AF104" s="1"/>
  <c r="AD85"/>
  <c r="AH85"/>
  <c r="AL85"/>
  <c r="AD86"/>
  <c r="AD87" s="1"/>
  <c r="AG121"/>
  <c r="AJ102"/>
  <c r="AG103"/>
  <c r="AG104" s="1"/>
  <c r="AL102"/>
  <c r="AF102"/>
  <c r="Q13" i="87"/>
  <c r="O31"/>
  <c r="N32"/>
  <c r="N33" s="1"/>
  <c r="R32"/>
  <c r="R33" s="1"/>
  <c r="Q64"/>
  <c r="N64"/>
  <c r="P64"/>
  <c r="R64"/>
  <c r="O65"/>
  <c r="O66" s="1"/>
  <c r="Q65"/>
  <c r="Q66" s="1"/>
  <c r="N100"/>
  <c r="N101" s="1"/>
  <c r="R100"/>
  <c r="R101" s="1"/>
  <c r="Q99"/>
  <c r="P100"/>
  <c r="P101" s="1"/>
  <c r="R82"/>
  <c r="N31"/>
  <c r="P31"/>
  <c r="R31"/>
  <c r="O32"/>
  <c r="O33" s="1"/>
  <c r="Q32"/>
  <c r="Q33" s="1"/>
  <c r="R47"/>
  <c r="P65"/>
  <c r="P66" s="1"/>
  <c r="O13"/>
  <c r="P14"/>
  <c r="P15" s="1"/>
  <c r="R14"/>
  <c r="R15" s="1"/>
  <c r="O82"/>
  <c r="Q82"/>
  <c r="N83"/>
  <c r="N84" s="1"/>
  <c r="P83"/>
  <c r="P84" s="1"/>
  <c r="R83"/>
  <c r="R84" s="1"/>
  <c r="N99"/>
  <c r="P99"/>
  <c r="R99"/>
  <c r="O100"/>
  <c r="O101" s="1"/>
  <c r="Q100"/>
  <c r="Q101" s="1"/>
  <c r="R48"/>
  <c r="R49" s="1"/>
  <c r="O47"/>
  <c r="P47"/>
  <c r="N48"/>
  <c r="N49" s="1"/>
  <c r="Q48"/>
  <c r="Q49" s="1"/>
  <c r="N47"/>
  <c r="Q47"/>
  <c r="O48"/>
  <c r="O49" s="1"/>
  <c r="P48"/>
  <c r="P49" s="1"/>
  <c r="R14" i="1"/>
  <c r="R15" s="1"/>
  <c r="P13"/>
  <c r="T14"/>
  <c r="T15" s="1"/>
  <c r="P14"/>
  <c r="P15" s="1"/>
  <c r="U13"/>
  <c r="S14"/>
  <c r="S15" s="1"/>
  <c r="Q14"/>
  <c r="Q15" s="1"/>
  <c r="U14"/>
  <c r="U15" s="1"/>
</calcChain>
</file>

<file path=xl/connections.xml><?xml version="1.0" encoding="utf-8"?>
<connections xmlns="http://schemas.openxmlformats.org/spreadsheetml/2006/main">
  <connection id="1" name="10p.log" type="6" refreshedVersion="3" deleted="1" background="1" saveData="1">
    <textPr codePage="437" sourceFile="C:\cygwin\home\gkarvoun\EclipseWorkspace\sharq\experiments\outputs\tods\dbserv4\Xmas-rch-bug\scalabilityInt\2000\10p.log.csv" space="1" consecutive="1">
      <textFields count="3">
        <textField/>
        <textField/>
        <textField/>
      </textFields>
    </textPr>
  </connection>
  <connection id="2" name="20p.log" type="6" refreshedVersion="3" deleted="1" background="1" saveData="1">
    <textPr codePage="437" sourceFile="C:\cygwin\home\gkarvoun\EclipseWorkspace\sharq\experiments\outputs\tods\dbserv4\Xmas-rch-bug\scalabilityInt\2000\20p.log.csv" space="1" consecutive="1">
      <textFields count="3">
        <textField/>
        <textField/>
        <textField/>
      </textFields>
    </textPr>
  </connection>
  <connection id="3" name="30p.log" type="6" refreshedVersion="3" deleted="1" background="1" saveData="1">
    <textPr codePage="437" sourceFile="C:\cygwin\home\gkarvoun\EclipseWorkspace\sharq\experiments\outputs\tods\dbserv4\Xmas-rch-bug\scalabilityInt\2000\30p.log.csv" space="1" consecutive="1">
      <textFields count="3">
        <textField/>
        <textField/>
        <textField/>
      </textFields>
    </textPr>
  </connection>
  <connection id="4" name="40p.log" type="6" refreshedVersion="3" deleted="1" background="1" saveData="1">
    <textPr codePage="437" sourceFile="C:\cygwin\home\gkarvoun\EclipseWorkspace\sharq\experiments\outputs\tods\dbserv4\Xmas-rch-bug\scalabilityInt\2000\40p.log.csv" space="1" consecutive="1">
      <textFields count="3">
        <textField/>
        <textField/>
        <textField/>
      </textFields>
    </textPr>
  </connection>
  <connection id="5" name="50p.log" type="6" refreshedVersion="3" deleted="1" background="1" saveData="1">
    <textPr codePage="437" sourceFile="C:\cygwin\home\gkarvoun\EclipseWorkspace\sharq\experiments\outputs\tods\dbserv4\Xmas-rch-bug\scalabilityInt\2000\50p.log.csv" space="1" consecutive="1">
      <textFields count="3">
        <textField/>
        <textField/>
        <textField/>
      </textFields>
    </textPr>
  </connection>
  <connection id="6" name="60p.log" type="6" refreshedVersion="3" deleted="1" background="1" saveData="1">
    <textPr codePage="437" sourceFile="C:\cygwin\home\gkarvoun\EclipseWorkspace\sharq\experiments\outputs\tods\dbserv4\Xmas-rch-bug\scalabilityInt\2000\60p.log.csv" space="1" consecutive="1">
      <textFields count="3">
        <textField/>
        <textField/>
        <textField/>
      </textFields>
    </textPr>
  </connection>
  <connection id="7" name="70p.log" type="6" refreshedVersion="3" deleted="1" background="1" saveData="1">
    <textPr codePage="437" sourceFile="C:\cygwin\home\gkarvoun\EclipseWorkspace\sharq\experiments\outputs\tods\dbserv4\Xmas-rch-bug\scalabilityInt\2000\70p.log.csv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<sst xmlns="http://schemas.openxmlformats.org/spreadsheetml/2006/main" count="899" uniqueCount="95">
  <si>
    <t>RUN 1</t>
  </si>
  <si>
    <t>RUN 2</t>
  </si>
  <si>
    <t>RUN 3</t>
  </si>
  <si>
    <t>RUN 4</t>
  </si>
  <si>
    <t>RUN 5</t>
  </si>
  <si>
    <t>AVG</t>
  </si>
  <si>
    <t>#peers</t>
  </si>
  <si>
    <t>STDEV</t>
  </si>
  <si>
    <t>CONFIDENCE</t>
  </si>
  <si>
    <t>------------------------------------------------------------------------------------------------------------------------------------------------------------------------------</t>
  </si>
  <si>
    <t>instance size</t>
  </si>
  <si>
    <t>ChainTopology - 1k data at every peer:</t>
  </si>
  <si>
    <t>Scalability of "root" query vs num peers</t>
  </si>
  <si>
    <t>#rules</t>
  </si>
  <si>
    <t>Chain</t>
  </si>
  <si>
    <t>Vee</t>
  </si>
  <si>
    <t>Diamond</t>
  </si>
  <si>
    <t>Chain vee</t>
  </si>
  <si>
    <t>Branched</t>
  </si>
  <si>
    <t>4-ary tree</t>
  </si>
  <si>
    <t>data in leaves</t>
  </si>
  <si>
    <t>data in leaves and middle</t>
  </si>
  <si>
    <t>(10k each)</t>
  </si>
  <si>
    <t>---------------------------------------------------------------------------------------------------------------------------------------------------</t>
  </si>
  <si>
    <t>Root query evaluation time for different topologies of 20 peers</t>
  </si>
  <si>
    <t>Binary tree</t>
  </si>
  <si>
    <t>*large variations (up to 300sec)</t>
  </si>
  <si>
    <t>K</t>
  </si>
  <si>
    <t>Unfolding time</t>
  </si>
  <si>
    <t>Eval time</t>
  </si>
  <si>
    <t>Maintenance time</t>
  </si>
  <si>
    <t>RUN 6</t>
  </si>
  <si>
    <t>RUN 7</t>
  </si>
  <si>
    <t>Scalability of "root" query vs num peers - 4-ary tree Topology - 10k data at leaf and middle peers:</t>
  </si>
  <si>
    <t>Scalability of "root" query vs num peers - 4-ary tree Topology - 10k data at leaf peers:</t>
  </si>
  <si>
    <t>no joins</t>
  </si>
  <si>
    <t>ChainTopology - 10k data at every peer:</t>
  </si>
  <si>
    <t>#peers with local data</t>
  </si>
  <si>
    <t>Chain topology - 8 peers</t>
  </si>
  <si>
    <t xml:space="preserve"> Scalability vs #peers with data (distributed uniformly)</t>
  </si>
  <si>
    <t>sec</t>
  </si>
  <si>
    <t>inner 3</t>
  </si>
  <si>
    <t>--------------------------------------------------------------------------------------------------------------</t>
  </si>
  <si>
    <t>(no joins)</t>
  </si>
  <si>
    <t>Scalability of "root" query vs num peers - Branched topology - 10k data at leaf peers:</t>
  </si>
  <si>
    <t>Scalability of "root" query vs num peers - Chain Topology - 10k data at leaf peers:</t>
  </si>
  <si>
    <t>Scalability of "root" query vs num peers - Chain Topology - 10k data at leaf and middle peers:</t>
  </si>
  <si>
    <t>Scalability of "root" query vs num peers - Branched Topology - 10k data at leaf and middle peers: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</si>
  <si>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</si>
  <si>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Scalability of "root" query for 30 peers - Chain Topology vs different inner join lengths - 10k data at leaf peers</t>
  </si>
  <si>
    <t>Scalability of "middle" query for 30 peers - Chain Topology vs different inner join lengths  - 10k data at leaf peers</t>
  </si>
  <si>
    <t>Scalability of "middle" query for 30 peers - Chain Topology vs different inner join lengths  - 10k data at leaf and middle peers</t>
  </si>
  <si>
    <t>Scalability of "root" query for 30 peers - Branched Topology vs different inner join lengths - 10k data at leaf peers</t>
  </si>
  <si>
    <t>Scalability of "root" query for 30 peers - Chain Topology vs different inner join lengths  - 10k data at leaf and middle peers</t>
  </si>
  <si>
    <t>Scalability of "root" query for 30 peers - Branched Topology vs different inner join lengths  - 10k data at leaf and middle peers</t>
  </si>
  <si>
    <t>Note on joins: length n means that along each chain we try to materialize non-overlapping joins of that length, but if there is a remainder along such a chain that is less than n we materialize that, too.</t>
  </si>
  <si>
    <t>Scalability of "root" query for 30 peers - 4-ary tree Topology vs different inner join lengths - 10k data at leaf peers</t>
  </si>
  <si>
    <t>Scalability of "root" query for 30 peers - 4-ary tree Topology vs different inner join lengths  - 10k data at leaf and middle peers</t>
  </si>
  <si>
    <t>X</t>
  </si>
  <si>
    <t>rules</t>
  </si>
  <si>
    <t>Evaluation time</t>
  </si>
  <si>
    <t>Scalability of "middle" query for 30 peers - Chain Topology vs different join lengths and types  - 10k data at leaf and middle peers</t>
  </si>
  <si>
    <t>Scalability of "root" query for 30 peers - Chain Topology vs different join lengths and types - 10k data at leaf peers</t>
  </si>
  <si>
    <t>Scalability of "root" query for 30 peers - Branched Topology vs different  join lengths and types - 10k data at leaf peers</t>
  </si>
  <si>
    <t>Scalability of "root" query for 30 peers - Branched Topology vs different  join lengths and types  - 10k data at leaf and middle peers</t>
  </si>
  <si>
    <t>Scalability of "root" query for 30 peers - Chain Topology vs different join lengths and types  - 10k data at leaf and middle peers</t>
  </si>
  <si>
    <t>inner</t>
  </si>
  <si>
    <t>left outer</t>
  </si>
  <si>
    <t>full outer</t>
  </si>
  <si>
    <t>full outer 3</t>
  </si>
  <si>
    <t>left outer 3</t>
  </si>
  <si>
    <t>Scalability of "root" query for 8 peers - Chain Topology vs different join lengths and types - 10k data at every other peer</t>
  </si>
  <si>
    <t>Scalability of "root" query vs base size - Chain Topology - 30 peers -  data at leaf peers:</t>
  </si>
  <si>
    <t>Scalability of "root" query vs base size - Chain Topology - 30 peers -  data at leaf and middle peers:</t>
  </si>
  <si>
    <t>2k</t>
  </si>
  <si>
    <t>4k</t>
  </si>
  <si>
    <t>6k</t>
  </si>
  <si>
    <t>8k</t>
  </si>
  <si>
    <t>10k</t>
  </si>
  <si>
    <t>Data at leaf and middle peers - Unfolding time</t>
  </si>
  <si>
    <t>Data at leaf peers - Unfolding time</t>
  </si>
  <si>
    <t>Data at leaf peers - Evaluation time</t>
  </si>
  <si>
    <t>Data at leaf and middle peers - Evaluation time</t>
  </si>
  <si>
    <t>Data at leaf peers - Total ProQL time</t>
  </si>
  <si>
    <t>Data at leaf and middle peers - Total ProQL time</t>
  </si>
  <si>
    <t>Data at leaf and middle peers - instance size</t>
  </si>
  <si>
    <t>Data at leaf peers - Unfolded rules</t>
  </si>
  <si>
    <t>Data at leaf and middle peers - Unfolded rules</t>
  </si>
  <si>
    <t>Data at leaf peers  - instance size</t>
  </si>
  <si>
    <t>Data at leaf peers - Instance size</t>
  </si>
  <si>
    <t>right outer</t>
  </si>
  <si>
    <t>right outer 3</t>
  </si>
  <si>
    <t>Total query processing time</t>
  </si>
  <si>
    <t>X (-101)</t>
  </si>
  <si>
    <t>overlapping inner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</si>
</sst>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26" Type="http://schemas.openxmlformats.org/officeDocument/2006/relationships/chartsheet" Target="chartsheets/sheet20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6.xml"/><Relationship Id="rId34" Type="http://schemas.openxmlformats.org/officeDocument/2006/relationships/chartsheet" Target="chartsheets/sheet28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openxmlformats.org/officeDocument/2006/relationships/worksheet" Target="worksheets/sheet6.xml"/><Relationship Id="rId33" Type="http://schemas.openxmlformats.org/officeDocument/2006/relationships/chartsheet" Target="chartsheets/sheet27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chartsheet" Target="chartsheets/sheet15.xml"/><Relationship Id="rId29" Type="http://schemas.openxmlformats.org/officeDocument/2006/relationships/chartsheet" Target="chartsheets/sheet23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chartsheet" Target="chartsheets/sheet19.xml"/><Relationship Id="rId32" Type="http://schemas.openxmlformats.org/officeDocument/2006/relationships/chartsheet" Target="chartsheets/sheet2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chartsheet" Target="chartsheets/sheet18.xml"/><Relationship Id="rId28" Type="http://schemas.openxmlformats.org/officeDocument/2006/relationships/chartsheet" Target="chartsheets/sheet22.xml"/><Relationship Id="rId36" Type="http://schemas.openxmlformats.org/officeDocument/2006/relationships/chartsheet" Target="chartsheets/sheet30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31" Type="http://schemas.openxmlformats.org/officeDocument/2006/relationships/chartsheet" Target="chartsheets/sheet25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chartsheet" Target="chartsheets/sheet17.xml"/><Relationship Id="rId27" Type="http://schemas.openxmlformats.org/officeDocument/2006/relationships/chartsheet" Target="chartsheets/sheet21.xml"/><Relationship Id="rId30" Type="http://schemas.openxmlformats.org/officeDocument/2006/relationships/chartsheet" Target="chartsheets/sheet24.xml"/><Relationship Id="rId35" Type="http://schemas.openxmlformats.org/officeDocument/2006/relationships/chartsheet" Target="chartsheets/sheet29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506425920547592"/>
          <c:y val="2.9014349231472596E-2"/>
          <c:w val="0.66062978542789985"/>
          <c:h val="0.80034649904953381"/>
        </c:manualLayout>
      </c:layout>
      <c:lineChart>
        <c:grouping val="standard"/>
        <c:ser>
          <c:idx val="0"/>
          <c:order val="0"/>
          <c:tx>
            <c:strRef>
              <c:f>'scale data at all peers'!$O$20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('scale vs peers data'!#REF!,'scale vs peers data'!#REF!,'scale vs peers data'!#REF!,'scale vs peers data'!#REF!,'scale vs peers data'!#REF!)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('scale vs peers data'!#REF!,'scale vs peers data'!#REF!,'scale vs peers data'!#REF!,'scale vs peers data'!#REF!,'scale vs peers data'!#REF!)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</c:errBars>
          <c:cat>
            <c:numRef>
              <c:f>'scale data at all peers'!$I$2:$L$2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cat>
          <c:val>
            <c:numRef>
              <c:f>'scale data at all peers'!$P$28:$S$28</c:f>
              <c:numCache>
                <c:formatCode>General</c:formatCode>
                <c:ptCount val="4"/>
                <c:pt idx="0">
                  <c:v>0.13783333333333334</c:v>
                </c:pt>
                <c:pt idx="1">
                  <c:v>1.0451666666666666</c:v>
                </c:pt>
                <c:pt idx="2">
                  <c:v>6.1479999999999997</c:v>
                </c:pt>
                <c:pt idx="3">
                  <c:v>25.033333333333335</c:v>
                </c:pt>
              </c:numCache>
            </c:numRef>
          </c:val>
        </c:ser>
        <c:ser>
          <c:idx val="1"/>
          <c:order val="1"/>
          <c:tx>
            <c:strRef>
              <c:f>'scale data at all peers'!$H$20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val>
            <c:numRef>
              <c:f>'scale data at all peers'!$I$28:$L$28</c:f>
              <c:numCache>
                <c:formatCode>General</c:formatCode>
                <c:ptCount val="4"/>
                <c:pt idx="0">
                  <c:v>0</c:v>
                </c:pt>
                <c:pt idx="1">
                  <c:v>1.5666666666666666E-2</c:v>
                </c:pt>
                <c:pt idx="2">
                  <c:v>0.26016666666666666</c:v>
                </c:pt>
                <c:pt idx="3">
                  <c:v>4.5446666666666671</c:v>
                </c:pt>
              </c:numCache>
            </c:numRef>
          </c:val>
        </c:ser>
        <c:marker val="1"/>
        <c:axId val="94533120"/>
        <c:axId val="94540160"/>
      </c:lineChart>
      <c:lineChart>
        <c:grouping val="standard"/>
        <c:ser>
          <c:idx val="3"/>
          <c:order val="2"/>
          <c:tx>
            <c:strRef>
              <c:f>'scale data at all peers'!$H$14</c:f>
              <c:strCache>
                <c:ptCount val="1"/>
                <c:pt idx="0">
                  <c:v>rules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cat>
            <c:multiLvlStrRef>
              <c:f>'scale vs peers data'!#REF!</c:f>
            </c:multiLvlStrRef>
          </c:cat>
          <c:val>
            <c:numRef>
              <c:f>'scale data at all peers'!$I$14:$L$14</c:f>
              <c:numCache>
                <c:formatCode>General</c:formatCode>
                <c:ptCount val="4"/>
                <c:pt idx="0">
                  <c:v>2</c:v>
                </c:pt>
                <c:pt idx="1">
                  <c:v>14</c:v>
                </c:pt>
                <c:pt idx="2">
                  <c:v>122</c:v>
                </c:pt>
                <c:pt idx="3">
                  <c:v>1094</c:v>
                </c:pt>
              </c:numCache>
            </c:numRef>
          </c:val>
        </c:ser>
        <c:marker val="1"/>
        <c:axId val="94543872"/>
        <c:axId val="94542080"/>
      </c:lineChart>
      <c:catAx>
        <c:axId val="94533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 b="1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6445566336820051"/>
              <c:y val="0.926186211155879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540160"/>
        <c:crosses val="autoZero"/>
        <c:auto val="1"/>
        <c:lblAlgn val="ctr"/>
        <c:lblOffset val="100"/>
        <c:tickLblSkip val="1"/>
        <c:tickMarkSkip val="1"/>
      </c:catAx>
      <c:valAx>
        <c:axId val="9454016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 b="1">
                    <a:latin typeface="+mn-lt"/>
                  </a:rPr>
                  <a:t>Time</a:t>
                </a:r>
                <a:r>
                  <a:rPr lang="en-US" sz="3000" b="1">
                    <a:latin typeface="+mn-lt"/>
                  </a:rPr>
                  <a:t> (sec)</a:t>
                </a:r>
              </a:p>
            </c:rich>
          </c:tx>
          <c:layout>
            <c:manualLayout>
              <c:xMode val="edge"/>
              <c:yMode val="edge"/>
              <c:x val="5.2753049785690736E-3"/>
              <c:y val="0.3394817742643849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533120"/>
        <c:crosses val="autoZero"/>
        <c:crossBetween val="between"/>
        <c:majorUnit val="5"/>
      </c:valAx>
      <c:valAx>
        <c:axId val="94542080"/>
        <c:scaling>
          <c:orientation val="minMax"/>
          <c:max val="1400"/>
          <c:min val="0"/>
        </c:scaling>
        <c:axPos val="r"/>
        <c:numFmt formatCode="General" sourceLinked="1"/>
        <c:tickLblPos val="nextTo"/>
        <c:spPr>
          <a:ln w="3175">
            <a:solidFill>
              <a:schemeClr val="tx1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4543872"/>
        <c:crosses val="max"/>
        <c:crossBetween val="between"/>
      </c:valAx>
      <c:catAx>
        <c:axId val="94543872"/>
        <c:scaling>
          <c:orientation val="minMax"/>
        </c:scaling>
        <c:delete val="1"/>
        <c:axPos val="b"/>
        <c:numFmt formatCode="General" sourceLinked="1"/>
        <c:tickLblPos val="none"/>
        <c:crossAx val="94542080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31493996486325"/>
          <c:y val="2.3581185315498565E-4"/>
          <c:w val="0.27761123414904981"/>
          <c:h val="0.1621583468573124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60112286092875"/>
          <c:y val="2.9014349231472596E-2"/>
          <c:w val="0.66968281602408852"/>
          <c:h val="0.80034649904953381"/>
        </c:manualLayout>
      </c:layout>
      <c:scatterChart>
        <c:scatterStyle val="lineMarker"/>
        <c:ser>
          <c:idx val="0"/>
          <c:order val="0"/>
          <c:tx>
            <c:strRef>
              <c:f>'scale data at all peers'!$O$37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5"/>
            <c:spPr>
              <a:solidFill>
                <a:schemeClr val="accent1"/>
              </a:solidFill>
            </c:spPr>
          </c:marker>
          <c:errBars>
            <c:errDir val="y"/>
            <c:errBarType val="both"/>
            <c:errValType val="cust"/>
            <c:plus>
              <c:numRef>
                <c:f>('scale vs peers data'!#REF!,'scale vs peers data'!#REF!,'scale vs peers data'!#REF!,'scale vs peers data'!#REF!,'scale vs peers data'!#REF!)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('scale vs peers data'!#REF!,'scale vs peers data'!#REF!,'scale vs peers data'!#REF!,'scale vs peers data'!#REF!,'scale vs peers data'!#REF!)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</c:errBars>
          <c:xVal>
            <c:numRef>
              <c:f>'scale data at all peers'!$B$36:$E$36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xVal>
          <c:yVal>
            <c:numRef>
              <c:f>'scale data at all peers'!$P$45:$S$45</c:f>
              <c:numCache>
                <c:formatCode>General</c:formatCode>
                <c:ptCount val="4"/>
                <c:pt idx="0">
                  <c:v>0.33283333333333331</c:v>
                </c:pt>
                <c:pt idx="1">
                  <c:v>0.54083333333333339</c:v>
                </c:pt>
                <c:pt idx="2">
                  <c:v>2.3690000000000002</c:v>
                </c:pt>
                <c:pt idx="3">
                  <c:v>25.033333333333335</c:v>
                </c:pt>
              </c:numCache>
            </c:numRef>
          </c:yVal>
        </c:ser>
        <c:ser>
          <c:idx val="1"/>
          <c:order val="2"/>
          <c:tx>
            <c:strRef>
              <c:f>'scale data at all peers'!$H$37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'scale data at all peers'!$I$36:$L$36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xVal>
          <c:yVal>
            <c:numRef>
              <c:f>'scale data at all peers'!$I$45:$L$45</c:f>
              <c:numCache>
                <c:formatCode>General</c:formatCode>
                <c:ptCount val="4"/>
                <c:pt idx="0">
                  <c:v>2.8500000000000001E-2</c:v>
                </c:pt>
                <c:pt idx="1">
                  <c:v>3.1833333333333332E-2</c:v>
                </c:pt>
                <c:pt idx="2">
                  <c:v>0.1245</c:v>
                </c:pt>
                <c:pt idx="3">
                  <c:v>4.5446666666666671</c:v>
                </c:pt>
              </c:numCache>
            </c:numRef>
          </c:yVal>
        </c:ser>
        <c:axId val="94485120"/>
        <c:axId val="94569600"/>
      </c:scatterChart>
      <c:scatterChart>
        <c:scatterStyle val="lineMarker"/>
        <c:ser>
          <c:idx val="3"/>
          <c:order val="1"/>
          <c:tx>
            <c:strRef>
              <c:f>'scale data at all peers'!$A$48</c:f>
              <c:strCache>
                <c:ptCount val="1"/>
                <c:pt idx="0">
                  <c:v>rules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square"/>
            <c:size val="15"/>
            <c:spPr>
              <a:noFill/>
              <a:ln w="25400">
                <a:solidFill>
                  <a:srgbClr val="1F497D">
                    <a:lumMod val="40000"/>
                    <a:lumOff val="60000"/>
                  </a:srgbClr>
                </a:solidFill>
              </a:ln>
            </c:spPr>
          </c:marker>
          <c:xVal>
            <c:numRef>
              <c:f>'scale data at all peers'!$B$36:$E$36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xVal>
          <c:yVal>
            <c:numRef>
              <c:f>'scale data at all peers'!$B$48:$E$48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40</c:v>
                </c:pt>
                <c:pt idx="3">
                  <c:v>1094</c:v>
                </c:pt>
              </c:numCache>
            </c:numRef>
          </c:yVal>
        </c:ser>
        <c:axId val="94585600"/>
        <c:axId val="94571520"/>
      </c:scatterChart>
      <c:valAx>
        <c:axId val="94485120"/>
        <c:scaling>
          <c:orientation val="minMax"/>
          <c:max val="9"/>
          <c:min val="0"/>
        </c:scaling>
        <c:axPos val="b"/>
        <c:title>
          <c:tx>
            <c:rich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 b="1">
                    <a:latin typeface="+mn-lt"/>
                  </a:rPr>
                  <a:t>Number of peers with data</a:t>
                </a:r>
              </a:p>
            </c:rich>
          </c:tx>
          <c:layout>
            <c:manualLayout>
              <c:xMode val="edge"/>
              <c:yMode val="edge"/>
              <c:x val="0.26099245655461822"/>
              <c:y val="0.924488472757314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569600"/>
        <c:crosses val="autoZero"/>
        <c:crossBetween val="midCat"/>
        <c:majorUnit val="2"/>
        <c:minorUnit val="1"/>
      </c:valAx>
      <c:valAx>
        <c:axId val="9456960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200" b="1">
                    <a:latin typeface="+mn-lt"/>
                  </a:rPr>
                  <a:t>Time</a:t>
                </a:r>
                <a:r>
                  <a:rPr lang="en-US" sz="3000" b="1">
                    <a:latin typeface="+mn-lt"/>
                  </a:rPr>
                  <a:t> (sec)</a:t>
                </a:r>
              </a:p>
            </c:rich>
          </c:tx>
          <c:layout>
            <c:manualLayout>
              <c:xMode val="edge"/>
              <c:yMode val="edge"/>
              <c:x val="2.6887195369084634E-3"/>
              <c:y val="0.3343885601841579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485120"/>
        <c:crosses val="autoZero"/>
        <c:crossBetween val="midCat"/>
        <c:majorUnit val="5"/>
      </c:valAx>
      <c:valAx>
        <c:axId val="94571520"/>
        <c:scaling>
          <c:orientation val="minMax"/>
          <c:max val="1400"/>
          <c:min val="0"/>
        </c:scaling>
        <c:axPos val="r"/>
        <c:numFmt formatCode="General" sourceLinked="1"/>
        <c:tickLblPos val="nextTo"/>
        <c:spPr>
          <a:ln w="3175" cmpd="sng">
            <a:solidFill>
              <a:schemeClr val="tx1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4585600"/>
        <c:crosses val="max"/>
        <c:crossBetween val="midCat"/>
        <c:majorUnit val="200"/>
      </c:valAx>
      <c:valAx>
        <c:axId val="94585600"/>
        <c:scaling>
          <c:orientation val="minMax"/>
        </c:scaling>
        <c:delete val="1"/>
        <c:axPos val="b"/>
        <c:numFmt formatCode="General" sourceLinked="1"/>
        <c:tickLblPos val="none"/>
        <c:crossAx val="945715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096861928350507"/>
          <c:y val="3.6312886502846047E-3"/>
          <c:w val="0.28278439448972881"/>
          <c:h val="0.16555382365444207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0462435994690414"/>
          <c:y val="2.9641857190595405E-2"/>
          <c:w val="0.72835782516828318"/>
          <c:h val="0.81302564749924511"/>
        </c:manualLayout>
      </c:layout>
      <c:lineChart>
        <c:grouping val="standard"/>
        <c:ser>
          <c:idx val="3"/>
          <c:order val="0"/>
          <c:tx>
            <c:strRef>
              <c:f>'scale vs peers'!$P$21</c:f>
              <c:strCache>
                <c:ptCount val="1"/>
                <c:pt idx="0">
                  <c:v>Data at leaf and middle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noFill/>
              <a:ln w="25400"/>
            </c:spPr>
          </c:marker>
          <c:cat>
            <c:numRef>
              <c:f>'scale vs peers'!$B$22:$G$22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peers'!$P$31:$U$31</c:f>
              <c:numCache>
                <c:formatCode>General</c:formatCode>
                <c:ptCount val="6"/>
                <c:pt idx="0">
                  <c:v>0.50716666666666665</c:v>
                </c:pt>
                <c:pt idx="1">
                  <c:v>0.71766666666666667</c:v>
                </c:pt>
                <c:pt idx="2">
                  <c:v>1.0841666666666667</c:v>
                </c:pt>
                <c:pt idx="3">
                  <c:v>1.4688333333333334</c:v>
                </c:pt>
                <c:pt idx="4">
                  <c:v>2.0590000000000002</c:v>
                </c:pt>
                <c:pt idx="5">
                  <c:v>2.5873333333333335</c:v>
                </c:pt>
              </c:numCache>
            </c:numRef>
          </c:val>
        </c:ser>
        <c:ser>
          <c:idx val="1"/>
          <c:order val="2"/>
          <c:tx>
            <c:strRef>
              <c:f>'scale vs peers'!$P$3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ln w="25400"/>
            </c:spPr>
          </c:marker>
          <c:cat>
            <c:numRef>
              <c:f>'scale vs peers'!$B$22:$G$22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peers'!$P$13:$U$13</c:f>
              <c:numCache>
                <c:formatCode>General</c:formatCode>
                <c:ptCount val="6"/>
                <c:pt idx="0">
                  <c:v>0.21866666666666668</c:v>
                </c:pt>
                <c:pt idx="1">
                  <c:v>0.45183333333333331</c:v>
                </c:pt>
                <c:pt idx="2">
                  <c:v>0.64733333333333332</c:v>
                </c:pt>
                <c:pt idx="3">
                  <c:v>0.93300000000000005</c:v>
                </c:pt>
                <c:pt idx="4">
                  <c:v>1.1386666666666667</c:v>
                </c:pt>
                <c:pt idx="5">
                  <c:v>1.4378333333333333</c:v>
                </c:pt>
              </c:numCache>
            </c:numRef>
          </c:val>
        </c:ser>
        <c:ser>
          <c:idx val="2"/>
          <c:order val="4"/>
          <c:tx>
            <c:strRef>
              <c:f>'scale vs peers'!$I$21</c:f>
              <c:strCache>
                <c:ptCount val="1"/>
                <c:pt idx="0">
                  <c:v>Data at leaf and middle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noFill/>
              <a:ln w="25400"/>
            </c:spPr>
          </c:marker>
          <c:cat>
            <c:numRef>
              <c:f>'scale vs peers'!$B$22:$G$22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peers'!$I$31:$N$31</c:f>
              <c:numCache>
                <c:formatCode>General</c:formatCode>
                <c:ptCount val="6"/>
                <c:pt idx="0">
                  <c:v>1.5666666666666666E-2</c:v>
                </c:pt>
                <c:pt idx="1">
                  <c:v>5.1833333333333335E-2</c:v>
                </c:pt>
                <c:pt idx="2">
                  <c:v>0.10416666666666667</c:v>
                </c:pt>
                <c:pt idx="3">
                  <c:v>0.185</c:v>
                </c:pt>
                <c:pt idx="4">
                  <c:v>0.28616666666666668</c:v>
                </c:pt>
                <c:pt idx="5">
                  <c:v>0.42349999999999999</c:v>
                </c:pt>
              </c:numCache>
            </c:numRef>
          </c:val>
        </c:ser>
        <c:ser>
          <c:idx val="0"/>
          <c:order val="5"/>
          <c:tx>
            <c:strRef>
              <c:f>'scale vs peers'!$I$3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cat>
            <c:numRef>
              <c:f>'scale vs peers'!$B$22:$G$22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peers'!$I$13:$N$13</c:f>
              <c:numCache>
                <c:formatCode>General</c:formatCode>
                <c:ptCount val="6"/>
                <c:pt idx="0">
                  <c:v>1.2833333333333334E-2</c:v>
                </c:pt>
                <c:pt idx="1">
                  <c:v>4.1666666666666664E-2</c:v>
                </c:pt>
                <c:pt idx="2">
                  <c:v>8.5833333333333331E-2</c:v>
                </c:pt>
                <c:pt idx="3">
                  <c:v>0.15633333333333332</c:v>
                </c:pt>
                <c:pt idx="4">
                  <c:v>0.24916666666666668</c:v>
                </c:pt>
                <c:pt idx="5">
                  <c:v>0.36666666666666664</c:v>
                </c:pt>
              </c:numCache>
            </c:numRef>
          </c:val>
        </c:ser>
        <c:marker val="1"/>
        <c:axId val="94676096"/>
        <c:axId val="94678400"/>
      </c:lineChart>
      <c:lineChart>
        <c:grouping val="standard"/>
        <c:ser>
          <c:idx val="4"/>
          <c:order val="1"/>
          <c:tx>
            <c:strRef>
              <c:f>'scale vs peers'!$A$35</c:f>
              <c:strCache>
                <c:ptCount val="1"/>
                <c:pt idx="0">
                  <c:v>Data at leaf and middle peers - instance size</c:v>
                </c:pt>
              </c:strCache>
            </c:strRef>
          </c:tx>
          <c:spPr>
            <a:ln w="38100"/>
          </c:spPr>
          <c:marker>
            <c:symbol val="circle"/>
            <c:size val="17"/>
            <c:spPr>
              <a:noFill/>
              <a:ln w="25400"/>
            </c:spPr>
          </c:marker>
          <c:cat>
            <c:numRef>
              <c:f>'scale vs peers'!$B$22:$G$22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peers'!$B$35:$G$35</c:f>
              <c:numCache>
                <c:formatCode>General</c:formatCode>
                <c:ptCount val="6"/>
                <c:pt idx="0">
                  <c:v>260</c:v>
                </c:pt>
                <c:pt idx="1">
                  <c:v>470</c:v>
                </c:pt>
                <c:pt idx="2">
                  <c:v>710</c:v>
                </c:pt>
                <c:pt idx="3">
                  <c:v>920</c:v>
                </c:pt>
                <c:pt idx="4">
                  <c:v>1160</c:v>
                </c:pt>
                <c:pt idx="5">
                  <c:v>1370</c:v>
                </c:pt>
              </c:numCache>
            </c:numRef>
          </c:val>
        </c:ser>
        <c:ser>
          <c:idx val="5"/>
          <c:order val="3"/>
          <c:tx>
            <c:strRef>
              <c:f>'scale vs peers'!$A$17</c:f>
              <c:strCache>
                <c:ptCount val="1"/>
                <c:pt idx="0">
                  <c:v>Data at leaf peers  - instance size</c:v>
                </c:pt>
              </c:strCache>
            </c:strRef>
          </c:tx>
          <c:spPr>
            <a:ln w="38100"/>
          </c:spPr>
          <c:marker>
            <c:symbol val="circle"/>
            <c:size val="17"/>
            <c:spPr>
              <a:ln w="25400"/>
            </c:spPr>
          </c:marker>
          <c:val>
            <c:numRef>
              <c:f>'scale vs peers'!$B$17:$G$17</c:f>
              <c:numCache>
                <c:formatCode>General</c:formatCode>
                <c:ptCount val="6"/>
                <c:pt idx="0">
                  <c:v>160</c:v>
                </c:pt>
                <c:pt idx="1">
                  <c:v>310</c:v>
                </c:pt>
                <c:pt idx="2">
                  <c:v>460</c:v>
                </c:pt>
                <c:pt idx="3">
                  <c:v>610</c:v>
                </c:pt>
                <c:pt idx="4">
                  <c:v>760</c:v>
                </c:pt>
                <c:pt idx="5">
                  <c:v>910</c:v>
                </c:pt>
              </c:numCache>
            </c:numRef>
          </c:val>
        </c:ser>
        <c:marker val="1"/>
        <c:axId val="94710784"/>
        <c:axId val="94709248"/>
      </c:lineChart>
      <c:catAx>
        <c:axId val="946760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678400"/>
        <c:crosses val="autoZero"/>
        <c:auto val="1"/>
        <c:lblAlgn val="ctr"/>
        <c:lblOffset val="100"/>
        <c:tickMarkSkip val="1"/>
      </c:catAx>
      <c:valAx>
        <c:axId val="94678400"/>
        <c:scaling>
          <c:orientation val="minMax"/>
          <c:max val="4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3178781106716739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676096"/>
        <c:crosses val="autoZero"/>
        <c:crossBetween val="between"/>
        <c:majorUnit val="1"/>
      </c:valAx>
      <c:valAx>
        <c:axId val="94709248"/>
        <c:scaling>
          <c:orientation val="minMax"/>
          <c:max val="2200"/>
          <c:min val="0"/>
        </c:scaling>
        <c:axPos val="r"/>
        <c:numFmt formatCode="General" sourceLinked="1"/>
        <c:tickLblPos val="nextTo"/>
        <c:spPr>
          <a:ln w="3175">
            <a:solidFill>
              <a:schemeClr val="tx1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4710784"/>
        <c:crosses val="max"/>
        <c:crossBetween val="between"/>
      </c:valAx>
      <c:catAx>
        <c:axId val="94710784"/>
        <c:scaling>
          <c:orientation val="minMax"/>
        </c:scaling>
        <c:delete val="1"/>
        <c:axPos val="b"/>
        <c:numFmt formatCode="General" sourceLinked="1"/>
        <c:tickLblPos val="none"/>
        <c:crossAx val="94709248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7242521128733522E-2"/>
          <c:y val="3.9816492665389839E-3"/>
          <c:w val="0.73648845250742689"/>
          <c:h val="0.3127502607858488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0462435994690417"/>
          <c:y val="2.9641857190595408E-2"/>
          <c:w val="0.72835782516828329"/>
          <c:h val="0.80304734466906103"/>
        </c:manualLayout>
      </c:layout>
      <c:lineChart>
        <c:grouping val="standard"/>
        <c:ser>
          <c:idx val="3"/>
          <c:order val="0"/>
          <c:tx>
            <c:strRef>
              <c:f>'scale vs data'!$N$21</c:f>
              <c:strCache>
                <c:ptCount val="1"/>
                <c:pt idx="0">
                  <c:v>Data at leaf and middle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noFill/>
              <a:ln w="25400"/>
            </c:spPr>
          </c:marker>
          <c:cat>
            <c:strRef>
              <c:f>'scale vs data'!$N$22:$R$22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'scale vs data'!$N$31:$R$31</c:f>
              <c:numCache>
                <c:formatCode>General</c:formatCode>
                <c:ptCount val="5"/>
                <c:pt idx="0">
                  <c:v>0.54083333333333339</c:v>
                </c:pt>
                <c:pt idx="1">
                  <c:v>1.4558333333333333</c:v>
                </c:pt>
                <c:pt idx="2">
                  <c:v>1.5731666666666666</c:v>
                </c:pt>
                <c:pt idx="3">
                  <c:v>2.0565000000000002</c:v>
                </c:pt>
                <c:pt idx="4">
                  <c:v>2.5818333333333334</c:v>
                </c:pt>
              </c:numCache>
            </c:numRef>
          </c:val>
        </c:ser>
        <c:ser>
          <c:idx val="1"/>
          <c:order val="2"/>
          <c:tx>
            <c:strRef>
              <c:f>'scale vs data'!$N$3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ln w="25400"/>
            </c:spPr>
          </c:marker>
          <c:cat>
            <c:strRef>
              <c:f>'scale vs data'!$N$22:$R$22</c:f>
              <c:strCache>
                <c:ptCount val="5"/>
                <c:pt idx="0">
                  <c:v>2k</c:v>
                </c:pt>
                <c:pt idx="1">
                  <c:v>4k</c:v>
                </c:pt>
                <c:pt idx="2">
                  <c:v>6k</c:v>
                </c:pt>
                <c:pt idx="3">
                  <c:v>8k</c:v>
                </c:pt>
                <c:pt idx="4">
                  <c:v>10k</c:v>
                </c:pt>
              </c:strCache>
            </c:strRef>
          </c:cat>
          <c:val>
            <c:numRef>
              <c:f>'scale vs data'!$N$13:$R$13</c:f>
              <c:numCache>
                <c:formatCode>General</c:formatCode>
                <c:ptCount val="5"/>
                <c:pt idx="0">
                  <c:v>0.30133333333333334</c:v>
                </c:pt>
                <c:pt idx="1">
                  <c:v>0.60833333333333328</c:v>
                </c:pt>
                <c:pt idx="2">
                  <c:v>0.87083333333333335</c:v>
                </c:pt>
                <c:pt idx="3">
                  <c:v>1.1646666666666667</c:v>
                </c:pt>
                <c:pt idx="4">
                  <c:v>1.4351666666666667</c:v>
                </c:pt>
              </c:numCache>
            </c:numRef>
          </c:val>
        </c:ser>
        <c:marker val="1"/>
        <c:axId val="94746496"/>
        <c:axId val="94765440"/>
      </c:lineChart>
      <c:lineChart>
        <c:grouping val="standard"/>
        <c:ser>
          <c:idx val="4"/>
          <c:order val="1"/>
          <c:tx>
            <c:strRef>
              <c:f>'scale vs data'!$A$35</c:f>
              <c:strCache>
                <c:ptCount val="1"/>
                <c:pt idx="0">
                  <c:v>Data at leaf and middle peers - instance size</c:v>
                </c:pt>
              </c:strCache>
            </c:strRef>
          </c:tx>
          <c:spPr>
            <a:ln w="38100"/>
          </c:spPr>
          <c:marker>
            <c:symbol val="circle"/>
            <c:size val="17"/>
            <c:spPr>
              <a:noFill/>
              <a:ln w="25400"/>
            </c:spPr>
          </c:marker>
          <c:cat>
            <c:numRef>
              <c:f>'scale vs peers'!$B$22:$G$22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data'!$B$35:$F$35</c:f>
              <c:numCache>
                <c:formatCode>General</c:formatCode>
                <c:ptCount val="5"/>
                <c:pt idx="0">
                  <c:v>274</c:v>
                </c:pt>
                <c:pt idx="1">
                  <c:v>548</c:v>
                </c:pt>
                <c:pt idx="2">
                  <c:v>822</c:v>
                </c:pt>
                <c:pt idx="3">
                  <c:v>1096</c:v>
                </c:pt>
                <c:pt idx="4">
                  <c:v>1370</c:v>
                </c:pt>
              </c:numCache>
            </c:numRef>
          </c:val>
        </c:ser>
        <c:ser>
          <c:idx val="5"/>
          <c:order val="3"/>
          <c:tx>
            <c:strRef>
              <c:f>'scale vs data'!$A$17</c:f>
              <c:strCache>
                <c:ptCount val="1"/>
                <c:pt idx="0">
                  <c:v>Data at leaf peers  - instance size</c:v>
                </c:pt>
              </c:strCache>
            </c:strRef>
          </c:tx>
          <c:spPr>
            <a:ln w="38100"/>
          </c:spPr>
          <c:marker>
            <c:symbol val="circle"/>
            <c:size val="17"/>
            <c:spPr>
              <a:ln w="25400"/>
            </c:spPr>
          </c:marker>
          <c:val>
            <c:numRef>
              <c:f>'scale vs data'!$B$17:$F$17</c:f>
              <c:numCache>
                <c:formatCode>General</c:formatCode>
                <c:ptCount val="5"/>
                <c:pt idx="0">
                  <c:v>182</c:v>
                </c:pt>
                <c:pt idx="1">
                  <c:v>364</c:v>
                </c:pt>
                <c:pt idx="2">
                  <c:v>546</c:v>
                </c:pt>
                <c:pt idx="3">
                  <c:v>728</c:v>
                </c:pt>
                <c:pt idx="4">
                  <c:v>910</c:v>
                </c:pt>
              </c:numCache>
            </c:numRef>
          </c:val>
        </c:ser>
        <c:marker val="1"/>
        <c:axId val="94777344"/>
        <c:axId val="94767360"/>
      </c:lineChart>
      <c:catAx>
        <c:axId val="94746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06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765440"/>
        <c:crosses val="autoZero"/>
        <c:auto val="1"/>
        <c:lblAlgn val="ctr"/>
        <c:lblOffset val="100"/>
        <c:tickMarkSkip val="1"/>
      </c:catAx>
      <c:valAx>
        <c:axId val="94765440"/>
        <c:scaling>
          <c:orientation val="minMax"/>
          <c:max val="4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3178781106716740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746496"/>
        <c:crosses val="autoZero"/>
        <c:crossBetween val="between"/>
        <c:majorUnit val="1"/>
      </c:valAx>
      <c:valAx>
        <c:axId val="94767360"/>
        <c:scaling>
          <c:orientation val="minMax"/>
          <c:max val="2200"/>
          <c:min val="0"/>
        </c:scaling>
        <c:axPos val="r"/>
        <c:numFmt formatCode="General" sourceLinked="1"/>
        <c:tickLblPos val="nextTo"/>
        <c:spPr>
          <a:ln w="3175">
            <a:solidFill>
              <a:schemeClr val="tx1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4777344"/>
        <c:crosses val="max"/>
        <c:crossBetween val="between"/>
      </c:valAx>
      <c:catAx>
        <c:axId val="94777344"/>
        <c:scaling>
          <c:orientation val="minMax"/>
        </c:scaling>
        <c:delete val="1"/>
        <c:axPos val="b"/>
        <c:numFmt formatCode="General" sourceLinked="1"/>
        <c:tickLblPos val="none"/>
        <c:crossAx val="94767360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7242521128733508E-2"/>
          <c:y val="3.9816492665389848E-3"/>
          <c:w val="0.736488452507427"/>
          <c:h val="0.21296677262223943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2386420527268724"/>
          <c:y val="2.9641857190595408E-2"/>
          <c:w val="0.72194454339302216"/>
          <c:h val="0.80304734466906103"/>
        </c:manualLayout>
      </c:layout>
      <c:lineChart>
        <c:grouping val="standard"/>
        <c:ser>
          <c:idx val="3"/>
          <c:order val="0"/>
          <c:tx>
            <c:strRef>
              <c:f>'scale vs peers'!$P$58</c:f>
              <c:strCache>
                <c:ptCount val="1"/>
                <c:pt idx="0">
                  <c:v>Data at leaf and middle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noFill/>
              <a:ln w="25400"/>
            </c:spPr>
          </c:marker>
          <c:cat>
            <c:numRef>
              <c:f>'scale vs peers'!$B$59:$G$59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peers'!$P$68:$U$68</c:f>
              <c:numCache>
                <c:formatCode>General</c:formatCode>
                <c:ptCount val="6"/>
                <c:pt idx="0">
                  <c:v>0.53016666666666667</c:v>
                </c:pt>
                <c:pt idx="1">
                  <c:v>8.7155000000000005</c:v>
                </c:pt>
                <c:pt idx="2">
                  <c:v>11.325666666666667</c:v>
                </c:pt>
                <c:pt idx="3">
                  <c:v>12.403499999999999</c:v>
                </c:pt>
                <c:pt idx="4">
                  <c:v>12.483499999999999</c:v>
                </c:pt>
                <c:pt idx="5">
                  <c:v>16.055333333333333</c:v>
                </c:pt>
              </c:numCache>
            </c:numRef>
          </c:val>
        </c:ser>
        <c:ser>
          <c:idx val="2"/>
          <c:order val="2"/>
          <c:tx>
            <c:strRef>
              <c:f>'scale vs peers'!$I$58</c:f>
              <c:strCache>
                <c:ptCount val="1"/>
                <c:pt idx="0">
                  <c:v>Data at leaf and middle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noFill/>
              <a:ln w="25400"/>
            </c:spPr>
          </c:marker>
          <c:cat>
            <c:numRef>
              <c:f>'scale vs peers'!$B$59:$G$59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peers'!$I$68:$N$68</c:f>
              <c:numCache>
                <c:formatCode>General</c:formatCode>
                <c:ptCount val="6"/>
                <c:pt idx="0">
                  <c:v>1.3166666666666667E-2</c:v>
                </c:pt>
                <c:pt idx="1">
                  <c:v>1.5756666666666668</c:v>
                </c:pt>
                <c:pt idx="2">
                  <c:v>2.0880000000000001</c:v>
                </c:pt>
                <c:pt idx="3">
                  <c:v>2.9326666666666665</c:v>
                </c:pt>
                <c:pt idx="4">
                  <c:v>4.0456666666666665</c:v>
                </c:pt>
                <c:pt idx="5">
                  <c:v>5.1609999999999996</c:v>
                </c:pt>
              </c:numCache>
            </c:numRef>
          </c:val>
        </c:ser>
        <c:ser>
          <c:idx val="1"/>
          <c:order val="3"/>
          <c:tx>
            <c:strRef>
              <c:f>'scale vs peers'!$P$40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ln w="25400"/>
            </c:spPr>
          </c:marker>
          <c:cat>
            <c:numRef>
              <c:f>'scale vs peers'!$B$59:$G$59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peers'!$P$50:$U$50</c:f>
              <c:numCache>
                <c:formatCode>General</c:formatCode>
                <c:ptCount val="6"/>
                <c:pt idx="0">
                  <c:v>0.52300000000000002</c:v>
                </c:pt>
                <c:pt idx="1">
                  <c:v>0.84866666666666668</c:v>
                </c:pt>
                <c:pt idx="2">
                  <c:v>1.298</c:v>
                </c:pt>
                <c:pt idx="3">
                  <c:v>2.0413333333333332</c:v>
                </c:pt>
                <c:pt idx="4">
                  <c:v>2.2856666666666667</c:v>
                </c:pt>
                <c:pt idx="5">
                  <c:v>2.5714999999999999</c:v>
                </c:pt>
              </c:numCache>
            </c:numRef>
          </c:val>
        </c:ser>
        <c:ser>
          <c:idx val="0"/>
          <c:order val="4"/>
          <c:tx>
            <c:strRef>
              <c:f>'scale vs peers'!$I$40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cat>
            <c:numRef>
              <c:f>'scale vs peers'!$B$59:$G$59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peers'!$I$50:$N$50</c:f>
              <c:numCache>
                <c:formatCode>General</c:formatCode>
                <c:ptCount val="6"/>
                <c:pt idx="0">
                  <c:v>1.5833333333333335E-2</c:v>
                </c:pt>
                <c:pt idx="1">
                  <c:v>7.2833333333333333E-2</c:v>
                </c:pt>
                <c:pt idx="2">
                  <c:v>0.1535</c:v>
                </c:pt>
                <c:pt idx="3">
                  <c:v>0.24933333333333332</c:v>
                </c:pt>
                <c:pt idx="4">
                  <c:v>0.37416666666666665</c:v>
                </c:pt>
                <c:pt idx="5">
                  <c:v>0.54349999999999998</c:v>
                </c:pt>
              </c:numCache>
            </c:numRef>
          </c:val>
        </c:ser>
        <c:marker val="1"/>
        <c:axId val="94949376"/>
        <c:axId val="94951680"/>
      </c:lineChart>
      <c:lineChart>
        <c:grouping val="standard"/>
        <c:ser>
          <c:idx val="5"/>
          <c:order val="1"/>
          <c:tx>
            <c:strRef>
              <c:f>'scale vs peers'!$A$71</c:f>
              <c:strCache>
                <c:ptCount val="1"/>
                <c:pt idx="0">
                  <c:v>Data at leaf and middle peers - Unfolded rules</c:v>
                </c:pt>
              </c:strCache>
            </c:strRef>
          </c:tx>
          <c:spPr>
            <a:ln w="38100"/>
          </c:spPr>
          <c:marker>
            <c:symbol val="circle"/>
            <c:size val="17"/>
            <c:spPr>
              <a:noFill/>
              <a:ln w="25400"/>
            </c:spPr>
          </c:marker>
          <c:cat>
            <c:numRef>
              <c:f>'scale vs peers'!$B$59:$G$59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peers'!$B$71:$G$71</c:f>
              <c:numCache>
                <c:formatCode>General</c:formatCode>
                <c:ptCount val="6"/>
                <c:pt idx="0">
                  <c:v>5</c:v>
                </c:pt>
                <c:pt idx="1">
                  <c:v>364</c:v>
                </c:pt>
                <c:pt idx="2">
                  <c:v>364</c:v>
                </c:pt>
                <c:pt idx="3">
                  <c:v>364</c:v>
                </c:pt>
                <c:pt idx="4">
                  <c:v>364</c:v>
                </c:pt>
                <c:pt idx="5">
                  <c:v>364</c:v>
                </c:pt>
              </c:numCache>
            </c:numRef>
          </c:val>
        </c:ser>
        <c:ser>
          <c:idx val="4"/>
          <c:order val="5"/>
          <c:tx>
            <c:strRef>
              <c:f>'scale vs peers'!$A$53</c:f>
              <c:strCache>
                <c:ptCount val="1"/>
                <c:pt idx="0">
                  <c:v>Data at leaf peers - Unfolded rules</c:v>
                </c:pt>
              </c:strCache>
            </c:strRef>
          </c:tx>
          <c:spPr>
            <a:ln w="38100"/>
          </c:spPr>
          <c:marker>
            <c:symbol val="circle"/>
            <c:size val="17"/>
            <c:spPr>
              <a:ln w="25400"/>
            </c:spPr>
          </c:marker>
          <c:cat>
            <c:numRef>
              <c:f>'scale vs peers'!$B$59:$G$59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peers'!$B$53:$G$53</c:f>
              <c:numCache>
                <c:formatCode>General</c:formatCode>
                <c:ptCount val="6"/>
                <c:pt idx="0">
                  <c:v>5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</c:numCache>
            </c:numRef>
          </c:val>
        </c:ser>
        <c:marker val="1"/>
        <c:axId val="87562112"/>
        <c:axId val="87560576"/>
      </c:lineChart>
      <c:catAx>
        <c:axId val="949493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06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951680"/>
        <c:crosses val="autoZero"/>
        <c:auto val="1"/>
        <c:lblAlgn val="ctr"/>
        <c:lblOffset val="100"/>
        <c:tickMarkSkip val="1"/>
      </c:catAx>
      <c:valAx>
        <c:axId val="94951680"/>
        <c:scaling>
          <c:orientation val="minMax"/>
          <c:max val="26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3195411688077339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949376"/>
        <c:crosses val="autoZero"/>
        <c:crossBetween val="between"/>
        <c:majorUnit val="5"/>
      </c:valAx>
      <c:valAx>
        <c:axId val="87560576"/>
        <c:scaling>
          <c:orientation val="minMax"/>
          <c:max val="600"/>
        </c:scaling>
        <c:axPos val="r"/>
        <c:numFmt formatCode="General" sourceLinked="1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87562112"/>
        <c:crosses val="max"/>
        <c:crossBetween val="between"/>
      </c:valAx>
      <c:catAx>
        <c:axId val="87562112"/>
        <c:scaling>
          <c:orientation val="minMax"/>
        </c:scaling>
        <c:delete val="1"/>
        <c:axPos val="b"/>
        <c:numFmt formatCode="General" sourceLinked="1"/>
        <c:tickLblPos val="none"/>
        <c:crossAx val="87560576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1776502280956888"/>
          <c:y val="2.318591130478827E-3"/>
          <c:w val="0.73648845250742689"/>
          <c:h val="0.31108720264978851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3925608153331376"/>
          <c:y val="2.9641857190595412E-2"/>
          <c:w val="0.68603016545155993"/>
          <c:h val="0.80304734466906103"/>
        </c:manualLayout>
      </c:layout>
      <c:lineChart>
        <c:grouping val="standard"/>
        <c:ser>
          <c:idx val="0"/>
          <c:order val="0"/>
          <c:tx>
            <c:strRef>
              <c:f>'scale vs peers'!$I$77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cat>
            <c:numRef>
              <c:f>'scale vs peers'!$B$78:$G$78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peers'!$I$87:$N$87</c:f>
              <c:numCache>
                <c:formatCode>General</c:formatCode>
                <c:ptCount val="6"/>
                <c:pt idx="0">
                  <c:v>8.0000000000000002E-3</c:v>
                </c:pt>
                <c:pt idx="1">
                  <c:v>5.1999999999999998E-2</c:v>
                </c:pt>
                <c:pt idx="2">
                  <c:v>0.13</c:v>
                </c:pt>
                <c:pt idx="3">
                  <c:v>0.23150000000000001</c:v>
                </c:pt>
                <c:pt idx="4">
                  <c:v>0.90500000000000003</c:v>
                </c:pt>
                <c:pt idx="5">
                  <c:v>6.3858333333333333</c:v>
                </c:pt>
              </c:numCache>
            </c:numRef>
          </c:val>
        </c:ser>
        <c:ser>
          <c:idx val="1"/>
          <c:order val="1"/>
          <c:tx>
            <c:strRef>
              <c:f>'scale vs peers'!$P$77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cat>
            <c:numRef>
              <c:f>'scale vs peers'!$B$78:$G$78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peers'!$P$87:$U$87</c:f>
              <c:numCache>
                <c:formatCode>General</c:formatCode>
                <c:ptCount val="6"/>
                <c:pt idx="0">
                  <c:v>0.41566666666666668</c:v>
                </c:pt>
                <c:pt idx="1">
                  <c:v>1.7055</c:v>
                </c:pt>
                <c:pt idx="2">
                  <c:v>3.2524999999999999</c:v>
                </c:pt>
                <c:pt idx="3">
                  <c:v>4.0166666666666666</c:v>
                </c:pt>
                <c:pt idx="4">
                  <c:v>10.038666666666666</c:v>
                </c:pt>
                <c:pt idx="5">
                  <c:v>45.761000000000003</c:v>
                </c:pt>
              </c:numCache>
            </c:numRef>
          </c:val>
        </c:ser>
        <c:marker val="1"/>
        <c:axId val="94961664"/>
        <c:axId val="94963968"/>
      </c:lineChart>
      <c:lineChart>
        <c:grouping val="standard"/>
        <c:ser>
          <c:idx val="2"/>
          <c:order val="2"/>
          <c:tx>
            <c:strRef>
              <c:f>'scale vs peers'!$A$90</c:f>
              <c:strCache>
                <c:ptCount val="1"/>
                <c:pt idx="0">
                  <c:v>Data at leaf peers - Unfolded rules</c:v>
                </c:pt>
              </c:strCache>
            </c:strRef>
          </c:tx>
          <c:spPr>
            <a:ln w="38100"/>
          </c:spPr>
          <c:marker>
            <c:symbol val="triangle"/>
            <c:size val="18"/>
            <c:spPr>
              <a:noFill/>
              <a:ln w="25400"/>
            </c:spPr>
          </c:marker>
          <c:val>
            <c:numRef>
              <c:f>'scale vs peers'!$B$90:$G$90</c:f>
              <c:numCache>
                <c:formatCode>General</c:formatCode>
                <c:ptCount val="6"/>
                <c:pt idx="0">
                  <c:v>4</c:v>
                </c:pt>
                <c:pt idx="1">
                  <c:v>20</c:v>
                </c:pt>
                <c:pt idx="2">
                  <c:v>42</c:v>
                </c:pt>
                <c:pt idx="3">
                  <c:v>57</c:v>
                </c:pt>
                <c:pt idx="4">
                  <c:v>237</c:v>
                </c:pt>
                <c:pt idx="5">
                  <c:v>1177</c:v>
                </c:pt>
              </c:numCache>
            </c:numRef>
          </c:val>
        </c:ser>
        <c:marker val="1"/>
        <c:axId val="94979968"/>
        <c:axId val="94978432"/>
      </c:lineChart>
      <c:catAx>
        <c:axId val="94961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11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963968"/>
        <c:crosses val="autoZero"/>
        <c:auto val="1"/>
        <c:lblAlgn val="ctr"/>
        <c:lblOffset val="100"/>
        <c:tickMarkSkip val="1"/>
      </c:catAx>
      <c:valAx>
        <c:axId val="9496396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38E-3"/>
              <c:y val="0.3178780711743576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961664"/>
        <c:crosses val="autoZero"/>
        <c:crossBetween val="between"/>
        <c:majorUnit val="10"/>
      </c:valAx>
      <c:valAx>
        <c:axId val="94978432"/>
        <c:scaling>
          <c:orientation val="minMax"/>
        </c:scaling>
        <c:axPos val="r"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3000" b="1">
                <a:latin typeface="+mn-lt"/>
              </a:defRPr>
            </a:pPr>
            <a:endParaRPr lang="en-US"/>
          </a:p>
        </c:txPr>
        <c:crossAx val="94979968"/>
        <c:crosses val="max"/>
        <c:crossBetween val="between"/>
      </c:valAx>
      <c:catAx>
        <c:axId val="94979968"/>
        <c:scaling>
          <c:orientation val="minMax"/>
        </c:scaling>
        <c:delete val="1"/>
        <c:axPos val="b"/>
        <c:tickLblPos val="none"/>
        <c:crossAx val="94978432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802627364998642"/>
          <c:y val="6.5553299441867263E-4"/>
          <c:w val="0.58413655058559322"/>
          <c:h val="0.1641996224988980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3027748704794825"/>
          <c:y val="2.9641857190595412E-2"/>
          <c:w val="0.73092313787838759"/>
          <c:h val="0.80304734466906103"/>
        </c:manualLayout>
      </c:layout>
      <c:scatterChart>
        <c:scatterStyle val="lineMarker"/>
        <c:ser>
          <c:idx val="0"/>
          <c:order val="0"/>
          <c:tx>
            <c:strRef>
              <c:f>'inner join lengths data'!$H$37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data'!$H$47:$L$47</c:f>
              <c:numCache>
                <c:formatCode>General</c:formatCode>
                <c:ptCount val="5"/>
                <c:pt idx="0">
                  <c:v>0.42349999999999999</c:v>
                </c:pt>
                <c:pt idx="1">
                  <c:v>0.46266666666666667</c:v>
                </c:pt>
                <c:pt idx="2">
                  <c:v>0.47566666666666668</c:v>
                </c:pt>
                <c:pt idx="3">
                  <c:v>0.47066666666666668</c:v>
                </c:pt>
                <c:pt idx="4">
                  <c:v>0.47583333333333333</c:v>
                </c:pt>
              </c:numCache>
            </c:numRef>
          </c:yVal>
        </c:ser>
        <c:ser>
          <c:idx val="1"/>
          <c:order val="1"/>
          <c:tx>
            <c:strRef>
              <c:f>'inner join lengths data'!$N$37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data'!$N$47:$R$47</c:f>
              <c:numCache>
                <c:formatCode>General</c:formatCode>
                <c:ptCount val="5"/>
                <c:pt idx="0">
                  <c:v>2.5873333333333335</c:v>
                </c:pt>
                <c:pt idx="1">
                  <c:v>0.79316666666666669</c:v>
                </c:pt>
                <c:pt idx="2">
                  <c:v>0.57233333333333336</c:v>
                </c:pt>
                <c:pt idx="3">
                  <c:v>0.54849999999999999</c:v>
                </c:pt>
                <c:pt idx="4">
                  <c:v>0.31966666666666665</c:v>
                </c:pt>
              </c:numCache>
            </c:numRef>
          </c:yVal>
        </c:ser>
        <c:axId val="95047680"/>
        <c:axId val="95049984"/>
      </c:scatterChart>
      <c:scatterChart>
        <c:scatterStyle val="lineMarker"/>
        <c:ser>
          <c:idx val="2"/>
          <c:order val="2"/>
          <c:tx>
            <c:strRef>
              <c:f>'inner join lengths data'!$T$37</c:f>
              <c:strCache>
                <c:ptCount val="1"/>
                <c:pt idx="0">
                  <c:v>Maintenance time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7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xVal>
            <c:numRef>
              <c:f>'inner join lengths data'!$B$38:$F$38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data'!$T$47:$X$47</c:f>
              <c:numCache>
                <c:formatCode>General</c:formatCode>
                <c:ptCount val="5"/>
                <c:pt idx="0">
                  <c:v>72.737166666666667</c:v>
                </c:pt>
                <c:pt idx="1">
                  <c:v>82.574833333333331</c:v>
                </c:pt>
                <c:pt idx="2">
                  <c:v>80.632833333333338</c:v>
                </c:pt>
                <c:pt idx="3">
                  <c:v>79.951333333333338</c:v>
                </c:pt>
                <c:pt idx="4">
                  <c:v>77.710333333333338</c:v>
                </c:pt>
              </c:numCache>
            </c:numRef>
          </c:yVal>
        </c:ser>
        <c:axId val="95057792"/>
        <c:axId val="95056256"/>
      </c:scatterChart>
      <c:valAx>
        <c:axId val="95047680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inner join width</a:t>
                </a:r>
              </a:p>
            </c:rich>
          </c:tx>
          <c:layout>
            <c:manualLayout>
              <c:xMode val="edge"/>
              <c:yMode val="edge"/>
              <c:x val="0.31334082795164797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049984"/>
        <c:crosses val="autoZero"/>
        <c:crossBetween val="midCat"/>
        <c:majorUnit val="3"/>
        <c:minorUnit val="1"/>
      </c:valAx>
      <c:valAx>
        <c:axId val="95049984"/>
        <c:scaling>
          <c:orientation val="minMax"/>
          <c:max val="4.5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Query 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279627773542290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047680"/>
        <c:crosses val="autoZero"/>
        <c:crossBetween val="midCat"/>
        <c:majorUnit val="1"/>
      </c:valAx>
      <c:valAx>
        <c:axId val="95056256"/>
        <c:scaling>
          <c:orientation val="minMax"/>
          <c:max val="110"/>
          <c:min val="0"/>
        </c:scaling>
        <c:axPos val="r"/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5057792"/>
        <c:crosses val="max"/>
        <c:crossBetween val="midCat"/>
        <c:majorUnit val="20"/>
      </c:valAx>
      <c:valAx>
        <c:axId val="95057792"/>
        <c:scaling>
          <c:orientation val="minMax"/>
        </c:scaling>
        <c:delete val="1"/>
        <c:axPos val="b"/>
        <c:numFmt formatCode="General" sourceLinked="1"/>
        <c:tickLblPos val="none"/>
        <c:crossAx val="950562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802627364998648"/>
          <c:y val="6.5553299441867231E-4"/>
          <c:w val="0.32356935590552666"/>
          <c:h val="0.14918443367108691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23467601867912"/>
          <c:y val="2.9641857190595412E-2"/>
          <c:w val="0.69500875993692557"/>
          <c:h val="0.80304734466906103"/>
        </c:manualLayout>
      </c:layout>
      <c:scatterChart>
        <c:scatterStyle val="lineMarker"/>
        <c:ser>
          <c:idx val="0"/>
          <c:order val="1"/>
          <c:tx>
            <c:strRef>
              <c:f>'inner join lengths data'!$H$54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data'!$H$64:$L$64</c:f>
              <c:numCache>
                <c:formatCode>General</c:formatCode>
                <c:ptCount val="5"/>
                <c:pt idx="0">
                  <c:v>0.17166666666666666</c:v>
                </c:pt>
                <c:pt idx="1">
                  <c:v>0.19500000000000001</c:v>
                </c:pt>
                <c:pt idx="2">
                  <c:v>0.20266666666666666</c:v>
                </c:pt>
                <c:pt idx="3">
                  <c:v>0.20533333333333334</c:v>
                </c:pt>
                <c:pt idx="4">
                  <c:v>0.21333333333333335</c:v>
                </c:pt>
              </c:numCache>
            </c:numRef>
          </c:yVal>
        </c:ser>
        <c:ser>
          <c:idx val="1"/>
          <c:order val="2"/>
          <c:tx>
            <c:strRef>
              <c:f>'inner join lengths data'!$N$54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data'!$N$64:$R$64</c:f>
              <c:numCache>
                <c:formatCode>General</c:formatCode>
                <c:ptCount val="5"/>
                <c:pt idx="0">
                  <c:v>0.62916666666666665</c:v>
                </c:pt>
                <c:pt idx="1">
                  <c:v>0.28333333333333333</c:v>
                </c:pt>
                <c:pt idx="2">
                  <c:v>0.28899999999999998</c:v>
                </c:pt>
                <c:pt idx="3">
                  <c:v>0.23400000000000001</c:v>
                </c:pt>
                <c:pt idx="4">
                  <c:v>0.63949999999999996</c:v>
                </c:pt>
              </c:numCache>
            </c:numRef>
          </c:yVal>
        </c:ser>
        <c:axId val="95138560"/>
        <c:axId val="95140480"/>
      </c:scatterChart>
      <c:scatterChart>
        <c:scatterStyle val="lineMarker"/>
        <c:ser>
          <c:idx val="6"/>
          <c:order val="0"/>
          <c:tx>
            <c:strRef>
              <c:f>'inner join lengths data'!$T$37</c:f>
              <c:strCache>
                <c:ptCount val="1"/>
                <c:pt idx="0">
                  <c:v>Maintenance time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data'!$T$47:$X$47</c:f>
              <c:numCache>
                <c:formatCode>General</c:formatCode>
                <c:ptCount val="5"/>
                <c:pt idx="0">
                  <c:v>72.737166666666667</c:v>
                </c:pt>
                <c:pt idx="1">
                  <c:v>82.574833333333331</c:v>
                </c:pt>
                <c:pt idx="2">
                  <c:v>80.632833333333338</c:v>
                </c:pt>
                <c:pt idx="3">
                  <c:v>79.951333333333338</c:v>
                </c:pt>
                <c:pt idx="4">
                  <c:v>77.710333333333338</c:v>
                </c:pt>
              </c:numCache>
            </c:numRef>
          </c:yVal>
        </c:ser>
        <c:axId val="95156480"/>
        <c:axId val="95154944"/>
      </c:scatterChart>
      <c:valAx>
        <c:axId val="95138560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inner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29410098262586465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140480"/>
        <c:crosses val="autoZero"/>
        <c:crossBetween val="midCat"/>
        <c:majorUnit val="3"/>
        <c:minorUnit val="1"/>
      </c:valAx>
      <c:valAx>
        <c:axId val="9514048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Query 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2729755409980497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138560"/>
        <c:crosses val="autoZero"/>
        <c:crossBetween val="midCat"/>
        <c:majorUnit val="0.5"/>
      </c:valAx>
      <c:valAx>
        <c:axId val="95154944"/>
        <c:scaling>
          <c:orientation val="minMax"/>
          <c:max val="100"/>
          <c:min val="0"/>
        </c:scaling>
        <c:axPos val="r"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5156480"/>
        <c:crosses val="max"/>
        <c:crossBetween val="midCat"/>
        <c:majorUnit val="20"/>
      </c:valAx>
      <c:valAx>
        <c:axId val="95156480"/>
        <c:scaling>
          <c:orientation val="minMax"/>
        </c:scaling>
        <c:delete val="1"/>
        <c:axPos val="b"/>
        <c:numFmt formatCode="General" sourceLinked="1"/>
        <c:tickLblPos val="none"/>
        <c:crossAx val="951549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9834626207174"/>
          <c:y val="2.318591130478827E-3"/>
          <c:w val="0.33304818636936251"/>
          <c:h val="0.1488675359790187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386420527268721"/>
          <c:y val="2.9641857190595412E-2"/>
          <c:w val="0.72835782516828307"/>
          <c:h val="0.80304734466906103"/>
        </c:manualLayout>
      </c:layout>
      <c:scatterChart>
        <c:scatterStyle val="lineMarker"/>
        <c:ser>
          <c:idx val="0"/>
          <c:order val="1"/>
          <c:tx>
            <c:strRef>
              <c:f>'inner join lengths data'!$H$72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'inner join lengths data'!$B$73:$E$73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</c:numCache>
            </c:numRef>
          </c:xVal>
          <c:yVal>
            <c:numRef>
              <c:f>'inner join lengths data'!$H$82:$K$82</c:f>
              <c:numCache>
                <c:formatCode>General</c:formatCode>
                <c:ptCount val="4"/>
                <c:pt idx="0">
                  <c:v>0.54349999999999998</c:v>
                </c:pt>
                <c:pt idx="1">
                  <c:v>0.60833333333333328</c:v>
                </c:pt>
                <c:pt idx="2">
                  <c:v>0.60833333333333328</c:v>
                </c:pt>
                <c:pt idx="3">
                  <c:v>0.60583333333333333</c:v>
                </c:pt>
              </c:numCache>
            </c:numRef>
          </c:yVal>
        </c:ser>
        <c:ser>
          <c:idx val="1"/>
          <c:order val="2"/>
          <c:tx>
            <c:strRef>
              <c:f>'inner join lengths data'!$N$72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'inner join lengths data'!$B$73:$E$73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</c:numCache>
            </c:numRef>
          </c:xVal>
          <c:yVal>
            <c:numRef>
              <c:f>'inner join lengths data'!$N$82:$Q$82</c:f>
              <c:numCache>
                <c:formatCode>General</c:formatCode>
                <c:ptCount val="4"/>
                <c:pt idx="0">
                  <c:v>2.5714999999999999</c:v>
                </c:pt>
                <c:pt idx="1">
                  <c:v>0.96466666666666667</c:v>
                </c:pt>
                <c:pt idx="2">
                  <c:v>0.8736666666666667</c:v>
                </c:pt>
                <c:pt idx="3">
                  <c:v>1.3678333333333332</c:v>
                </c:pt>
              </c:numCache>
            </c:numRef>
          </c:yVal>
        </c:ser>
        <c:axId val="95564928"/>
        <c:axId val="95566848"/>
      </c:scatterChart>
      <c:scatterChart>
        <c:scatterStyle val="lineMarker"/>
        <c:ser>
          <c:idx val="6"/>
          <c:order val="0"/>
          <c:tx>
            <c:strRef>
              <c:f>'inner join lengths data'!$T$72</c:f>
              <c:strCache>
                <c:ptCount val="1"/>
                <c:pt idx="0">
                  <c:v>Maintenance time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'inner join lengths data'!$B$73:$E$73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</c:numCache>
            </c:numRef>
          </c:xVal>
          <c:yVal>
            <c:numRef>
              <c:f>'inner join lengths data'!$T$82:$W$82</c:f>
              <c:numCache>
                <c:formatCode>General</c:formatCode>
                <c:ptCount val="4"/>
                <c:pt idx="0">
                  <c:v>52.144333333333336</c:v>
                </c:pt>
                <c:pt idx="1">
                  <c:v>54.274000000000001</c:v>
                </c:pt>
                <c:pt idx="2">
                  <c:v>57.970833333333331</c:v>
                </c:pt>
                <c:pt idx="3">
                  <c:v>57.739333333333335</c:v>
                </c:pt>
              </c:numCache>
            </c:numRef>
          </c:yVal>
        </c:ser>
        <c:axId val="95582848"/>
        <c:axId val="95581312"/>
      </c:scatterChart>
      <c:valAx>
        <c:axId val="95564928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inner join width</a:t>
                </a:r>
              </a:p>
            </c:rich>
          </c:tx>
          <c:layout>
            <c:manualLayout>
              <c:xMode val="edge"/>
              <c:yMode val="edge"/>
              <c:x val="0.30051426440112522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566848"/>
        <c:crosses val="autoZero"/>
        <c:crossBetween val="midCat"/>
        <c:majorUnit val="2"/>
        <c:minorUnit val="1"/>
      </c:valAx>
      <c:valAx>
        <c:axId val="95566848"/>
        <c:scaling>
          <c:orientation val="minMax"/>
          <c:max val="4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46E-3"/>
              <c:y val="0.3178780711743578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564928"/>
        <c:crosses val="autoZero"/>
        <c:crossBetween val="midCat"/>
        <c:majorUnit val="1"/>
      </c:valAx>
      <c:valAx>
        <c:axId val="95581312"/>
        <c:scaling>
          <c:orientation val="minMax"/>
          <c:min val="0"/>
        </c:scaling>
        <c:axPos val="r"/>
        <c:numFmt formatCode="General" sourceLinked="1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5582848"/>
        <c:crosses val="max"/>
        <c:crossBetween val="midCat"/>
      </c:valAx>
      <c:valAx>
        <c:axId val="95582848"/>
        <c:scaling>
          <c:orientation val="minMax"/>
        </c:scaling>
        <c:delete val="1"/>
        <c:axPos val="b"/>
        <c:numFmt formatCode="General" sourceLinked="1"/>
        <c:tickLblPos val="none"/>
        <c:crossAx val="955813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1519971009946445"/>
          <c:y val="6.5553299441867209E-4"/>
          <c:w val="0.33176553001431025"/>
          <c:h val="0.15053059411507891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3540811246815704"/>
          <c:y val="2.9641857190595412E-2"/>
          <c:w val="0.70783532348744771"/>
          <c:h val="0.80304734466906103"/>
        </c:manualLayout>
      </c:layout>
      <c:scatterChart>
        <c:scatterStyle val="lineMarker"/>
        <c:ser>
          <c:idx val="0"/>
          <c:order val="1"/>
          <c:tx>
            <c:strRef>
              <c:f>'inner join lengths data'!$H$89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'inner join lengths data'!$B$90:$F$90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</c:numCache>
            </c:numRef>
          </c:xVal>
          <c:yVal>
            <c:numRef>
              <c:f>'inner join lengths data'!$H$99:$L$99</c:f>
              <c:numCache>
                <c:formatCode>General</c:formatCode>
                <c:ptCount val="5"/>
                <c:pt idx="0">
                  <c:v>5.1609999999999996</c:v>
                </c:pt>
                <c:pt idx="1">
                  <c:v>6.5133333333333336</c:v>
                </c:pt>
                <c:pt idx="2">
                  <c:v>6.3520000000000003</c:v>
                </c:pt>
                <c:pt idx="3">
                  <c:v>6.0984999999999996</c:v>
                </c:pt>
                <c:pt idx="4">
                  <c:v>6.1360000000000001</c:v>
                </c:pt>
              </c:numCache>
            </c:numRef>
          </c:yVal>
        </c:ser>
        <c:ser>
          <c:idx val="1"/>
          <c:order val="2"/>
          <c:tx>
            <c:strRef>
              <c:f>'inner join lengths data'!$N$89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'inner join lengths data'!$B$90:$F$90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</c:numCache>
            </c:numRef>
          </c:xVal>
          <c:yVal>
            <c:numRef>
              <c:f>'inner join lengths data'!$N$99:$R$99</c:f>
              <c:numCache>
                <c:formatCode>General</c:formatCode>
                <c:ptCount val="5"/>
                <c:pt idx="0">
                  <c:v>16.055333333333333</c:v>
                </c:pt>
                <c:pt idx="1">
                  <c:v>6.128333333333333</c:v>
                </c:pt>
                <c:pt idx="2">
                  <c:v>6.6381666666666668</c:v>
                </c:pt>
                <c:pt idx="3">
                  <c:v>7.9418333333333333</c:v>
                </c:pt>
                <c:pt idx="4">
                  <c:v>6.7653333333333334</c:v>
                </c:pt>
              </c:numCache>
            </c:numRef>
          </c:yVal>
        </c:ser>
        <c:axId val="95643136"/>
        <c:axId val="95645056"/>
      </c:scatterChart>
      <c:scatterChart>
        <c:scatterStyle val="lineMarker"/>
        <c:ser>
          <c:idx val="6"/>
          <c:order val="0"/>
          <c:tx>
            <c:strRef>
              <c:f>'inner join lengths data'!$T$89</c:f>
              <c:strCache>
                <c:ptCount val="1"/>
                <c:pt idx="0">
                  <c:v>Maintenance time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noFill/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'inner join lengths data'!$B$90:$F$90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</c:numCache>
            </c:numRef>
          </c:xVal>
          <c:yVal>
            <c:numRef>
              <c:f>'inner join lengths data'!$T$99:$X$99</c:f>
              <c:numCache>
                <c:formatCode>General</c:formatCode>
                <c:ptCount val="5"/>
                <c:pt idx="0">
                  <c:v>96.558000000000007</c:v>
                </c:pt>
                <c:pt idx="1">
                  <c:v>107.345</c:v>
                </c:pt>
                <c:pt idx="2">
                  <c:v>122.1255</c:v>
                </c:pt>
                <c:pt idx="3">
                  <c:v>105.10550000000001</c:v>
                </c:pt>
                <c:pt idx="4">
                  <c:v>101.2225</c:v>
                </c:pt>
              </c:numCache>
            </c:numRef>
          </c:yVal>
        </c:ser>
        <c:axId val="95652864"/>
        <c:axId val="95651328"/>
      </c:scatterChart>
      <c:valAx>
        <c:axId val="95643136"/>
        <c:scaling>
          <c:orientation val="minMax"/>
          <c:max val="11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inner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0051426440112522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645056"/>
        <c:crosses val="autoZero"/>
        <c:crossBetween val="midCat"/>
        <c:majorUnit val="2"/>
        <c:minorUnit val="1"/>
      </c:valAx>
      <c:valAx>
        <c:axId val="95645056"/>
        <c:scaling>
          <c:orientation val="minMax"/>
          <c:max val="27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51E-3"/>
              <c:y val="0.3178780711743580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643136"/>
        <c:crosses val="autoZero"/>
        <c:crossBetween val="midCat"/>
        <c:majorUnit val="5"/>
      </c:valAx>
      <c:valAx>
        <c:axId val="95651328"/>
        <c:scaling>
          <c:orientation val="minMax"/>
          <c:max val="145"/>
          <c:min val="0"/>
        </c:scaling>
        <c:axPos val="r"/>
        <c:numFmt formatCode="General" sourceLinked="1"/>
        <c:tickLblPos val="nextTo"/>
        <c:txPr>
          <a:bodyPr/>
          <a:lstStyle/>
          <a:p>
            <a:pPr>
              <a:defRPr sz="2800" b="1">
                <a:latin typeface="+mn-lt"/>
              </a:defRPr>
            </a:pPr>
            <a:endParaRPr lang="en-US"/>
          </a:p>
        </c:txPr>
        <c:crossAx val="95652864"/>
        <c:crosses val="max"/>
        <c:crossBetween val="midCat"/>
        <c:majorUnit val="25"/>
      </c:valAx>
      <c:valAx>
        <c:axId val="95652864"/>
        <c:scaling>
          <c:orientation val="minMax"/>
        </c:scaling>
        <c:delete val="1"/>
        <c:axPos val="b"/>
        <c:numFmt formatCode="General" sourceLinked="1"/>
        <c:tickLblPos val="none"/>
        <c:crossAx val="956513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187424271514314"/>
          <c:y val="3.9816492665389822E-3"/>
          <c:w val="0.31893896646378816"/>
          <c:h val="0.15053059411507891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053873788836593"/>
          <c:y val="2.9641857190595412E-2"/>
          <c:w val="0.75657626497943153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data'!$C$5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rgbClr val="1F497D">
                  <a:lumMod val="40000"/>
                  <a:lumOff val="60000"/>
                </a:srgb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data'!$C$14:$E$14</c:f>
              <c:numCache>
                <c:formatCode>General</c:formatCode>
                <c:ptCount val="3"/>
                <c:pt idx="0">
                  <c:v>3.1070000000000002</c:v>
                </c:pt>
                <c:pt idx="1">
                  <c:v>2.5145</c:v>
                </c:pt>
                <c:pt idx="2">
                  <c:v>2.6286666666666667</c:v>
                </c:pt>
              </c:numCache>
            </c:numRef>
          </c:yVal>
        </c:ser>
        <c:ser>
          <c:idx val="0"/>
          <c:order val="1"/>
          <c:tx>
            <c:strRef>
              <c:f>'join types data'!$F$5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data'!$F$14:$H$14</c:f>
              <c:numCache>
                <c:formatCode>General</c:formatCode>
                <c:ptCount val="3"/>
                <c:pt idx="0">
                  <c:v>7.2854999999999999</c:v>
                </c:pt>
                <c:pt idx="1">
                  <c:v>6.4249999999999998</c:v>
                </c:pt>
                <c:pt idx="2">
                  <c:v>8.1068333333333324</c:v>
                </c:pt>
              </c:numCache>
            </c:numRef>
          </c:yVal>
        </c:ser>
        <c:ser>
          <c:idx val="1"/>
          <c:order val="2"/>
          <c:tx>
            <c:strRef>
              <c:f>'join types data'!$I$5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data'!$I$14:$K$14</c:f>
              <c:numCache>
                <c:formatCode>General</c:formatCode>
                <c:ptCount val="3"/>
                <c:pt idx="0">
                  <c:v>7.9690000000000003</c:v>
                </c:pt>
                <c:pt idx="1">
                  <c:v>7.8940000000000001</c:v>
                </c:pt>
                <c:pt idx="2">
                  <c:v>5.9308333333333332</c:v>
                </c:pt>
              </c:numCache>
            </c:numRef>
          </c:yVal>
        </c:ser>
        <c:ser>
          <c:idx val="2"/>
          <c:order val="3"/>
          <c:tx>
            <c:strRef>
              <c:f>'join types data'!$L$5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data'!$L$6:$N$6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data'!$L$14:$N$14</c:f>
              <c:numCache>
                <c:formatCode>General</c:formatCode>
                <c:ptCount val="3"/>
                <c:pt idx="0">
                  <c:v>7.5843333333333334</c:v>
                </c:pt>
                <c:pt idx="1">
                  <c:v>6.7134999999999998</c:v>
                </c:pt>
                <c:pt idx="2">
                  <c:v>8.4213333333333331</c:v>
                </c:pt>
              </c:numCache>
            </c:numRef>
          </c:yVal>
        </c:ser>
        <c:axId val="101131392"/>
        <c:axId val="101133696"/>
      </c:scatterChart>
      <c:valAx>
        <c:axId val="101131392"/>
        <c:scaling>
          <c:orientation val="minMax"/>
          <c:max val="8"/>
          <c:min val="1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745004785722215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133696"/>
        <c:crosses val="autoZero"/>
        <c:crossBetween val="midCat"/>
        <c:majorUnit val="2"/>
        <c:minorUnit val="1"/>
      </c:valAx>
      <c:valAx>
        <c:axId val="101133696"/>
        <c:scaling>
          <c:orientation val="minMax"/>
          <c:max val="10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Total</a:t>
                </a:r>
                <a:r>
                  <a:rPr lang="en-US" sz="3000" baseline="0">
                    <a:latin typeface="+mn-lt"/>
                  </a:rPr>
                  <a:t> query processing </a:t>
                </a: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1166480762083950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131392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700486813535195"/>
          <c:y val="6.5553299441867231E-4"/>
          <c:w val="0.20985540625009161"/>
          <c:h val="0.2034792223802054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464795779394017"/>
          <c:y val="2.9641857190595412E-2"/>
          <c:w val="0.7424670450738573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data'!$C$5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rgbClr val="1F497D">
                  <a:lumMod val="40000"/>
                  <a:lumOff val="60000"/>
                </a:srgb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data'!$AS$14:$AU$14</c:f>
              <c:numCache>
                <c:formatCode>General</c:formatCode>
                <c:ptCount val="3"/>
                <c:pt idx="0">
                  <c:v>15.631166666666667</c:v>
                </c:pt>
                <c:pt idx="1">
                  <c:v>15.727499999999999</c:v>
                </c:pt>
                <c:pt idx="2">
                  <c:v>15.865333333333334</c:v>
                </c:pt>
              </c:numCache>
            </c:numRef>
          </c:yVal>
        </c:ser>
        <c:ser>
          <c:idx val="0"/>
          <c:order val="1"/>
          <c:tx>
            <c:strRef>
              <c:f>'join types data'!$F$5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data'!$AV$14:$AX$14</c:f>
              <c:numCache>
                <c:formatCode>General</c:formatCode>
                <c:ptCount val="3"/>
                <c:pt idx="0">
                  <c:v>25.748833333333334</c:v>
                </c:pt>
                <c:pt idx="1">
                  <c:v>46.206000000000003</c:v>
                </c:pt>
                <c:pt idx="2">
                  <c:v>149.51949999999999</c:v>
                </c:pt>
              </c:numCache>
            </c:numRef>
          </c:yVal>
        </c:ser>
        <c:ser>
          <c:idx val="1"/>
          <c:order val="2"/>
          <c:tx>
            <c:strRef>
              <c:f>'join types data'!$I$5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data'!$AY$14:$BA$14</c:f>
              <c:numCache>
                <c:formatCode>General</c:formatCode>
                <c:ptCount val="3"/>
                <c:pt idx="0">
                  <c:v>19.110499999999998</c:v>
                </c:pt>
                <c:pt idx="1">
                  <c:v>21.227</c:v>
                </c:pt>
                <c:pt idx="2">
                  <c:v>25.153333333333332</c:v>
                </c:pt>
              </c:numCache>
            </c:numRef>
          </c:yVal>
        </c:ser>
        <c:ser>
          <c:idx val="2"/>
          <c:order val="3"/>
          <c:tx>
            <c:strRef>
              <c:f>'join types data'!$L$5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data'!$L$6:$N$6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data'!$BB$14:$BD$14</c:f>
              <c:numCache>
                <c:formatCode>General</c:formatCode>
                <c:ptCount val="3"/>
                <c:pt idx="0">
                  <c:v>20.834166666666668</c:v>
                </c:pt>
                <c:pt idx="1">
                  <c:v>25.711833333333335</c:v>
                </c:pt>
                <c:pt idx="2">
                  <c:v>46.528166666666664</c:v>
                </c:pt>
              </c:numCache>
            </c:numRef>
          </c:yVal>
        </c:ser>
        <c:axId val="101255040"/>
        <c:axId val="101298560"/>
      </c:scatterChart>
      <c:valAx>
        <c:axId val="101255040"/>
        <c:scaling>
          <c:orientation val="minMax"/>
          <c:max val="8"/>
          <c:min val="1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745004785722226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298560"/>
        <c:crosses val="autoZero"/>
        <c:crossBetween val="midCat"/>
        <c:majorUnit val="2"/>
        <c:minorUnit val="1"/>
      </c:valAx>
      <c:valAx>
        <c:axId val="10129856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Maintenance 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193148750467162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255040"/>
        <c:crosses val="autoZero"/>
        <c:crossBetween val="midCat"/>
        <c:majorUnit val="4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983143168587404"/>
          <c:y val="6.5553299441867231E-4"/>
          <c:w val="0.20985540625009164"/>
          <c:h val="0.2034792223802054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3412545611310484"/>
          <c:y val="2.9641857190595412E-2"/>
          <c:w val="0.7860773611456322"/>
          <c:h val="0.79972118241076384"/>
        </c:manualLayout>
      </c:layout>
      <c:scatterChart>
        <c:scatterStyle val="lineMarker"/>
        <c:ser>
          <c:idx val="6"/>
          <c:order val="0"/>
          <c:tx>
            <c:strRef>
              <c:f>'join types data'!$C$5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chemeClr val="tx2">
                  <a:lumMod val="40000"/>
                  <a:lumOff val="60000"/>
                </a:scheme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data'!$C$24:$E$24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data'!$C$32:$E$32</c:f>
              <c:numCache>
                <c:formatCode>General</c:formatCode>
                <c:ptCount val="3"/>
                <c:pt idx="0">
                  <c:v>1.0921666666666667</c:v>
                </c:pt>
                <c:pt idx="1">
                  <c:v>0.78533333333333333</c:v>
                </c:pt>
                <c:pt idx="2">
                  <c:v>0.65633333333333332</c:v>
                </c:pt>
              </c:numCache>
            </c:numRef>
          </c:yVal>
        </c:ser>
        <c:ser>
          <c:idx val="0"/>
          <c:order val="1"/>
          <c:tx>
            <c:strRef>
              <c:f>'join types data'!$F$23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data'!$F$24:$H$24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data'!$F$32:$H$32</c:f>
              <c:numCache>
                <c:formatCode>General</c:formatCode>
                <c:ptCount val="3"/>
                <c:pt idx="0">
                  <c:v>1.5365</c:v>
                </c:pt>
                <c:pt idx="1">
                  <c:v>1.3260000000000001</c:v>
                </c:pt>
                <c:pt idx="2">
                  <c:v>1.4871666666666667</c:v>
                </c:pt>
              </c:numCache>
            </c:numRef>
          </c:yVal>
        </c:ser>
        <c:ser>
          <c:idx val="1"/>
          <c:order val="2"/>
          <c:tx>
            <c:strRef>
              <c:f>'join types data'!$I$5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data'!$I$24:$K$24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data'!$I$32:$K$32</c:f>
              <c:numCache>
                <c:formatCode>General</c:formatCode>
                <c:ptCount val="3"/>
                <c:pt idx="0">
                  <c:v>1.3365</c:v>
                </c:pt>
                <c:pt idx="1">
                  <c:v>1.1518333333333333</c:v>
                </c:pt>
                <c:pt idx="2">
                  <c:v>1.1311666666666667</c:v>
                </c:pt>
              </c:numCache>
            </c:numRef>
          </c:yVal>
        </c:ser>
        <c:ser>
          <c:idx val="2"/>
          <c:order val="3"/>
          <c:tx>
            <c:strRef>
              <c:f>'join types data'!$L$5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data'!$L$24:$N$24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data'!$L$32:$N$32</c:f>
              <c:numCache>
                <c:formatCode>General</c:formatCode>
                <c:ptCount val="3"/>
                <c:pt idx="0">
                  <c:v>1.3234999999999999</c:v>
                </c:pt>
                <c:pt idx="1">
                  <c:v>1.1546666666666667</c:v>
                </c:pt>
                <c:pt idx="2">
                  <c:v>1.1285000000000001</c:v>
                </c:pt>
              </c:numCache>
            </c:numRef>
          </c:yVal>
        </c:ser>
        <c:axId val="101407360"/>
        <c:axId val="101454976"/>
      </c:scatterChart>
      <c:valAx>
        <c:axId val="101407360"/>
        <c:scaling>
          <c:orientation val="minMax"/>
          <c:max val="7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745004785722226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454976"/>
        <c:crosses val="autoZero"/>
        <c:crossBetween val="midCat"/>
        <c:majorUnit val="2"/>
        <c:minorUnit val="1"/>
      </c:valAx>
      <c:valAx>
        <c:axId val="101454976"/>
        <c:scaling>
          <c:orientation val="minMax"/>
          <c:max val="3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 b="1" i="0" baseline="0"/>
                  <a:t>Total query processing time (sec)</a:t>
                </a:r>
                <a:endParaRPr lang="en-US" sz="3000"/>
              </a:p>
            </c:rich>
          </c:tx>
          <c:layout>
            <c:manualLayout>
              <c:xMode val="edge"/>
              <c:yMode val="edge"/>
              <c:x val="2.1199178655547892E-4"/>
              <c:y val="9.669137857567324E-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407360"/>
        <c:crosses val="autoZero"/>
        <c:crossBetween val="midCat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315689907019534"/>
          <c:y val="6.5553299441867231E-4"/>
          <c:w val="0.21370337531524822"/>
          <c:h val="0.21512062933262655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5464795779394017"/>
          <c:y val="2.9641857190595412E-2"/>
          <c:w val="0.76555485946479718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data'!$C$5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chemeClr val="tx2">
                  <a:lumMod val="40000"/>
                  <a:lumOff val="60000"/>
                </a:scheme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data'!$C$24:$E$24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data'!$AS$14:$AU$14</c:f>
              <c:numCache>
                <c:formatCode>General</c:formatCode>
                <c:ptCount val="3"/>
                <c:pt idx="0">
                  <c:v>15.631166666666667</c:v>
                </c:pt>
                <c:pt idx="1">
                  <c:v>15.727499999999999</c:v>
                </c:pt>
                <c:pt idx="2">
                  <c:v>15.865333333333334</c:v>
                </c:pt>
              </c:numCache>
            </c:numRef>
          </c:yVal>
        </c:ser>
        <c:ser>
          <c:idx val="0"/>
          <c:order val="1"/>
          <c:tx>
            <c:strRef>
              <c:f>'join types data'!$F$23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data'!$F$24:$H$24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data'!$AV$14:$AX$14</c:f>
              <c:numCache>
                <c:formatCode>General</c:formatCode>
                <c:ptCount val="3"/>
                <c:pt idx="0">
                  <c:v>25.748833333333334</c:v>
                </c:pt>
                <c:pt idx="1">
                  <c:v>46.206000000000003</c:v>
                </c:pt>
                <c:pt idx="2">
                  <c:v>149.51949999999999</c:v>
                </c:pt>
              </c:numCache>
            </c:numRef>
          </c:yVal>
        </c:ser>
        <c:ser>
          <c:idx val="1"/>
          <c:order val="2"/>
          <c:tx>
            <c:strRef>
              <c:f>'join types data'!$I$5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data'!$I$24:$K$24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data'!$AY$14:$BA$14</c:f>
              <c:numCache>
                <c:formatCode>General</c:formatCode>
                <c:ptCount val="3"/>
                <c:pt idx="0">
                  <c:v>19.110499999999998</c:v>
                </c:pt>
                <c:pt idx="1">
                  <c:v>21.227</c:v>
                </c:pt>
                <c:pt idx="2">
                  <c:v>25.153333333333332</c:v>
                </c:pt>
              </c:numCache>
            </c:numRef>
          </c:yVal>
        </c:ser>
        <c:ser>
          <c:idx val="2"/>
          <c:order val="3"/>
          <c:tx>
            <c:strRef>
              <c:f>'join types data'!$L$5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data'!$L$24:$N$24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data'!$BB$14:$BD$14</c:f>
              <c:numCache>
                <c:formatCode>General</c:formatCode>
                <c:ptCount val="3"/>
                <c:pt idx="0">
                  <c:v>20.834166666666668</c:v>
                </c:pt>
                <c:pt idx="1">
                  <c:v>25.711833333333335</c:v>
                </c:pt>
                <c:pt idx="2">
                  <c:v>46.528166666666664</c:v>
                </c:pt>
              </c:numCache>
            </c:numRef>
          </c:yVal>
        </c:ser>
        <c:axId val="95227264"/>
        <c:axId val="95233920"/>
      </c:scatterChart>
      <c:valAx>
        <c:axId val="95227264"/>
        <c:scaling>
          <c:orientation val="minMax"/>
          <c:max val="7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745004785722237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233920"/>
        <c:crosses val="autoZero"/>
        <c:crossBetween val="midCat"/>
        <c:majorUnit val="2"/>
        <c:minorUnit val="1"/>
      </c:valAx>
      <c:valAx>
        <c:axId val="9523392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Maintenance Time (sec)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21310544809988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227264"/>
        <c:crosses val="autoZero"/>
        <c:crossBetween val="midCat"/>
        <c:majorUnit val="4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11408804092627"/>
          <c:y val="6.5553299441867231E-4"/>
          <c:w val="0.21370337531524825"/>
          <c:h val="0.22010980374080702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6747452134446222"/>
          <c:y val="2.9641857190595412E-2"/>
          <c:w val="0.75272829591427504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data'!$C$5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chemeClr val="tx2">
                  <a:lumMod val="40000"/>
                  <a:lumOff val="60000"/>
                </a:scheme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data'!$C$24:$E$24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data'!$C$18:$E$18</c:f>
              <c:numCache>
                <c:formatCode>General</c:formatCode>
                <c:ptCount val="3"/>
                <c:pt idx="0">
                  <c:v>1570</c:v>
                </c:pt>
                <c:pt idx="1">
                  <c:v>1540</c:v>
                </c:pt>
                <c:pt idx="2">
                  <c:v>1490</c:v>
                </c:pt>
              </c:numCache>
            </c:numRef>
          </c:yVal>
        </c:ser>
        <c:ser>
          <c:idx val="0"/>
          <c:order val="1"/>
          <c:tx>
            <c:strRef>
              <c:f>'join types data'!$F$23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data'!$F$24:$H$24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data'!$F$18:$H$18</c:f>
              <c:numCache>
                <c:formatCode>General</c:formatCode>
                <c:ptCount val="3"/>
                <c:pt idx="0">
                  <c:v>2260</c:v>
                </c:pt>
                <c:pt idx="1">
                  <c:v>2700</c:v>
                </c:pt>
                <c:pt idx="2">
                  <c:v>2970</c:v>
                </c:pt>
              </c:numCache>
            </c:numRef>
          </c:yVal>
        </c:ser>
        <c:ser>
          <c:idx val="1"/>
          <c:order val="2"/>
          <c:tx>
            <c:strRef>
              <c:f>'join types data'!$I$5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data'!$I$24:$K$24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data'!$I$18:$K$18</c:f>
              <c:numCache>
                <c:formatCode>General</c:formatCode>
                <c:ptCount val="3"/>
                <c:pt idx="0">
                  <c:v>1830</c:v>
                </c:pt>
                <c:pt idx="1">
                  <c:v>1880</c:v>
                </c:pt>
                <c:pt idx="2">
                  <c:v>1790</c:v>
                </c:pt>
              </c:numCache>
            </c:numRef>
          </c:yVal>
        </c:ser>
        <c:ser>
          <c:idx val="2"/>
          <c:order val="3"/>
          <c:tx>
            <c:strRef>
              <c:f>'join types data'!$L$5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data'!$L$24:$N$24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xVal>
          <c:yVal>
            <c:numRef>
              <c:f>'join types data'!$L$18:$N$18</c:f>
              <c:numCache>
                <c:formatCode>General</c:formatCode>
                <c:ptCount val="3"/>
                <c:pt idx="0">
                  <c:v>1830</c:v>
                </c:pt>
                <c:pt idx="1">
                  <c:v>1880</c:v>
                </c:pt>
                <c:pt idx="2">
                  <c:v>1790</c:v>
                </c:pt>
              </c:numCache>
            </c:numRef>
          </c:yVal>
        </c:ser>
        <c:axId val="95380224"/>
        <c:axId val="95382528"/>
      </c:scatterChart>
      <c:valAx>
        <c:axId val="95380224"/>
        <c:scaling>
          <c:orientation val="minMax"/>
          <c:max val="7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745004785722243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382528"/>
        <c:crosses val="autoZero"/>
        <c:crossBetween val="midCat"/>
        <c:majorUnit val="2"/>
        <c:minorUnit val="1"/>
      </c:valAx>
      <c:valAx>
        <c:axId val="9538252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tuples (K)</a:t>
                </a:r>
              </a:p>
            </c:rich>
          </c:tx>
          <c:layout>
            <c:manualLayout>
              <c:xMode val="edge"/>
              <c:yMode val="edge"/>
              <c:x val="2.1199178655547892E-4"/>
              <c:y val="0.213105448099884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3802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137533888134392"/>
          <c:y val="6.5553299441867231E-4"/>
          <c:w val="0.21370337531524827"/>
          <c:h val="0.22010980374080702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23467601867912"/>
          <c:y val="2.9641857190595412E-2"/>
          <c:w val="0.74888032684911865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data'!$C$76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chemeClr val="tx2">
                  <a:lumMod val="40000"/>
                  <a:lumOff val="60000"/>
                </a:scheme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data'!$C$85:$E$85</c:f>
              <c:numCache>
                <c:formatCode>General</c:formatCode>
                <c:ptCount val="3"/>
                <c:pt idx="0">
                  <c:v>1.573</c:v>
                </c:pt>
                <c:pt idx="1">
                  <c:v>1.4821666666666666</c:v>
                </c:pt>
                <c:pt idx="2">
                  <c:v>1.9736666666666667</c:v>
                </c:pt>
              </c:numCache>
            </c:numRef>
          </c:yVal>
        </c:ser>
        <c:ser>
          <c:idx val="0"/>
          <c:order val="1"/>
          <c:tx>
            <c:strRef>
              <c:f>'join types data'!$F$76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data'!$F$85:$H$85</c:f>
              <c:numCache>
                <c:formatCode>General</c:formatCode>
                <c:ptCount val="3"/>
                <c:pt idx="0">
                  <c:v>4.0143333333333331</c:v>
                </c:pt>
                <c:pt idx="1">
                  <c:v>5.2311666666666667</c:v>
                </c:pt>
                <c:pt idx="2">
                  <c:v>5.4676666666666662</c:v>
                </c:pt>
              </c:numCache>
            </c:numRef>
          </c:yVal>
        </c:ser>
        <c:ser>
          <c:idx val="1"/>
          <c:order val="2"/>
          <c:tx>
            <c:strRef>
              <c:f>'join types data'!$I$76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data'!$I$85:$K$85</c:f>
              <c:numCache>
                <c:formatCode>General</c:formatCode>
                <c:ptCount val="3"/>
                <c:pt idx="0">
                  <c:v>3.7673333333333332</c:v>
                </c:pt>
                <c:pt idx="1">
                  <c:v>4.7631666666666668</c:v>
                </c:pt>
                <c:pt idx="2">
                  <c:v>4.5838333333333336</c:v>
                </c:pt>
              </c:numCache>
            </c:numRef>
          </c:yVal>
        </c:ser>
        <c:ser>
          <c:idx val="2"/>
          <c:order val="3"/>
          <c:tx>
            <c:strRef>
              <c:f>'join types data'!$L$76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data'!$L$77:$N$77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data'!$L$85:$N$85</c:f>
              <c:numCache>
                <c:formatCode>General</c:formatCode>
                <c:ptCount val="3"/>
                <c:pt idx="0">
                  <c:v>3.0426666666666669</c:v>
                </c:pt>
                <c:pt idx="1">
                  <c:v>4.7528333333333332</c:v>
                </c:pt>
                <c:pt idx="2">
                  <c:v>5.2103333333333337</c:v>
                </c:pt>
              </c:numCache>
            </c:numRef>
          </c:yVal>
        </c:ser>
        <c:axId val="94868992"/>
        <c:axId val="94875648"/>
      </c:scatterChart>
      <c:valAx>
        <c:axId val="94868992"/>
        <c:scaling>
          <c:orientation val="minMax"/>
          <c:max val="8"/>
          <c:min val="1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3129801692237831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875648"/>
        <c:crosses val="autoZero"/>
        <c:crossBetween val="midCat"/>
        <c:majorUnit val="2"/>
        <c:minorUnit val="1"/>
      </c:valAx>
      <c:valAx>
        <c:axId val="94875648"/>
        <c:scaling>
          <c:orientation val="minMax"/>
          <c:max val="6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 b="1" i="0" baseline="0"/>
                  <a:t>Total query processing time (sec)</a:t>
                </a:r>
                <a:endParaRPr lang="en-US" sz="3000"/>
              </a:p>
            </c:rich>
          </c:tx>
          <c:layout>
            <c:manualLayout>
              <c:xMode val="edge"/>
              <c:yMode val="edge"/>
              <c:x val="2.1199178655547892E-4"/>
              <c:y val="0.10500666925597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4868992"/>
        <c:crosses val="autoZero"/>
        <c:crossBetween val="midCat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9834626207174"/>
          <c:y val="6.5553299441867242E-4"/>
          <c:w val="0.20985540625009161"/>
          <c:h val="0.21179451306050626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23467601867912"/>
          <c:y val="2.9641857190595412E-2"/>
          <c:w val="0.74888032684911865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data'!$C$76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triangle"/>
            <c:size val="18"/>
            <c:spPr>
              <a:solidFill>
                <a:schemeClr val="tx2">
                  <a:lumMod val="40000"/>
                  <a:lumOff val="60000"/>
                </a:schemeClr>
              </a:solidFill>
              <a:ln w="25400"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data'!$AS$85:$AU$85</c:f>
              <c:numCache>
                <c:formatCode>General</c:formatCode>
                <c:ptCount val="3"/>
                <c:pt idx="0">
                  <c:v>58.589666666666666</c:v>
                </c:pt>
                <c:pt idx="1">
                  <c:v>57.970833333333331</c:v>
                </c:pt>
                <c:pt idx="2">
                  <c:v>57.739333333333335</c:v>
                </c:pt>
              </c:numCache>
            </c:numRef>
          </c:yVal>
        </c:ser>
        <c:ser>
          <c:idx val="0"/>
          <c:order val="1"/>
          <c:tx>
            <c:strRef>
              <c:f>'join types data'!$F$76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data'!$AV$85:$AX$85</c:f>
              <c:numCache>
                <c:formatCode>General</c:formatCode>
                <c:ptCount val="3"/>
                <c:pt idx="0">
                  <c:v>144.94583333333333</c:v>
                </c:pt>
                <c:pt idx="1">
                  <c:v>336.59766666666667</c:v>
                </c:pt>
                <c:pt idx="2">
                  <c:v>757.80533333333335</c:v>
                </c:pt>
              </c:numCache>
            </c:numRef>
          </c:yVal>
        </c:ser>
        <c:ser>
          <c:idx val="1"/>
          <c:order val="2"/>
          <c:tx>
            <c:strRef>
              <c:f>'join types data'!$I$76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data'!$AY$85:$BA$85</c:f>
              <c:numCache>
                <c:formatCode>General</c:formatCode>
                <c:ptCount val="3"/>
                <c:pt idx="0">
                  <c:v>98.653833333333338</c:v>
                </c:pt>
                <c:pt idx="1">
                  <c:v>135.4025</c:v>
                </c:pt>
                <c:pt idx="2">
                  <c:v>163.304</c:v>
                </c:pt>
              </c:numCache>
            </c:numRef>
          </c:yVal>
        </c:ser>
        <c:ser>
          <c:idx val="2"/>
          <c:order val="3"/>
          <c:tx>
            <c:strRef>
              <c:f>'join types data'!$L$76</c:f>
              <c:strCache>
                <c:ptCount val="1"/>
                <c:pt idx="0">
                  <c:v>right outer</c:v>
                </c:pt>
              </c:strCache>
            </c:strRef>
          </c:tx>
          <c:spPr>
            <a:ln w="38100"/>
          </c:spPr>
          <c:marker>
            <c:symbol val="square"/>
            <c:size val="15"/>
            <c:spPr>
              <a:ln w="25400"/>
            </c:spPr>
          </c:marker>
          <c:xVal>
            <c:numRef>
              <c:f>'join types data'!$L$77:$N$77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data'!$BB$85:$BD$85</c:f>
              <c:numCache>
                <c:formatCode>General</c:formatCode>
                <c:ptCount val="3"/>
                <c:pt idx="0">
                  <c:v>80.276333333333326</c:v>
                </c:pt>
                <c:pt idx="1">
                  <c:v>103.373</c:v>
                </c:pt>
                <c:pt idx="2">
                  <c:v>160.6865</c:v>
                </c:pt>
              </c:numCache>
            </c:numRef>
          </c:yVal>
        </c:ser>
        <c:axId val="95922432"/>
        <c:axId val="95945472"/>
      </c:scatterChart>
      <c:valAx>
        <c:axId val="95922432"/>
        <c:scaling>
          <c:orientation val="minMax"/>
          <c:max val="8"/>
          <c:min val="1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3129801692237831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945472"/>
        <c:crosses val="autoZero"/>
        <c:crossBetween val="midCat"/>
        <c:majorUnit val="2"/>
        <c:minorUnit val="1"/>
      </c:valAx>
      <c:valAx>
        <c:axId val="95945472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 b="1" i="0" baseline="0"/>
                  <a:t>Maintenance time (sec)</a:t>
                </a:r>
                <a:endParaRPr lang="en-US" sz="3000"/>
              </a:p>
            </c:rich>
          </c:tx>
          <c:layout>
            <c:manualLayout>
              <c:xMode val="edge"/>
              <c:yMode val="edge"/>
              <c:x val="2.1199178655547892E-4"/>
              <c:y val="0.1765181691065607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9224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9834626207174"/>
          <c:y val="6.5553299441867263E-4"/>
          <c:w val="0.20985540625009164"/>
          <c:h val="0.21179451306050626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5464795779394017"/>
          <c:y val="2.9641850609189987E-2"/>
          <c:w val="0.74888032684911865"/>
          <c:h val="0.80304734466906103"/>
        </c:manualLayout>
      </c:layout>
      <c:barChart>
        <c:barDir val="col"/>
        <c:grouping val="clustered"/>
        <c:ser>
          <c:idx val="5"/>
          <c:order val="0"/>
          <c:tx>
            <c:strRef>
              <c:f>'join types data'!$AI$112</c:f>
              <c:strCache>
                <c:ptCount val="1"/>
                <c:pt idx="0">
                  <c:v>overlapping inner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data'!$AI$121</c:f>
              <c:numCache>
                <c:formatCode>General</c:formatCode>
                <c:ptCount val="1"/>
                <c:pt idx="0">
                  <c:v>21.088999999999999</c:v>
                </c:pt>
              </c:numCache>
            </c:numRef>
          </c:val>
        </c:ser>
        <c:ser>
          <c:idx val="0"/>
          <c:order val="1"/>
          <c:tx>
            <c:strRef>
              <c:f>'join types data'!$AE$112</c:f>
              <c:strCache>
                <c:ptCount val="1"/>
                <c:pt idx="0">
                  <c:v>inner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data'!$AE$121</c:f>
              <c:numCache>
                <c:formatCode>General</c:formatCode>
                <c:ptCount val="1"/>
                <c:pt idx="0">
                  <c:v>27.773833333333332</c:v>
                </c:pt>
              </c:numCache>
            </c:numRef>
          </c:val>
        </c:ser>
        <c:ser>
          <c:idx val="2"/>
          <c:order val="2"/>
          <c:tx>
            <c:strRef>
              <c:f>'join types data'!$AD$112</c:f>
              <c:strCache>
                <c:ptCount val="1"/>
                <c:pt idx="0">
                  <c:v>no joins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data'!$AD$121</c:f>
              <c:numCache>
                <c:formatCode>General</c:formatCode>
                <c:ptCount val="1"/>
                <c:pt idx="0">
                  <c:v>45.761000000000003</c:v>
                </c:pt>
              </c:numCache>
            </c:numRef>
          </c:val>
        </c:ser>
        <c:ser>
          <c:idx val="3"/>
          <c:order val="3"/>
          <c:tx>
            <c:strRef>
              <c:f>'join types data'!$AG$112</c:f>
              <c:strCache>
                <c:ptCount val="1"/>
                <c:pt idx="0">
                  <c:v>left outer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data'!$AG$121</c:f>
              <c:numCache>
                <c:formatCode>General</c:formatCode>
                <c:ptCount val="1"/>
                <c:pt idx="0">
                  <c:v>59.312333333333335</c:v>
                </c:pt>
              </c:numCache>
            </c:numRef>
          </c:val>
        </c:ser>
        <c:ser>
          <c:idx val="1"/>
          <c:order val="4"/>
          <c:tx>
            <c:strRef>
              <c:f>'join types data'!$AF$112</c:f>
              <c:strCache>
                <c:ptCount val="1"/>
                <c:pt idx="0">
                  <c:v>full outer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data'!$AF$121</c:f>
              <c:numCache>
                <c:formatCode>General</c:formatCode>
                <c:ptCount val="1"/>
                <c:pt idx="0">
                  <c:v>238.67400000000001</c:v>
                </c:pt>
              </c:numCache>
            </c:numRef>
          </c:val>
        </c:ser>
        <c:ser>
          <c:idx val="4"/>
          <c:order val="5"/>
          <c:tx>
            <c:strRef>
              <c:f>'join types data'!$AH$112</c:f>
              <c:strCache>
                <c:ptCount val="1"/>
                <c:pt idx="0">
                  <c:v>right outer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data'!$AH$121</c:f>
              <c:numCache>
                <c:formatCode>General</c:formatCode>
                <c:ptCount val="1"/>
                <c:pt idx="0">
                  <c:v>293.69133333333332</c:v>
                </c:pt>
              </c:numCache>
            </c:numRef>
          </c:val>
        </c:ser>
        <c:axId val="95999104"/>
        <c:axId val="96001024"/>
      </c:barChart>
      <c:catAx>
        <c:axId val="95999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Join type</a:t>
                </a:r>
              </a:p>
            </c:rich>
          </c:tx>
          <c:layout>
            <c:manualLayout>
              <c:xMode val="edge"/>
              <c:yMode val="edge"/>
              <c:x val="0.44930240158718132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001024"/>
        <c:crosses val="autoZero"/>
        <c:auto val="1"/>
        <c:lblAlgn val="ctr"/>
        <c:lblOffset val="100"/>
        <c:tickMarkSkip val="1"/>
      </c:catAx>
      <c:valAx>
        <c:axId val="96001024"/>
        <c:scaling>
          <c:orientation val="minMax"/>
          <c:max val="300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Evaluation time (sec)</a:t>
                </a:r>
              </a:p>
            </c:rich>
          </c:tx>
          <c:layout>
            <c:manualLayout>
              <c:xMode val="edge"/>
              <c:yMode val="edge"/>
              <c:x val="1.4946481416076858E-3"/>
              <c:y val="0.2463666108210872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9991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9834626207174"/>
          <c:y val="3.981649266538983E-3"/>
          <c:w val="0.32962601881545794"/>
          <c:h val="0.31072263935445077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5464795779394022"/>
          <c:y val="2.9641850609189994E-2"/>
          <c:w val="0.74888032684911865"/>
          <c:h val="0.80304734466906103"/>
        </c:manualLayout>
      </c:layout>
      <c:barChart>
        <c:barDir val="col"/>
        <c:grouping val="clustered"/>
        <c:ser>
          <c:idx val="5"/>
          <c:order val="0"/>
          <c:tx>
            <c:strRef>
              <c:f>'join types data'!$AI$112</c:f>
              <c:strCache>
                <c:ptCount val="1"/>
                <c:pt idx="0">
                  <c:v>overlapping inner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data'!$AW$121</c:f>
              <c:numCache>
                <c:formatCode>General</c:formatCode>
                <c:ptCount val="1"/>
                <c:pt idx="0">
                  <c:v>54.679000000000002</c:v>
                </c:pt>
              </c:numCache>
            </c:numRef>
          </c:val>
        </c:ser>
        <c:ser>
          <c:idx val="0"/>
          <c:order val="1"/>
          <c:tx>
            <c:strRef>
              <c:f>'join types data'!$AE$112</c:f>
              <c:strCache>
                <c:ptCount val="1"/>
                <c:pt idx="0">
                  <c:v>inner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data'!$AS$121</c:f>
              <c:numCache>
                <c:formatCode>General</c:formatCode>
                <c:ptCount val="1"/>
                <c:pt idx="0">
                  <c:v>50.05383333333333</c:v>
                </c:pt>
              </c:numCache>
            </c:numRef>
          </c:val>
        </c:ser>
        <c:ser>
          <c:idx val="2"/>
          <c:order val="2"/>
          <c:tx>
            <c:strRef>
              <c:f>'join types data'!$AD$112</c:f>
              <c:strCache>
                <c:ptCount val="1"/>
                <c:pt idx="0">
                  <c:v>no joins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data'!$AR$121</c:f>
              <c:numCache>
                <c:formatCode>General</c:formatCode>
                <c:ptCount val="1"/>
                <c:pt idx="0">
                  <c:v>48.417999999999999</c:v>
                </c:pt>
              </c:numCache>
            </c:numRef>
          </c:val>
        </c:ser>
        <c:ser>
          <c:idx val="3"/>
          <c:order val="3"/>
          <c:tx>
            <c:strRef>
              <c:f>'join types data'!$AG$112</c:f>
              <c:strCache>
                <c:ptCount val="1"/>
                <c:pt idx="0">
                  <c:v>left outer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data'!$AU$121</c:f>
              <c:numCache>
                <c:formatCode>General</c:formatCode>
                <c:ptCount val="1"/>
                <c:pt idx="0">
                  <c:v>55.55766666666667</c:v>
                </c:pt>
              </c:numCache>
            </c:numRef>
          </c:val>
        </c:ser>
        <c:ser>
          <c:idx val="1"/>
          <c:order val="4"/>
          <c:tx>
            <c:strRef>
              <c:f>'join types data'!$AF$112</c:f>
              <c:strCache>
                <c:ptCount val="1"/>
                <c:pt idx="0">
                  <c:v>full outer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data'!$AT$121</c:f>
              <c:numCache>
                <c:formatCode>General</c:formatCode>
                <c:ptCount val="1"/>
                <c:pt idx="0">
                  <c:v>70.328333333333333</c:v>
                </c:pt>
              </c:numCache>
            </c:numRef>
          </c:val>
        </c:ser>
        <c:ser>
          <c:idx val="4"/>
          <c:order val="5"/>
          <c:tx>
            <c:strRef>
              <c:f>'join types data'!$AH$112</c:f>
              <c:strCache>
                <c:ptCount val="1"/>
                <c:pt idx="0">
                  <c:v>right outer</c:v>
                </c:pt>
              </c:strCache>
            </c:strRef>
          </c:tx>
          <c:cat>
            <c:numRef>
              <c:f>'join types data'!$X$112</c:f>
              <c:numCache>
                <c:formatCode>General</c:formatCode>
                <c:ptCount val="1"/>
              </c:numCache>
            </c:numRef>
          </c:cat>
          <c:val>
            <c:numRef>
              <c:f>'join types data'!$AV$121</c:f>
              <c:numCache>
                <c:formatCode>General</c:formatCode>
                <c:ptCount val="1"/>
                <c:pt idx="0">
                  <c:v>64.577333333333328</c:v>
                </c:pt>
              </c:numCache>
            </c:numRef>
          </c:val>
        </c:ser>
        <c:axId val="62892672"/>
        <c:axId val="62898944"/>
      </c:barChart>
      <c:catAx>
        <c:axId val="62892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Join type</a:t>
                </a:r>
              </a:p>
            </c:rich>
          </c:tx>
          <c:layout>
            <c:manualLayout>
              <c:xMode val="edge"/>
              <c:yMode val="edge"/>
              <c:x val="0.44930240158718132"/>
              <c:y val="0.9340449476162884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2898944"/>
        <c:crosses val="autoZero"/>
        <c:auto val="1"/>
        <c:lblAlgn val="ctr"/>
        <c:lblOffset val="100"/>
        <c:tickMarkSkip val="1"/>
      </c:catAx>
      <c:valAx>
        <c:axId val="62898944"/>
        <c:scaling>
          <c:orientation val="minMax"/>
          <c:max val="100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Maintenance time (sec)</a:t>
                </a:r>
              </a:p>
            </c:rich>
          </c:tx>
          <c:layout>
            <c:manualLayout>
              <c:xMode val="edge"/>
              <c:yMode val="edge"/>
              <c:x val="1.4946481416076862E-3"/>
              <c:y val="0.2463666108210872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2892672"/>
        <c:crosses val="autoZero"/>
        <c:crossBetween val="between"/>
        <c:majorUnit val="2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9834626207174"/>
          <c:y val="3.9816492665389839E-3"/>
          <c:w val="0.32577804975030122"/>
          <c:h val="0.31072263935445094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398E-2"/>
          <c:w val="0.74888032684911865"/>
          <c:h val="0.80304734466906103"/>
        </c:manualLayout>
      </c:layout>
      <c:lineChart>
        <c:grouping val="standard"/>
        <c:ser>
          <c:idx val="6"/>
          <c:order val="0"/>
          <c:tx>
            <c:strRef>
              <c:f>'scale vs peers'!$B$3</c:f>
              <c:strCache>
                <c:ptCount val="1"/>
                <c:pt idx="0">
                  <c:v>Data at leaf peers - Total ProQL time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8"/>
            <c:spPr>
              <a:noFill/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plus>
            <c:min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minus>
          </c:errBars>
          <c:cat>
            <c:numRef>
              <c:f>'scale vs peers'!$B$4:$G$4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peers'!$B$13:$G$13</c:f>
              <c:numCache>
                <c:formatCode>General</c:formatCode>
                <c:ptCount val="6"/>
                <c:pt idx="0">
                  <c:v>0.23150000000000001</c:v>
                </c:pt>
                <c:pt idx="1">
                  <c:v>0.49349999999999999</c:v>
                </c:pt>
                <c:pt idx="2">
                  <c:v>0.73316666666666663</c:v>
                </c:pt>
                <c:pt idx="3">
                  <c:v>1.0893333333333333</c:v>
                </c:pt>
                <c:pt idx="4">
                  <c:v>1.3878333333333333</c:v>
                </c:pt>
                <c:pt idx="5">
                  <c:v>1.8045</c:v>
                </c:pt>
              </c:numCache>
            </c:numRef>
          </c:val>
        </c:ser>
        <c:ser>
          <c:idx val="0"/>
          <c:order val="1"/>
          <c:tx>
            <c:strRef>
              <c:f>'scale vs peers'!$I$3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val>
            <c:numRef>
              <c:f>'scale vs peers'!$I$13:$N$13</c:f>
              <c:numCache>
                <c:formatCode>General</c:formatCode>
                <c:ptCount val="6"/>
                <c:pt idx="0">
                  <c:v>1.2833333333333334E-2</c:v>
                </c:pt>
                <c:pt idx="1">
                  <c:v>4.1666666666666664E-2</c:v>
                </c:pt>
                <c:pt idx="2">
                  <c:v>8.5833333333333331E-2</c:v>
                </c:pt>
                <c:pt idx="3">
                  <c:v>0.15633333333333332</c:v>
                </c:pt>
                <c:pt idx="4">
                  <c:v>0.24916666666666668</c:v>
                </c:pt>
                <c:pt idx="5">
                  <c:v>0.36666666666666664</c:v>
                </c:pt>
              </c:numCache>
            </c:numRef>
          </c:val>
        </c:ser>
        <c:ser>
          <c:idx val="1"/>
          <c:order val="2"/>
          <c:tx>
            <c:strRef>
              <c:f>'scale vs peers'!$P$3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val>
            <c:numRef>
              <c:f>'scale vs peers'!$P$13:$U$13</c:f>
              <c:numCache>
                <c:formatCode>General</c:formatCode>
                <c:ptCount val="6"/>
                <c:pt idx="0">
                  <c:v>0.21866666666666668</c:v>
                </c:pt>
                <c:pt idx="1">
                  <c:v>0.45183333333333331</c:v>
                </c:pt>
                <c:pt idx="2">
                  <c:v>0.64733333333333332</c:v>
                </c:pt>
                <c:pt idx="3">
                  <c:v>0.93300000000000005</c:v>
                </c:pt>
                <c:pt idx="4">
                  <c:v>1.1386666666666667</c:v>
                </c:pt>
                <c:pt idx="5">
                  <c:v>1.4378333333333333</c:v>
                </c:pt>
              </c:numCache>
            </c:numRef>
          </c:val>
        </c:ser>
        <c:marker val="1"/>
        <c:axId val="62978304"/>
        <c:axId val="62980864"/>
      </c:lineChart>
      <c:catAx>
        <c:axId val="62978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695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2980864"/>
        <c:crosses val="autoZero"/>
        <c:auto val="1"/>
        <c:lblAlgn val="ctr"/>
        <c:lblOffset val="100"/>
        <c:tickMarkSkip val="1"/>
      </c:catAx>
      <c:valAx>
        <c:axId val="62980864"/>
        <c:scaling>
          <c:orientation val="minMax"/>
          <c:max val="3.5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16E-3"/>
              <c:y val="0.3178780711743571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2978304"/>
        <c:crosses val="autoZero"/>
        <c:crossBetween val="between"/>
        <c:majorUnit val="0.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983143168587426"/>
          <c:y val="1.5623056218960098E-2"/>
          <c:w val="0.57644061245528044"/>
          <c:h val="0.21409136658070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405E-2"/>
          <c:w val="0.74888032684911865"/>
          <c:h val="0.80304734466906103"/>
        </c:manualLayout>
      </c:layout>
      <c:lineChart>
        <c:grouping val="standard"/>
        <c:ser>
          <c:idx val="6"/>
          <c:order val="0"/>
          <c:tx>
            <c:strRef>
              <c:f>'scale vs peers'!$B$21</c:f>
              <c:strCache>
                <c:ptCount val="1"/>
                <c:pt idx="0">
                  <c:v>Data at leaf and middle peers - Total ProQL time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8"/>
            <c:spPr>
              <a:noFill/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plus>
            <c:min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minus>
          </c:errBars>
          <c:cat>
            <c:numRef>
              <c:f>'scale vs peers'!$B$4:$G$4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peers'!$B$31:$G$31</c:f>
              <c:numCache>
                <c:formatCode>General</c:formatCode>
                <c:ptCount val="6"/>
                <c:pt idx="0">
                  <c:v>0.52283333333333337</c:v>
                </c:pt>
                <c:pt idx="1">
                  <c:v>0.76949999999999996</c:v>
                </c:pt>
                <c:pt idx="2">
                  <c:v>1.1883333333333332</c:v>
                </c:pt>
                <c:pt idx="3">
                  <c:v>1.6538333333333333</c:v>
                </c:pt>
                <c:pt idx="4">
                  <c:v>2.3451666666666666</c:v>
                </c:pt>
                <c:pt idx="5">
                  <c:v>3.0108333333333333</c:v>
                </c:pt>
              </c:numCache>
            </c:numRef>
          </c:val>
        </c:ser>
        <c:ser>
          <c:idx val="0"/>
          <c:order val="1"/>
          <c:tx>
            <c:strRef>
              <c:f>'scale vs peers'!$I$21</c:f>
              <c:strCache>
                <c:ptCount val="1"/>
                <c:pt idx="0">
                  <c:v>Data at leaf and middle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val>
            <c:numRef>
              <c:f>'scale vs peers'!$I$31:$N$31</c:f>
              <c:numCache>
                <c:formatCode>General</c:formatCode>
                <c:ptCount val="6"/>
                <c:pt idx="0">
                  <c:v>1.5666666666666666E-2</c:v>
                </c:pt>
                <c:pt idx="1">
                  <c:v>5.1833333333333335E-2</c:v>
                </c:pt>
                <c:pt idx="2">
                  <c:v>0.10416666666666667</c:v>
                </c:pt>
                <c:pt idx="3">
                  <c:v>0.185</c:v>
                </c:pt>
                <c:pt idx="4">
                  <c:v>0.28616666666666668</c:v>
                </c:pt>
                <c:pt idx="5">
                  <c:v>0.42349999999999999</c:v>
                </c:pt>
              </c:numCache>
            </c:numRef>
          </c:val>
        </c:ser>
        <c:ser>
          <c:idx val="1"/>
          <c:order val="2"/>
          <c:tx>
            <c:strRef>
              <c:f>'scale vs peers'!$P$21</c:f>
              <c:strCache>
                <c:ptCount val="1"/>
                <c:pt idx="0">
                  <c:v>Data at leaf and middle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val>
            <c:numRef>
              <c:f>'scale vs peers'!$P$31:$U$31</c:f>
              <c:numCache>
                <c:formatCode>General</c:formatCode>
                <c:ptCount val="6"/>
                <c:pt idx="0">
                  <c:v>0.50716666666666665</c:v>
                </c:pt>
                <c:pt idx="1">
                  <c:v>0.71766666666666667</c:v>
                </c:pt>
                <c:pt idx="2">
                  <c:v>1.0841666666666667</c:v>
                </c:pt>
                <c:pt idx="3">
                  <c:v>1.4688333333333334</c:v>
                </c:pt>
                <c:pt idx="4">
                  <c:v>2.0590000000000002</c:v>
                </c:pt>
                <c:pt idx="5">
                  <c:v>2.5873333333333335</c:v>
                </c:pt>
              </c:numCache>
            </c:numRef>
          </c:val>
        </c:ser>
        <c:marker val="1"/>
        <c:axId val="63023744"/>
        <c:axId val="95425664"/>
      </c:lineChart>
      <c:catAx>
        <c:axId val="63023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425664"/>
        <c:crosses val="autoZero"/>
        <c:auto val="1"/>
        <c:lblAlgn val="ctr"/>
        <c:lblOffset val="100"/>
        <c:tickMarkSkip val="1"/>
      </c:catAx>
      <c:valAx>
        <c:axId val="95425664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2E-3"/>
              <c:y val="0.317878071174357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3023744"/>
        <c:crosses val="autoZero"/>
        <c:crossBetween val="between"/>
        <c:majorUnit val="0.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26611897576974"/>
          <c:y val="1.5623056218960098E-2"/>
          <c:w val="0.75088187674238038"/>
          <c:h val="0.2140913665807029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405E-2"/>
          <c:w val="0.74888032684911865"/>
          <c:h val="0.80304734466906103"/>
        </c:manualLayout>
      </c:layout>
      <c:lineChart>
        <c:grouping val="standard"/>
        <c:ser>
          <c:idx val="6"/>
          <c:order val="0"/>
          <c:tx>
            <c:strRef>
              <c:f>'scale vs peers'!$B$40</c:f>
              <c:strCache>
                <c:ptCount val="1"/>
                <c:pt idx="0">
                  <c:v>Data at leaf peers - Total ProQL time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8"/>
            <c:spPr>
              <a:noFill/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plus>
            <c:min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minus>
          </c:errBars>
          <c:cat>
            <c:numRef>
              <c:f>'scale vs peers'!$B$4:$G$4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peers'!$B$50:$G$50</c:f>
              <c:numCache>
                <c:formatCode>General</c:formatCode>
                <c:ptCount val="6"/>
                <c:pt idx="0">
                  <c:v>0.53883333333333339</c:v>
                </c:pt>
                <c:pt idx="1">
                  <c:v>0.92149999999999999</c:v>
                </c:pt>
                <c:pt idx="2">
                  <c:v>1.4515</c:v>
                </c:pt>
                <c:pt idx="3">
                  <c:v>2.2906666666666666</c:v>
                </c:pt>
                <c:pt idx="4">
                  <c:v>2.6598333333333333</c:v>
                </c:pt>
                <c:pt idx="5">
                  <c:v>3.1150000000000002</c:v>
                </c:pt>
              </c:numCache>
            </c:numRef>
          </c:val>
        </c:ser>
        <c:ser>
          <c:idx val="0"/>
          <c:order val="1"/>
          <c:tx>
            <c:strRef>
              <c:f>'scale vs peers'!$I$40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val>
            <c:numRef>
              <c:f>'scale vs peers'!$I$50:$N$50</c:f>
              <c:numCache>
                <c:formatCode>General</c:formatCode>
                <c:ptCount val="6"/>
                <c:pt idx="0">
                  <c:v>1.5833333333333335E-2</c:v>
                </c:pt>
                <c:pt idx="1">
                  <c:v>7.2833333333333333E-2</c:v>
                </c:pt>
                <c:pt idx="2">
                  <c:v>0.1535</c:v>
                </c:pt>
                <c:pt idx="3">
                  <c:v>0.24933333333333332</c:v>
                </c:pt>
                <c:pt idx="4">
                  <c:v>0.37416666666666665</c:v>
                </c:pt>
                <c:pt idx="5">
                  <c:v>0.54349999999999998</c:v>
                </c:pt>
              </c:numCache>
            </c:numRef>
          </c:val>
        </c:ser>
        <c:ser>
          <c:idx val="1"/>
          <c:order val="2"/>
          <c:tx>
            <c:strRef>
              <c:f>'scale vs peers'!$P$40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val>
            <c:numRef>
              <c:f>'scale vs peers'!$P$50:$U$50</c:f>
              <c:numCache>
                <c:formatCode>General</c:formatCode>
                <c:ptCount val="6"/>
                <c:pt idx="0">
                  <c:v>0.52300000000000002</c:v>
                </c:pt>
                <c:pt idx="1">
                  <c:v>0.84866666666666668</c:v>
                </c:pt>
                <c:pt idx="2">
                  <c:v>1.298</c:v>
                </c:pt>
                <c:pt idx="3">
                  <c:v>2.0413333333333332</c:v>
                </c:pt>
                <c:pt idx="4">
                  <c:v>2.2856666666666667</c:v>
                </c:pt>
                <c:pt idx="5">
                  <c:v>2.5714999999999999</c:v>
                </c:pt>
              </c:numCache>
            </c:numRef>
          </c:val>
        </c:ser>
        <c:marker val="1"/>
        <c:axId val="95816320"/>
        <c:axId val="95839360"/>
      </c:lineChart>
      <c:catAx>
        <c:axId val="95816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839360"/>
        <c:crosses val="autoZero"/>
        <c:auto val="1"/>
        <c:lblAlgn val="ctr"/>
        <c:lblOffset val="100"/>
        <c:tickMarkSkip val="1"/>
      </c:catAx>
      <c:valAx>
        <c:axId val="95839360"/>
        <c:scaling>
          <c:orientation val="minMax"/>
          <c:max val="3.5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2E-3"/>
              <c:y val="0.317878071174357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816320"/>
        <c:crosses val="autoZero"/>
        <c:crossBetween val="between"/>
        <c:majorUnit val="0.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983143168587429"/>
          <c:y val="1.5623056218960105E-2"/>
          <c:w val="0.57900592516538463"/>
          <c:h val="0.2140913665807029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408E-2"/>
          <c:w val="0.74888032684911865"/>
          <c:h val="0.80304734466906103"/>
        </c:manualLayout>
      </c:layout>
      <c:lineChart>
        <c:grouping val="standard"/>
        <c:ser>
          <c:idx val="6"/>
          <c:order val="0"/>
          <c:tx>
            <c:strRef>
              <c:f>'scale vs peers'!$B$58</c:f>
              <c:strCache>
                <c:ptCount val="1"/>
                <c:pt idx="0">
                  <c:v>Data at leaf and middle peers - Total ProQL time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8"/>
            <c:spPr>
              <a:noFill/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plus>
            <c:min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minus>
          </c:errBars>
          <c:cat>
            <c:numRef>
              <c:f>'scale vs peers'!$B$4:$G$4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peers'!$B$68:$G$68</c:f>
              <c:numCache>
                <c:formatCode>General</c:formatCode>
                <c:ptCount val="6"/>
                <c:pt idx="0">
                  <c:v>0.54333333333333333</c:v>
                </c:pt>
                <c:pt idx="1">
                  <c:v>10.291166666666667</c:v>
                </c:pt>
                <c:pt idx="2">
                  <c:v>13.413666666666666</c:v>
                </c:pt>
                <c:pt idx="3">
                  <c:v>15.336166666666667</c:v>
                </c:pt>
                <c:pt idx="4">
                  <c:v>16.532</c:v>
                </c:pt>
                <c:pt idx="5">
                  <c:v>21.216333333333335</c:v>
                </c:pt>
              </c:numCache>
            </c:numRef>
          </c:val>
        </c:ser>
        <c:ser>
          <c:idx val="0"/>
          <c:order val="1"/>
          <c:tx>
            <c:strRef>
              <c:f>'scale vs peers'!$I$58</c:f>
              <c:strCache>
                <c:ptCount val="1"/>
                <c:pt idx="0">
                  <c:v>Data at leaf and middle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val>
            <c:numRef>
              <c:f>'scale vs peers'!$I$68:$N$68</c:f>
              <c:numCache>
                <c:formatCode>General</c:formatCode>
                <c:ptCount val="6"/>
                <c:pt idx="0">
                  <c:v>1.3166666666666667E-2</c:v>
                </c:pt>
                <c:pt idx="1">
                  <c:v>1.5756666666666668</c:v>
                </c:pt>
                <c:pt idx="2">
                  <c:v>2.0880000000000001</c:v>
                </c:pt>
                <c:pt idx="3">
                  <c:v>2.9326666666666665</c:v>
                </c:pt>
                <c:pt idx="4">
                  <c:v>4.0456666666666665</c:v>
                </c:pt>
                <c:pt idx="5">
                  <c:v>5.1609999999999996</c:v>
                </c:pt>
              </c:numCache>
            </c:numRef>
          </c:val>
        </c:ser>
        <c:ser>
          <c:idx val="1"/>
          <c:order val="2"/>
          <c:tx>
            <c:strRef>
              <c:f>'scale vs peers'!$P$58</c:f>
              <c:strCache>
                <c:ptCount val="1"/>
                <c:pt idx="0">
                  <c:v>Data at leaf and middle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val>
            <c:numRef>
              <c:f>'scale vs peers'!$P$68:$U$68</c:f>
              <c:numCache>
                <c:formatCode>General</c:formatCode>
                <c:ptCount val="6"/>
                <c:pt idx="0">
                  <c:v>0.53016666666666667</c:v>
                </c:pt>
                <c:pt idx="1">
                  <c:v>8.7155000000000005</c:v>
                </c:pt>
                <c:pt idx="2">
                  <c:v>11.325666666666667</c:v>
                </c:pt>
                <c:pt idx="3">
                  <c:v>12.403499999999999</c:v>
                </c:pt>
                <c:pt idx="4">
                  <c:v>12.483499999999999</c:v>
                </c:pt>
                <c:pt idx="5">
                  <c:v>16.055333333333333</c:v>
                </c:pt>
              </c:numCache>
            </c:numRef>
          </c:val>
        </c:ser>
        <c:marker val="1"/>
        <c:axId val="95752192"/>
        <c:axId val="95753344"/>
      </c:lineChart>
      <c:catAx>
        <c:axId val="95752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06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753344"/>
        <c:crosses val="autoZero"/>
        <c:auto val="1"/>
        <c:lblAlgn val="ctr"/>
        <c:lblOffset val="100"/>
        <c:tickMarkSkip val="1"/>
      </c:catAx>
      <c:valAx>
        <c:axId val="95753344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29E-3"/>
              <c:y val="0.317878071174357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7521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26611897576974"/>
          <c:y val="1.5623056218960105E-2"/>
          <c:w val="0.74831656403227531"/>
          <c:h val="0.21409136658070302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408E-2"/>
          <c:w val="0.74888032684911865"/>
          <c:h val="0.80304734466906103"/>
        </c:manualLayout>
      </c:layout>
      <c:lineChart>
        <c:grouping val="standard"/>
        <c:ser>
          <c:idx val="6"/>
          <c:order val="0"/>
          <c:tx>
            <c:strRef>
              <c:f>'scale vs peers'!$B$95</c:f>
              <c:strCache>
                <c:ptCount val="1"/>
                <c:pt idx="0">
                  <c:v>Data at leaf and middle peers - Total ProQL time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square"/>
            <c:size val="18"/>
            <c:spPr>
              <a:noFill/>
              <a:ln w="25400">
                <a:solidFill>
                  <a:srgbClr val="1F497D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plus>
            <c:minus>
              <c:numRef>
                <c:f>'scale vs peers'!$B$15:$G$15</c:f>
                <c:numCache>
                  <c:formatCode>General</c:formatCode>
                  <c:ptCount val="6"/>
                  <c:pt idx="0">
                    <c:v>2.6837912155757357E-3</c:v>
                  </c:pt>
                  <c:pt idx="1">
                    <c:v>3.5685341515251079E-3</c:v>
                  </c:pt>
                  <c:pt idx="2">
                    <c:v>1.7891941437171572E-4</c:v>
                  </c:pt>
                  <c:pt idx="3">
                    <c:v>2.8627106299453681E-3</c:v>
                  </c:pt>
                  <c:pt idx="4">
                    <c:v>1.7891941437171572E-4</c:v>
                  </c:pt>
                  <c:pt idx="5">
                    <c:v>5.6923374067736829E-3</c:v>
                  </c:pt>
                </c:numCache>
              </c:numRef>
            </c:minus>
          </c:errBars>
          <c:cat>
            <c:numRef>
              <c:f>'scale vs peers'!$B$4:$G$4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peers'!$B$105:$G$105</c:f>
              <c:numCache>
                <c:formatCode>General</c:formatCode>
                <c:ptCount val="6"/>
                <c:pt idx="0">
                  <c:v>0.42866666666666664</c:v>
                </c:pt>
                <c:pt idx="1">
                  <c:v>1.7991666666666666</c:v>
                </c:pt>
                <c:pt idx="2">
                  <c:v>3.4111666666666665</c:v>
                </c:pt>
                <c:pt idx="3">
                  <c:v>4.8283333333333331</c:v>
                </c:pt>
                <c:pt idx="4">
                  <c:v>14.955333333333334</c:v>
                </c:pt>
                <c:pt idx="5">
                  <c:v>63.360666666666667</c:v>
                </c:pt>
              </c:numCache>
            </c:numRef>
          </c:val>
        </c:ser>
        <c:ser>
          <c:idx val="0"/>
          <c:order val="1"/>
          <c:tx>
            <c:strRef>
              <c:f>'scale vs peers'!$I$95</c:f>
              <c:strCache>
                <c:ptCount val="1"/>
                <c:pt idx="0">
                  <c:v>Data at leaf and middle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val>
            <c:numRef>
              <c:f>'scale vs peers'!$I$105:$N$105</c:f>
              <c:numCache>
                <c:formatCode>General</c:formatCode>
                <c:ptCount val="6"/>
                <c:pt idx="0">
                  <c:v>7.4999999999999997E-3</c:v>
                </c:pt>
                <c:pt idx="1">
                  <c:v>5.7166666666666664E-2</c:v>
                </c:pt>
                <c:pt idx="2">
                  <c:v>0.12983333333333333</c:v>
                </c:pt>
                <c:pt idx="3">
                  <c:v>0.24166666666666667</c:v>
                </c:pt>
                <c:pt idx="4">
                  <c:v>1.0191666666666668</c:v>
                </c:pt>
                <c:pt idx="5">
                  <c:v>6.9448333333333334</c:v>
                </c:pt>
              </c:numCache>
            </c:numRef>
          </c:val>
        </c:ser>
        <c:ser>
          <c:idx val="1"/>
          <c:order val="2"/>
          <c:tx>
            <c:strRef>
              <c:f>'scale vs peers'!$P$77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val>
            <c:numRef>
              <c:f>'scale vs peers'!$P$105:$U$105</c:f>
              <c:numCache>
                <c:formatCode>General</c:formatCode>
                <c:ptCount val="6"/>
                <c:pt idx="0">
                  <c:v>0.42116666666666669</c:v>
                </c:pt>
                <c:pt idx="1">
                  <c:v>1.742</c:v>
                </c:pt>
                <c:pt idx="2">
                  <c:v>3.2813333333333334</c:v>
                </c:pt>
                <c:pt idx="3">
                  <c:v>4.5866666666666669</c:v>
                </c:pt>
                <c:pt idx="4">
                  <c:v>13.936166666666667</c:v>
                </c:pt>
                <c:pt idx="5">
                  <c:v>56.415833333333332</c:v>
                </c:pt>
              </c:numCache>
            </c:numRef>
          </c:val>
        </c:ser>
        <c:marker val="1"/>
        <c:axId val="96185344"/>
        <c:axId val="96192000"/>
      </c:lineChart>
      <c:catAx>
        <c:axId val="96185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06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192000"/>
        <c:crosses val="autoZero"/>
        <c:auto val="1"/>
        <c:lblAlgn val="ctr"/>
        <c:lblOffset val="100"/>
        <c:tickMarkSkip val="1"/>
      </c:catAx>
      <c:valAx>
        <c:axId val="9619200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29E-3"/>
              <c:y val="0.317878071174357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185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726611897576974"/>
          <c:y val="1.5623056218960105E-2"/>
          <c:w val="0.29682152705389953"/>
          <c:h val="0.21409136658070302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412E-2"/>
          <c:w val="0.74888032684911865"/>
          <c:h val="0.80304734466906103"/>
        </c:manualLayout>
      </c:layout>
      <c:lineChart>
        <c:grouping val="standard"/>
        <c:ser>
          <c:idx val="3"/>
          <c:order val="0"/>
          <c:tx>
            <c:strRef>
              <c:f>'scale vs peers'!$P$95</c:f>
              <c:strCache>
                <c:ptCount val="1"/>
                <c:pt idx="0">
                  <c:v>Data at leaf and middle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noFill/>
              <a:ln w="25400"/>
            </c:spPr>
          </c:marker>
          <c:cat>
            <c:numRef>
              <c:f>'scale vs peers'!$I$96:$N$96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peers'!$P$105:$U$105</c:f>
              <c:numCache>
                <c:formatCode>General</c:formatCode>
                <c:ptCount val="6"/>
                <c:pt idx="0">
                  <c:v>0.42116666666666669</c:v>
                </c:pt>
                <c:pt idx="1">
                  <c:v>1.742</c:v>
                </c:pt>
                <c:pt idx="2">
                  <c:v>3.2813333333333334</c:v>
                </c:pt>
                <c:pt idx="3">
                  <c:v>4.5866666666666669</c:v>
                </c:pt>
                <c:pt idx="4">
                  <c:v>13.936166666666667</c:v>
                </c:pt>
                <c:pt idx="5">
                  <c:v>56.415833333333332</c:v>
                </c:pt>
              </c:numCache>
            </c:numRef>
          </c:val>
        </c:ser>
        <c:ser>
          <c:idx val="1"/>
          <c:order val="1"/>
          <c:tx>
            <c:strRef>
              <c:f>'scale vs peers'!$P$77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7"/>
            <c:spPr>
              <a:ln w="25400"/>
            </c:spPr>
          </c:marker>
          <c:cat>
            <c:numRef>
              <c:f>'scale vs peers'!$I$96:$N$96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peers'!$P$87:$U$87</c:f>
              <c:numCache>
                <c:formatCode>General</c:formatCode>
                <c:ptCount val="6"/>
                <c:pt idx="0">
                  <c:v>0.41566666666666668</c:v>
                </c:pt>
                <c:pt idx="1">
                  <c:v>1.7055</c:v>
                </c:pt>
                <c:pt idx="2">
                  <c:v>3.2524999999999999</c:v>
                </c:pt>
                <c:pt idx="3">
                  <c:v>4.0166666666666666</c:v>
                </c:pt>
                <c:pt idx="4">
                  <c:v>10.038666666666666</c:v>
                </c:pt>
                <c:pt idx="5">
                  <c:v>45.761000000000003</c:v>
                </c:pt>
              </c:numCache>
            </c:numRef>
          </c:val>
        </c:ser>
        <c:ser>
          <c:idx val="2"/>
          <c:order val="2"/>
          <c:tx>
            <c:strRef>
              <c:f>'scale vs peers'!$I$95</c:f>
              <c:strCache>
                <c:ptCount val="1"/>
                <c:pt idx="0">
                  <c:v>Data at leaf and middle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noFill/>
              <a:ln w="25400"/>
            </c:spPr>
          </c:marker>
          <c:cat>
            <c:numRef>
              <c:f>'scale vs peers'!$I$96:$N$96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peers'!$I$105:$N$105</c:f>
              <c:numCache>
                <c:formatCode>General</c:formatCode>
                <c:ptCount val="6"/>
                <c:pt idx="0">
                  <c:v>7.4999999999999997E-3</c:v>
                </c:pt>
                <c:pt idx="1">
                  <c:v>5.7166666666666664E-2</c:v>
                </c:pt>
                <c:pt idx="2">
                  <c:v>0.12983333333333333</c:v>
                </c:pt>
                <c:pt idx="3">
                  <c:v>0.24166666666666667</c:v>
                </c:pt>
                <c:pt idx="4">
                  <c:v>1.0191666666666668</c:v>
                </c:pt>
                <c:pt idx="5">
                  <c:v>6.9448333333333334</c:v>
                </c:pt>
              </c:numCache>
            </c:numRef>
          </c:val>
        </c:ser>
        <c:ser>
          <c:idx val="0"/>
          <c:order val="3"/>
          <c:tx>
            <c:strRef>
              <c:f>'scale vs peers'!$I$77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cat>
            <c:numRef>
              <c:f>'scale vs peers'!$I$96:$N$96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peers'!$I$87:$N$87</c:f>
              <c:numCache>
                <c:formatCode>General</c:formatCode>
                <c:ptCount val="6"/>
                <c:pt idx="0">
                  <c:v>8.0000000000000002E-3</c:v>
                </c:pt>
                <c:pt idx="1">
                  <c:v>5.1999999999999998E-2</c:v>
                </c:pt>
                <c:pt idx="2">
                  <c:v>0.13</c:v>
                </c:pt>
                <c:pt idx="3">
                  <c:v>0.23150000000000001</c:v>
                </c:pt>
                <c:pt idx="4">
                  <c:v>0.90500000000000003</c:v>
                </c:pt>
                <c:pt idx="5">
                  <c:v>6.3858333333333333</c:v>
                </c:pt>
              </c:numCache>
            </c:numRef>
          </c:val>
        </c:ser>
        <c:marker val="1"/>
        <c:axId val="96230784"/>
        <c:axId val="96245632"/>
      </c:lineChart>
      <c:catAx>
        <c:axId val="96230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11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245632"/>
        <c:crosses val="autoZero"/>
        <c:auto val="1"/>
        <c:lblAlgn val="ctr"/>
        <c:lblOffset val="100"/>
        <c:tickMarkSkip val="1"/>
      </c:catAx>
      <c:valAx>
        <c:axId val="96245632"/>
        <c:scaling>
          <c:orientation val="minMax"/>
          <c:max val="75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38E-3"/>
              <c:y val="0.3178780711743576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2307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983143168587437"/>
          <c:y val="1.5623056218960114E-2"/>
          <c:w val="0.73648845250742689"/>
          <c:h val="0.22294512143860029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3156014340300043"/>
          <c:y val="2.9641857190595408E-2"/>
          <c:w val="0.67833422732124693"/>
          <c:h val="0.80304734466906103"/>
        </c:manualLayout>
      </c:layout>
      <c:lineChart>
        <c:grouping val="standard"/>
        <c:ser>
          <c:idx val="0"/>
          <c:order val="0"/>
          <c:tx>
            <c:strRef>
              <c:f>'scale vs peers'!$I$77</c:f>
              <c:strCache>
                <c:ptCount val="1"/>
                <c:pt idx="0">
                  <c:v>Data at leaf peers - 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cat>
            <c:numRef>
              <c:f>'scale vs peers'!$B$78:$G$78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peers'!$I$87:$N$87</c:f>
              <c:numCache>
                <c:formatCode>General</c:formatCode>
                <c:ptCount val="6"/>
                <c:pt idx="0">
                  <c:v>8.0000000000000002E-3</c:v>
                </c:pt>
                <c:pt idx="1">
                  <c:v>5.1999999999999998E-2</c:v>
                </c:pt>
                <c:pt idx="2">
                  <c:v>0.13</c:v>
                </c:pt>
                <c:pt idx="3">
                  <c:v>0.23150000000000001</c:v>
                </c:pt>
                <c:pt idx="4">
                  <c:v>0.90500000000000003</c:v>
                </c:pt>
                <c:pt idx="5">
                  <c:v>6.3858333333333333</c:v>
                </c:pt>
              </c:numCache>
            </c:numRef>
          </c:val>
        </c:ser>
        <c:ser>
          <c:idx val="1"/>
          <c:order val="1"/>
          <c:tx>
            <c:strRef>
              <c:f>'scale vs peers'!$P$77</c:f>
              <c:strCache>
                <c:ptCount val="1"/>
                <c:pt idx="0">
                  <c:v>Data at leaf peers - Evaluation time</c:v>
                </c:pt>
              </c:strCache>
            </c:strRef>
          </c:tx>
          <c:spPr>
            <a:ln w="38100"/>
          </c:spPr>
          <c:marker>
            <c:symbol val="square"/>
            <c:size val="18"/>
            <c:spPr>
              <a:ln w="25400"/>
            </c:spPr>
          </c:marker>
          <c:cat>
            <c:numRef>
              <c:f>'scale vs peers'!$B$78:$G$78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</c:numCache>
            </c:numRef>
          </c:cat>
          <c:val>
            <c:numRef>
              <c:f>'scale vs peers'!$P$87:$U$87</c:f>
              <c:numCache>
                <c:formatCode>General</c:formatCode>
                <c:ptCount val="6"/>
                <c:pt idx="0">
                  <c:v>0.41566666666666668</c:v>
                </c:pt>
                <c:pt idx="1">
                  <c:v>1.7055</c:v>
                </c:pt>
                <c:pt idx="2">
                  <c:v>3.2524999999999999</c:v>
                </c:pt>
                <c:pt idx="3">
                  <c:v>4.0166666666666666</c:v>
                </c:pt>
                <c:pt idx="4">
                  <c:v>10.038666666666666</c:v>
                </c:pt>
                <c:pt idx="5">
                  <c:v>45.761000000000003</c:v>
                </c:pt>
              </c:numCache>
            </c:numRef>
          </c:val>
        </c:ser>
        <c:marker val="1"/>
        <c:axId val="63046016"/>
        <c:axId val="63047936"/>
      </c:lineChart>
      <c:lineChart>
        <c:grouping val="standard"/>
        <c:ser>
          <c:idx val="2"/>
          <c:order val="2"/>
          <c:tx>
            <c:strRef>
              <c:f>'scale vs peers'!$A$91</c:f>
              <c:strCache>
                <c:ptCount val="1"/>
                <c:pt idx="0">
                  <c:v>Data at leaf peers - Instance size</c:v>
                </c:pt>
              </c:strCache>
            </c:strRef>
          </c:tx>
          <c:spPr>
            <a:ln w="38100"/>
          </c:spPr>
          <c:marker>
            <c:symbol val="triangle"/>
            <c:size val="18"/>
            <c:spPr>
              <a:noFill/>
              <a:ln w="25400"/>
            </c:spPr>
          </c:marker>
          <c:val>
            <c:numRef>
              <c:f>'scale vs peers'!$B$91:$G$91</c:f>
              <c:numCache>
                <c:formatCode>General</c:formatCode>
                <c:ptCount val="6"/>
                <c:pt idx="0">
                  <c:v>280</c:v>
                </c:pt>
                <c:pt idx="1">
                  <c:v>710</c:v>
                </c:pt>
                <c:pt idx="2">
                  <c:v>1140</c:v>
                </c:pt>
                <c:pt idx="3">
                  <c:v>1500</c:v>
                </c:pt>
                <c:pt idx="4">
                  <c:v>2050</c:v>
                </c:pt>
                <c:pt idx="5">
                  <c:v>2600</c:v>
                </c:pt>
              </c:numCache>
            </c:numRef>
          </c:val>
        </c:ser>
        <c:marker val="1"/>
        <c:axId val="63063552"/>
        <c:axId val="63062016"/>
      </c:lineChart>
      <c:catAx>
        <c:axId val="63046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Number of peers</a:t>
                </a:r>
              </a:p>
            </c:rich>
          </c:tx>
          <c:layout>
            <c:manualLayout>
              <c:xMode val="edge"/>
              <c:yMode val="edge"/>
              <c:x val="0.38773486806515706"/>
              <c:y val="0.932381832987811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3047936"/>
        <c:crosses val="autoZero"/>
        <c:auto val="1"/>
        <c:lblAlgn val="ctr"/>
        <c:lblOffset val="100"/>
        <c:tickMarkSkip val="1"/>
      </c:catAx>
      <c:valAx>
        <c:axId val="63047936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29E-3"/>
              <c:y val="0.317878071174357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3046016"/>
        <c:crosses val="autoZero"/>
        <c:crossBetween val="between"/>
        <c:majorUnit val="10"/>
      </c:valAx>
      <c:valAx>
        <c:axId val="63062016"/>
        <c:scaling>
          <c:orientation val="minMax"/>
        </c:scaling>
        <c:axPos val="r"/>
        <c:numFmt formatCode="General" sourceLinked="1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3000" b="1">
                <a:latin typeface="+mn-lt"/>
              </a:defRPr>
            </a:pPr>
            <a:endParaRPr lang="en-US"/>
          </a:p>
        </c:txPr>
        <c:crossAx val="63063552"/>
        <c:crosses val="max"/>
        <c:crossBetween val="between"/>
      </c:valAx>
      <c:catAx>
        <c:axId val="63063552"/>
        <c:scaling>
          <c:orientation val="minMax"/>
        </c:scaling>
        <c:delete val="1"/>
        <c:axPos val="b"/>
        <c:tickLblPos val="none"/>
        <c:crossAx val="63062016"/>
        <c:crosses val="autoZero"/>
        <c:auto val="1"/>
        <c:lblAlgn val="ctr"/>
        <c:lblOffset val="100"/>
      </c:cat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2802627364998645"/>
          <c:y val="6.5553299441867242E-4"/>
          <c:w val="0.28784293256853349"/>
          <c:h val="0.18249326199555976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23467601867912"/>
          <c:y val="2.9641857190595412E-2"/>
          <c:w val="0.74888032684911865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data'!$C$93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triangle"/>
            <c:size val="18"/>
            <c:spPr>
              <a:noFill/>
              <a:ln w="254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data'!$C$102:$E$102</c:f>
              <c:numCache>
                <c:formatCode>General</c:formatCode>
                <c:ptCount val="3"/>
                <c:pt idx="0">
                  <c:v>12.641666666666667</c:v>
                </c:pt>
                <c:pt idx="1">
                  <c:v>12.990166666666667</c:v>
                </c:pt>
                <c:pt idx="2">
                  <c:v>14.040333333333333</c:v>
                </c:pt>
              </c:numCache>
            </c:numRef>
          </c:yVal>
        </c:ser>
        <c:ser>
          <c:idx val="0"/>
          <c:order val="1"/>
          <c:tx>
            <c:strRef>
              <c:f>'join types data'!$F$93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data'!$F$102:$G$102</c:f>
              <c:numCache>
                <c:formatCode>General</c:formatCode>
                <c:ptCount val="2"/>
                <c:pt idx="0">
                  <c:v>59.331000000000003</c:v>
                </c:pt>
                <c:pt idx="1">
                  <c:v>95.089666666666673</c:v>
                </c:pt>
              </c:numCache>
            </c:numRef>
          </c:yVal>
        </c:ser>
        <c:ser>
          <c:idx val="1"/>
          <c:order val="2"/>
          <c:tx>
            <c:strRef>
              <c:f>'join types data'!$I$93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data'!$I$102:$K$102</c:f>
              <c:numCache>
                <c:formatCode>General</c:formatCode>
                <c:ptCount val="3"/>
                <c:pt idx="0">
                  <c:v>101.53783333333334</c:v>
                </c:pt>
                <c:pt idx="1">
                  <c:v>123.08966666666667</c:v>
                </c:pt>
                <c:pt idx="2">
                  <c:v>89.622166666666672</c:v>
                </c:pt>
              </c:numCache>
            </c:numRef>
          </c:yVal>
        </c:ser>
        <c:ser>
          <c:idx val="2"/>
          <c:order val="3"/>
          <c:tx>
            <c:strRef>
              <c:f>'join types data'!$B$93</c:f>
              <c:strCache>
                <c:ptCount val="1"/>
                <c:pt idx="0">
                  <c:v>no joins</c:v>
                </c:pt>
              </c:strCache>
            </c:strRef>
          </c:tx>
          <c:spPr>
            <a:ln w="38100"/>
          </c:spPr>
          <c:marker>
            <c:symbol val="triangle"/>
            <c:size val="17"/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('join types data'!$B$102,'join types data'!$B$102,'join types data'!$B$102)</c:f>
              <c:numCache>
                <c:formatCode>General</c:formatCode>
                <c:ptCount val="3"/>
                <c:pt idx="0">
                  <c:v>21.216333333333335</c:v>
                </c:pt>
                <c:pt idx="1">
                  <c:v>21.216333333333335</c:v>
                </c:pt>
                <c:pt idx="2">
                  <c:v>21.216333333333335</c:v>
                </c:pt>
              </c:numCache>
            </c:numRef>
          </c:yVal>
        </c:ser>
        <c:axId val="96473088"/>
        <c:axId val="96475008"/>
      </c:scatterChart>
      <c:valAx>
        <c:axId val="96473088"/>
        <c:scaling>
          <c:orientation val="minMax"/>
          <c:max val="8"/>
          <c:min val="1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4797254953805717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475008"/>
        <c:crosses val="autoZero"/>
        <c:crossBetween val="midCat"/>
        <c:minorUnit val="1"/>
      </c:valAx>
      <c:valAx>
        <c:axId val="96475008"/>
        <c:scaling>
          <c:orientation val="minMax"/>
          <c:max val="160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55E-3"/>
              <c:y val="0.3178780711743581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4730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5710608374"/>
          <c:y val="2.0612230627140612E-2"/>
          <c:w val="0.17522368466368188"/>
          <c:h val="0.2650123734144314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823467601867912"/>
          <c:y val="2.9641857190595412E-2"/>
          <c:w val="0.74888032684911865"/>
          <c:h val="0.80304734466906103"/>
        </c:manualLayout>
      </c:layout>
      <c:barChart>
        <c:barDir val="col"/>
        <c:grouping val="clustered"/>
        <c:ser>
          <c:idx val="2"/>
          <c:order val="0"/>
          <c:tx>
            <c:strRef>
              <c:f>'join types data'!$B$111</c:f>
              <c:strCache>
                <c:ptCount val="1"/>
                <c:pt idx="0">
                  <c:v>Total query processing time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cat>
            <c:strRef>
              <c:f>'join types data'!$B$112:$E$112</c:f>
              <c:strCache>
                <c:ptCount val="4"/>
                <c:pt idx="0">
                  <c:v>no joins</c:v>
                </c:pt>
                <c:pt idx="1">
                  <c:v>inner</c:v>
                </c:pt>
                <c:pt idx="2">
                  <c:v>full outer</c:v>
                </c:pt>
                <c:pt idx="3">
                  <c:v>left outer</c:v>
                </c:pt>
              </c:strCache>
            </c:strRef>
          </c:cat>
          <c:val>
            <c:numRef>
              <c:f>'join types data'!$B$139:$E$139</c:f>
              <c:numCache>
                <c:formatCode>General</c:formatCode>
                <c:ptCount val="4"/>
                <c:pt idx="0">
                  <c:v>63.360666666666667</c:v>
                </c:pt>
                <c:pt idx="1">
                  <c:v>40.519166666666663</c:v>
                </c:pt>
                <c:pt idx="2">
                  <c:v>295.52699999999999</c:v>
                </c:pt>
                <c:pt idx="3">
                  <c:v>86.085333333333338</c:v>
                </c:pt>
              </c:numCache>
            </c:numRef>
          </c:val>
        </c:ser>
        <c:axId val="96671616"/>
        <c:axId val="96686080"/>
      </c:barChart>
      <c:catAx>
        <c:axId val="96671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Join type</a:t>
                </a:r>
              </a:p>
            </c:rich>
          </c:tx>
          <c:layout>
            <c:manualLayout>
              <c:xMode val="edge"/>
              <c:yMode val="edge"/>
              <c:x val="0.44545443252202455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686080"/>
        <c:crosses val="autoZero"/>
        <c:auto val="1"/>
        <c:lblAlgn val="ctr"/>
        <c:lblOffset val="100"/>
        <c:tickMarkSkip val="1"/>
      </c:catAx>
      <c:valAx>
        <c:axId val="9668608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59E-3"/>
              <c:y val="0.317878071174358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6716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5710608377"/>
          <c:y val="2.0612230627140612E-2"/>
          <c:w val="0.1923817888248717"/>
          <c:h val="6.62530933536078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23467601867912"/>
          <c:y val="2.9641857190595408E-2"/>
          <c:w val="0.74888032684911865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'inner join lengths data'!$B$3</c:f>
              <c:strCache>
                <c:ptCount val="1"/>
                <c:pt idx="0">
                  <c:v>Total query processing time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triangle"/>
            <c:size val="18"/>
            <c:spPr>
              <a:noFill/>
              <a:ln w="254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data'!$B$13:$F$13</c:f>
              <c:numCache>
                <c:formatCode>General</c:formatCode>
                <c:ptCount val="5"/>
                <c:pt idx="0">
                  <c:v>1.8045</c:v>
                </c:pt>
                <c:pt idx="1">
                  <c:v>0.85783333333333334</c:v>
                </c:pt>
                <c:pt idx="2">
                  <c:v>0.68633333333333335</c:v>
                </c:pt>
                <c:pt idx="3">
                  <c:v>0.58766666666666667</c:v>
                </c:pt>
                <c:pt idx="4">
                  <c:v>0.53566666666666662</c:v>
                </c:pt>
              </c:numCache>
            </c:numRef>
          </c:yVal>
        </c:ser>
        <c:ser>
          <c:idx val="0"/>
          <c:order val="1"/>
          <c:tx>
            <c:strRef>
              <c:f>'inner join lengths data'!$H$3</c:f>
              <c:strCache>
                <c:ptCount val="1"/>
                <c:pt idx="0">
                  <c:v>Unfolding time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data'!$H$13:$L$13</c:f>
              <c:numCache>
                <c:formatCode>General</c:formatCode>
                <c:ptCount val="5"/>
                <c:pt idx="0">
                  <c:v>0.36666666666666664</c:v>
                </c:pt>
                <c:pt idx="1">
                  <c:v>0.40833333333333333</c:v>
                </c:pt>
                <c:pt idx="2">
                  <c:v>0.40583333333333332</c:v>
                </c:pt>
                <c:pt idx="3">
                  <c:v>0.42116666666666669</c:v>
                </c:pt>
                <c:pt idx="4">
                  <c:v>0.41616666666666668</c:v>
                </c:pt>
              </c:numCache>
            </c:numRef>
          </c:yVal>
        </c:ser>
        <c:ser>
          <c:idx val="1"/>
          <c:order val="2"/>
          <c:tx>
            <c:strRef>
              <c:f>'inner join lengths data'!$N$3</c:f>
              <c:strCache>
                <c:ptCount val="1"/>
                <c:pt idx="0">
                  <c:v>Evaluation time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'inner join lengths data'!$B$4:$F$4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'inner join lengths data'!$N$13:$R$13</c:f>
              <c:numCache>
                <c:formatCode>General</c:formatCode>
                <c:ptCount val="5"/>
                <c:pt idx="0">
                  <c:v>1.4378333333333333</c:v>
                </c:pt>
                <c:pt idx="1">
                  <c:v>0.44950000000000001</c:v>
                </c:pt>
                <c:pt idx="2">
                  <c:v>0.28050000000000003</c:v>
                </c:pt>
                <c:pt idx="3">
                  <c:v>0.16650000000000001</c:v>
                </c:pt>
                <c:pt idx="4">
                  <c:v>0.1195</c:v>
                </c:pt>
              </c:numCache>
            </c:numRef>
          </c:yVal>
        </c:ser>
        <c:axId val="96729344"/>
        <c:axId val="96616832"/>
      </c:scatterChart>
      <c:valAx>
        <c:axId val="96729344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inner join width</a:t>
                </a:r>
              </a:p>
            </c:rich>
          </c:tx>
          <c:layout>
            <c:manualLayout>
              <c:xMode val="edge"/>
              <c:yMode val="edge"/>
              <c:x val="0.30051426440112522"/>
              <c:y val="0.9340449476162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616832"/>
        <c:crosses val="autoZero"/>
        <c:crossBetween val="midCat"/>
        <c:majorUnit val="3"/>
        <c:minorUnit val="1"/>
      </c:valAx>
      <c:valAx>
        <c:axId val="96616832"/>
        <c:scaling>
          <c:orientation val="minMax"/>
          <c:max val="3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29E-3"/>
              <c:y val="0.317878071174357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6729344"/>
        <c:crosses val="autoZero"/>
        <c:crossBetween val="midCat"/>
        <c:majorUnit val="0.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5710608352"/>
          <c:y val="2.0612230627140612E-2"/>
          <c:w val="0.26506739955159531"/>
          <c:h val="0.19875928006082352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4823467601867912"/>
          <c:y val="2.9641857190595412E-2"/>
          <c:w val="0.74888032684911865"/>
          <c:h val="0.80304734466906103"/>
        </c:manualLayout>
      </c:layout>
      <c:scatterChart>
        <c:scatterStyle val="lineMarker"/>
        <c:ser>
          <c:idx val="6"/>
          <c:order val="0"/>
          <c:tx>
            <c:strRef>
              <c:f>'join types data'!$C$76</c:f>
              <c:strCache>
                <c:ptCount val="1"/>
                <c:pt idx="0">
                  <c:v>inner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triangle"/>
            <c:size val="18"/>
            <c:spPr>
              <a:noFill/>
              <a:ln w="25400">
                <a:solidFill>
                  <a:schemeClr val="tx2"/>
                </a:solidFill>
              </a:ln>
            </c:spPr>
          </c:marker>
          <c:errBars>
            <c:errDir val="y"/>
            <c:errBarType val="both"/>
            <c:errValType val="cust"/>
            <c:pl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plus>
            <c:minus>
              <c:numRef>
                <c:f>'inner join lengths data'!$B$15:$F$15</c:f>
                <c:numCache>
                  <c:formatCode>General</c:formatCode>
                  <c:ptCount val="5"/>
                  <c:pt idx="0">
                    <c:v>5.6923374067736829E-3</c:v>
                  </c:pt>
                  <c:pt idx="1">
                    <c:v>1.7891941437171572E-4</c:v>
                  </c:pt>
                  <c:pt idx="2">
                    <c:v>2.2631714681523436E-4</c:v>
                  </c:pt>
                  <c:pt idx="3">
                    <c:v>3.4582859620180908E-3</c:v>
                  </c:pt>
                  <c:pt idx="4">
                    <c:v>3.5133869239184021E-3</c:v>
                  </c:pt>
                </c:numCache>
              </c:numRef>
            </c:minus>
          </c:errBars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data'!$C$85:$E$85</c:f>
              <c:numCache>
                <c:formatCode>General</c:formatCode>
                <c:ptCount val="3"/>
                <c:pt idx="0">
                  <c:v>1.573</c:v>
                </c:pt>
                <c:pt idx="1">
                  <c:v>1.4821666666666666</c:v>
                </c:pt>
                <c:pt idx="2">
                  <c:v>1.9736666666666667</c:v>
                </c:pt>
              </c:numCache>
            </c:numRef>
          </c:yVal>
        </c:ser>
        <c:ser>
          <c:idx val="0"/>
          <c:order val="1"/>
          <c:tx>
            <c:strRef>
              <c:f>'join types data'!$F$76</c:f>
              <c:strCache>
                <c:ptCount val="1"/>
                <c:pt idx="0">
                  <c:v>full outer</c:v>
                </c:pt>
              </c:strCache>
            </c:strRef>
          </c:tx>
          <c:spPr>
            <a:ln w="38100"/>
          </c:spPr>
          <c:marker>
            <c:symbol val="diamond"/>
            <c:size val="18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data'!$F$85:$H$85</c:f>
              <c:numCache>
                <c:formatCode>General</c:formatCode>
                <c:ptCount val="3"/>
                <c:pt idx="0">
                  <c:v>4.0143333333333331</c:v>
                </c:pt>
                <c:pt idx="1">
                  <c:v>5.2311666666666667</c:v>
                </c:pt>
                <c:pt idx="2">
                  <c:v>5.4676666666666662</c:v>
                </c:pt>
              </c:numCache>
            </c:numRef>
          </c:yVal>
        </c:ser>
        <c:ser>
          <c:idx val="1"/>
          <c:order val="2"/>
          <c:tx>
            <c:strRef>
              <c:f>'join types data'!$I$76</c:f>
              <c:strCache>
                <c:ptCount val="1"/>
                <c:pt idx="0">
                  <c:v>left outer</c:v>
                </c:pt>
              </c:strCache>
            </c:strRef>
          </c:tx>
          <c:spPr>
            <a:ln w="38100"/>
          </c:spPr>
          <c:marker>
            <c:symbol val="circle"/>
            <c:size val="16"/>
            <c:spPr>
              <a:ln w="25400"/>
            </c:spPr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'join types data'!$I$85:$K$85</c:f>
              <c:numCache>
                <c:formatCode>General</c:formatCode>
                <c:ptCount val="3"/>
                <c:pt idx="0">
                  <c:v>3.7673333333333332</c:v>
                </c:pt>
                <c:pt idx="1">
                  <c:v>4.7631666666666668</c:v>
                </c:pt>
                <c:pt idx="2">
                  <c:v>4.5838333333333336</c:v>
                </c:pt>
              </c:numCache>
            </c:numRef>
          </c:yVal>
        </c:ser>
        <c:ser>
          <c:idx val="2"/>
          <c:order val="3"/>
          <c:tx>
            <c:strRef>
              <c:f>'join types data'!$B$76</c:f>
              <c:strCache>
                <c:ptCount val="1"/>
                <c:pt idx="0">
                  <c:v>no joins</c:v>
                </c:pt>
              </c:strCache>
            </c:strRef>
          </c:tx>
          <c:spPr>
            <a:ln w="38100"/>
          </c:spPr>
          <c:marker>
            <c:symbol val="triangle"/>
            <c:size val="17"/>
          </c:marker>
          <c:xVal>
            <c:numRef>
              <c:f>'join types data'!$C$6:$E$6</c:f>
              <c:numCache>
                <c:formatCode>General</c:formatCode>
                <c:ptCount val="3"/>
                <c:pt idx="0">
                  <c:v>3</c:v>
                </c:pt>
                <c:pt idx="1">
                  <c:v>5</c:v>
                </c:pt>
                <c:pt idx="2">
                  <c:v>7</c:v>
                </c:pt>
              </c:numCache>
            </c:numRef>
          </c:xVal>
          <c:yVal>
            <c:numRef>
              <c:f>('join types data'!$B$85,'join types data'!$B$85,'join types data'!$B$85)</c:f>
              <c:numCache>
                <c:formatCode>General</c:formatCode>
                <c:ptCount val="3"/>
                <c:pt idx="0">
                  <c:v>3.1150000000000002</c:v>
                </c:pt>
                <c:pt idx="1">
                  <c:v>3.1150000000000002</c:v>
                </c:pt>
                <c:pt idx="2">
                  <c:v>3.1150000000000002</c:v>
                </c:pt>
              </c:numCache>
            </c:numRef>
          </c:yVal>
        </c:ser>
        <c:axId val="101030528"/>
        <c:axId val="101040896"/>
      </c:scatterChart>
      <c:valAx>
        <c:axId val="101030528"/>
        <c:scaling>
          <c:orientation val="minMax"/>
          <c:max val="8"/>
          <c:min val="1"/>
        </c:scaling>
        <c:axPos val="b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Maximum </a:t>
                </a:r>
                <a:r>
                  <a:rPr lang="en-US" sz="3000" baseline="0">
                    <a:latin typeface="+mn-lt"/>
                  </a:rPr>
                  <a:t>join width</a:t>
                </a:r>
                <a:endParaRPr lang="en-US" sz="30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745004785722204"/>
              <c:y val="0.932381889480227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040896"/>
        <c:crosses val="autoZero"/>
        <c:crossBetween val="midCat"/>
        <c:majorUnit val="2"/>
        <c:minorUnit val="1"/>
      </c:valAx>
      <c:valAx>
        <c:axId val="101040896"/>
        <c:scaling>
          <c:orientation val="minMax"/>
          <c:max val="7"/>
          <c:min val="0"/>
        </c:scaling>
        <c:axPos val="l"/>
        <c:title>
          <c:tx>
            <c:rich>
              <a:bodyPr/>
              <a:lstStyle/>
              <a:p>
                <a:pPr>
                  <a:defRPr sz="30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3000">
                    <a:latin typeface="+mn-lt"/>
                  </a:rPr>
                  <a:t>Time (sec)</a:t>
                </a:r>
              </a:p>
            </c:rich>
          </c:tx>
          <c:layout>
            <c:manualLayout>
              <c:xMode val="edge"/>
              <c:yMode val="edge"/>
              <c:x val="2.7773436717357051E-3"/>
              <c:y val="0.3178780711743580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8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01030528"/>
        <c:crosses val="autoZero"/>
        <c:crossBetween val="midCat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496205710608368"/>
          <c:y val="2.0612230627140612E-2"/>
          <c:w val="0.18291962279399526"/>
          <c:h val="0.2650123734144314"/>
        </c:manualLayout>
      </c:layout>
      <c:spPr>
        <a:noFill/>
        <a:ln w="25400">
          <a:noFill/>
        </a:ln>
      </c:spPr>
      <c:txPr>
        <a:bodyPr/>
        <a:lstStyle/>
        <a:p>
          <a:pPr>
            <a:defRPr sz="28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8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chart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0.bin"/></Relationships>
</file>

<file path=xl/chart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1.bin"/></Relationships>
</file>

<file path=xl/chart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2.bin"/></Relationships>
</file>

<file path=xl/chart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3.bin"/></Relationships>
</file>

<file path=xl/chart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4.bin"/></Relationships>
</file>

<file path=xl/chart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5.bin"/></Relationships>
</file>

<file path=xl/chart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6.bin"/></Relationships>
</file>

<file path=xl/chart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7.bin"/></Relationships>
</file>

<file path=xl/chart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8.bin"/></Relationships>
</file>

<file path=xl/chart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chart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/Relationships>
</file>

<file path=xl/chart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1.bin"/></Relationships>
</file>

<file path=xl/chart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2.bin"/></Relationships>
</file>

<file path=xl/chart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3.bin"/></Relationships>
</file>

<file path=xl/chart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17" right="0.17" top="0.24" bottom="0" header="0" footer="0"/>
  <pageSetup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17" right="0.17" top="0.24" bottom="0" header="0" footer="0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2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6.xml><?xml version="1.0" encoding="utf-8"?>
<chartsheet xmlns="http://schemas.openxmlformats.org/spreadsheetml/2006/main" xmlns:r="http://schemas.openxmlformats.org/officeDocument/2006/relationships">
  <sheetPr/>
  <sheetViews>
    <sheetView tabSelected="1"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7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8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19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0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1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2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3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4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5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6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7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8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29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chartsheets/sheet30.xml><?xml version="1.0" encoding="utf-8"?>
<chartsheet xmlns="http://schemas.openxmlformats.org/spreadsheetml/2006/main" xmlns:r="http://schemas.openxmlformats.org/officeDocument/2006/relationships">
  <sheetPr/>
  <sheetViews>
    <sheetView zoomScale="93" workbookViewId="0" zoomToFit="1"/>
  </sheetViews>
  <pageMargins left="0" right="0" top="0" bottom="0" header="0" footer="0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-26958" y="-26958"/>
    <xdr:ext cx="9819916" cy="74805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0.99525</cdr:x>
      <cdr:y>0.12678</cdr:y>
    </cdr:from>
    <cdr:to>
      <cdr:x>1</cdr:x>
      <cdr:y>0.77808</cdr:y>
    </cdr:to>
    <cdr:sp macro="" textlink="">
      <cdr:nvSpPr>
        <cdr:cNvPr id="2" name="TextBox 1"/>
        <cdr:cNvSpPr txBox="1"/>
      </cdr:nvSpPr>
      <cdr:spPr>
        <a:xfrm xmlns:a="http://schemas.openxmlformats.org/drawingml/2006/main" flipH="1">
          <a:off x="9597674" y="916557"/>
          <a:ext cx="45719" cy="4708585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5400000"/>
          </a:camera>
          <a:lightRig rig="threePt" dir="t"/>
        </a:scene3d>
        <a:sp3d xmlns:a="http://schemas.openxmlformats.org/drawingml/2006/main" z="5080000"/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3200" b="1" baseline="0">
            <a:latin typeface="+mn-lt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0.91949</cdr:x>
      <cdr:y>0.47833</cdr:y>
    </cdr:from>
    <cdr:to>
      <cdr:x>0.98173</cdr:x>
      <cdr:y>0.65893</cdr:y>
    </cdr:to>
    <cdr:sp macro="" textlink="">
      <cdr:nvSpPr>
        <cdr:cNvPr id="3" name="TextBox 2"/>
        <cdr:cNvSpPr txBox="1"/>
      </cdr:nvSpPr>
      <cdr:spPr>
        <a:xfrm xmlns:a="http://schemas.openxmlformats.org/drawingml/2006/main" rot="16200000">
          <a:off x="8659455" y="3948084"/>
          <a:ext cx="1350962" cy="611187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0"/>
          </a:camera>
          <a:lightRig rig="threePt" dir="t"/>
        </a:scene3d>
        <a:sp3d xmlns:a="http://schemas.openxmlformats.org/drawingml/2006/main"/>
      </cdr:spPr>
      <cdr:txBody>
        <a:bodyPr xmlns:a="http://schemas.openxmlformats.org/drawingml/2006/main" vertOverflow="clip" wrap="none" rtlCol="0">
          <a:flatTx/>
        </a:bodyPr>
        <a:lstStyle xmlns:a="http://schemas.openxmlformats.org/drawingml/2006/main"/>
        <a:p xmlns:a="http://schemas.openxmlformats.org/drawingml/2006/main">
          <a:r>
            <a:rPr lang="en-US" sz="3200" b="1"/>
            <a:t>Number</a:t>
          </a:r>
          <a:r>
            <a:rPr lang="en-US" sz="3200" b="1" baseline="0"/>
            <a:t> of rules</a:t>
          </a:r>
          <a:endParaRPr lang="en-US" sz="32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-26958" y="-26958"/>
    <xdr:ext cx="9819916" cy="74805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0.99525</cdr:x>
      <cdr:y>0.12678</cdr:y>
    </cdr:from>
    <cdr:to>
      <cdr:x>1</cdr:x>
      <cdr:y>0.77808</cdr:y>
    </cdr:to>
    <cdr:sp macro="" textlink="">
      <cdr:nvSpPr>
        <cdr:cNvPr id="2" name="TextBox 1"/>
        <cdr:cNvSpPr txBox="1"/>
      </cdr:nvSpPr>
      <cdr:spPr>
        <a:xfrm xmlns:a="http://schemas.openxmlformats.org/drawingml/2006/main" flipH="1">
          <a:off x="9597674" y="916557"/>
          <a:ext cx="45719" cy="4708585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5400000"/>
          </a:camera>
          <a:lightRig rig="threePt" dir="t"/>
        </a:scene3d>
        <a:sp3d xmlns:a="http://schemas.openxmlformats.org/drawingml/2006/main" z="5080000"/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3200" b="1" baseline="0">
            <a:latin typeface="+mn-lt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0.91949</cdr:x>
      <cdr:y>0.47833</cdr:y>
    </cdr:from>
    <cdr:to>
      <cdr:x>0.98173</cdr:x>
      <cdr:y>0.65893</cdr:y>
    </cdr:to>
    <cdr:sp macro="" textlink="">
      <cdr:nvSpPr>
        <cdr:cNvPr id="3" name="TextBox 2"/>
        <cdr:cNvSpPr txBox="1"/>
      </cdr:nvSpPr>
      <cdr:spPr>
        <a:xfrm xmlns:a="http://schemas.openxmlformats.org/drawingml/2006/main" rot="16200000">
          <a:off x="8659455" y="3948084"/>
          <a:ext cx="1350962" cy="611187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0"/>
          </a:camera>
          <a:lightRig rig="threePt" dir="t"/>
        </a:scene3d>
        <a:sp3d xmlns:a="http://schemas.openxmlformats.org/drawingml/2006/main"/>
      </cdr:spPr>
      <cdr:txBody>
        <a:bodyPr xmlns:a="http://schemas.openxmlformats.org/drawingml/2006/main" vertOverflow="clip" wrap="none" rtlCol="0">
          <a:flatTx/>
        </a:bodyPr>
        <a:lstStyle xmlns:a="http://schemas.openxmlformats.org/drawingml/2006/main"/>
        <a:p xmlns:a="http://schemas.openxmlformats.org/drawingml/2006/main">
          <a:r>
            <a:rPr lang="en-US" sz="3200" b="1"/>
            <a:t>Number</a:t>
          </a:r>
          <a:r>
            <a:rPr lang="en-US" sz="3200" b="1" baseline="0"/>
            <a:t> of rules</a:t>
          </a:r>
          <a:endParaRPr lang="en-US" sz="32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0.94459</cdr:x>
      <cdr:y>0.2043</cdr:y>
    </cdr:from>
    <cdr:to>
      <cdr:x>0.9959</cdr:x>
      <cdr:y>0.70205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706135" y="3206693"/>
          <a:ext cx="3801128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3000" b="1"/>
            <a:t>Number</a:t>
          </a:r>
          <a:r>
            <a:rPr lang="en-US" sz="3000" b="1" baseline="0"/>
            <a:t> of tuples (K)</a:t>
          </a:r>
          <a:endParaRPr lang="en-US" sz="30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0.94459</cdr:x>
      <cdr:y>0.2043</cdr:y>
    </cdr:from>
    <cdr:to>
      <cdr:x>0.9959</cdr:x>
      <cdr:y>0.70205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706135" y="3206693"/>
          <a:ext cx="3801128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3000" b="1"/>
            <a:t>Number</a:t>
          </a:r>
          <a:r>
            <a:rPr lang="en-US" sz="3000" b="1" baseline="0"/>
            <a:t> of tuples (K)</a:t>
          </a:r>
          <a:endParaRPr lang="en-US" sz="30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0.94787</cdr:x>
      <cdr:y>0.23322</cdr:y>
    </cdr:from>
    <cdr:to>
      <cdr:x>1</cdr:x>
      <cdr:y>0.63879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8095328" y="3071499"/>
          <a:ext cx="3097161" cy="5161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3000" b="1"/>
            <a:t>Number of rules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0.94711</cdr:x>
      <cdr:y>0.21176</cdr:y>
    </cdr:from>
    <cdr:to>
      <cdr:x>1</cdr:x>
      <cdr:y>0.65596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943398" y="3051333"/>
          <a:ext cx="3392149" cy="5237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2800" b="1"/>
            <a:t>Number of rules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0.9529</cdr:x>
      <cdr:y>0.17958</cdr:y>
    </cdr:from>
    <cdr:to>
      <cdr:x>0.99924</cdr:x>
      <cdr:y>0.72463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583231" y="3223078"/>
          <a:ext cx="4162323" cy="4588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3000" b="1"/>
            <a:t>Maintenance time (sec)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0.93056</cdr:x>
      <cdr:y>0.14953</cdr:y>
    </cdr:from>
    <cdr:to>
      <cdr:x>0.99841</cdr:x>
      <cdr:y>0.72892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337427" y="3018241"/>
          <a:ext cx="4424516" cy="671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3000" b="1"/>
            <a:t>Maintenance</a:t>
          </a:r>
          <a:r>
            <a:rPr lang="en-US" sz="3000" b="1" baseline="0"/>
            <a:t> time (sec)</a:t>
          </a:r>
          <a:endParaRPr lang="en-US" sz="30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0.94545</cdr:x>
      <cdr:y>0.16348</cdr:y>
    </cdr:from>
    <cdr:to>
      <cdr:x>0.99841</cdr:x>
      <cdr:y>0.68493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632392" y="2977272"/>
          <a:ext cx="3982065" cy="5243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3000" b="1"/>
            <a:t>Maintenance time (sec)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0.94207</cdr:x>
      <cdr:y>0.17528</cdr:y>
    </cdr:from>
    <cdr:to>
      <cdr:x>0.99669</cdr:x>
      <cdr:y>0.69888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598941" y="3067402"/>
          <a:ext cx="3998452" cy="5407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3000" b="1"/>
            <a:t>Maintenance</a:t>
          </a:r>
          <a:r>
            <a:rPr lang="en-US" sz="3000" b="1" baseline="0"/>
            <a:t> time (sec)</a:t>
          </a:r>
          <a:endParaRPr lang="en-US" sz="3000" b="1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0.14027</cdr:x>
      <cdr:y>0.67634</cdr:y>
    </cdr:from>
    <cdr:to>
      <cdr:x>0.92526</cdr:x>
      <cdr:y>0.67634</cdr:y>
    </cdr:to>
    <cdr:sp macro="" textlink="">
      <cdr:nvSpPr>
        <cdr:cNvPr id="2" name="Straight Connector 1"/>
        <cdr:cNvSpPr/>
      </cdr:nvSpPr>
      <cdr:spPr>
        <a:xfrm xmlns:a="http://schemas.openxmlformats.org/drawingml/2006/main">
          <a:off x="1388882" y="5164893"/>
          <a:ext cx="777240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2700" cap="flat" cmpd="sng" algn="ctr">
          <a:solidFill>
            <a:sysClr val="windowText" lastClr="000000"/>
          </a:solidFill>
          <a:prstDash val="dash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0.15517</cdr:x>
      <cdr:y>0.76647</cdr:y>
    </cdr:from>
    <cdr:to>
      <cdr:x>0.89398</cdr:x>
      <cdr:y>0.76647</cdr:y>
    </cdr:to>
    <cdr:sp macro="" textlink="">
      <cdr:nvSpPr>
        <cdr:cNvPr id="2" name="Straight Connector 1"/>
        <cdr:cNvSpPr/>
      </cdr:nvSpPr>
      <cdr:spPr>
        <a:xfrm xmlns:a="http://schemas.openxmlformats.org/drawingml/2006/main">
          <a:off x="1536342" y="5853151"/>
          <a:ext cx="731520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2700" cap="flat" cmpd="sng" algn="ctr">
          <a:solidFill>
            <a:sysClr val="windowText" lastClr="000000"/>
          </a:solidFill>
          <a:prstDash val="dash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0.13365</cdr:x>
      <cdr:y>0.32549</cdr:y>
    </cdr:from>
    <cdr:to>
      <cdr:x>0.90016</cdr:x>
      <cdr:y>0.32549</cdr:y>
    </cdr:to>
    <cdr:sp macro="" textlink="">
      <cdr:nvSpPr>
        <cdr:cNvPr id="5" name="Straight Connector 4"/>
        <cdr:cNvSpPr/>
      </cdr:nvSpPr>
      <cdr:spPr>
        <a:xfrm xmlns:a="http://schemas.openxmlformats.org/drawingml/2006/main">
          <a:off x="1323288" y="2485589"/>
          <a:ext cx="7589520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0.156</cdr:x>
      <cdr:y>0.76003</cdr:y>
    </cdr:from>
    <cdr:to>
      <cdr:x>0.94098</cdr:x>
      <cdr:y>0.76003</cdr:y>
    </cdr:to>
    <cdr:sp macro="" textlink="">
      <cdr:nvSpPr>
        <cdr:cNvPr id="3" name="Straight Connector 2"/>
        <cdr:cNvSpPr/>
      </cdr:nvSpPr>
      <cdr:spPr>
        <a:xfrm xmlns:a="http://schemas.openxmlformats.org/drawingml/2006/main">
          <a:off x="1544560" y="5803990"/>
          <a:ext cx="777240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2700" cap="flat" cmpd="sng" algn="ctr">
          <a:solidFill>
            <a:sysClr val="windowText" lastClr="000000"/>
          </a:solidFill>
          <a:prstDash val="dash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0.16593</cdr:x>
      <cdr:y>0.51218</cdr:y>
    </cdr:from>
    <cdr:to>
      <cdr:x>0.92321</cdr:x>
      <cdr:y>0.51218</cdr:y>
    </cdr:to>
    <cdr:sp macro="" textlink="">
      <cdr:nvSpPr>
        <cdr:cNvPr id="3" name="Straight Connector 2"/>
        <cdr:cNvSpPr/>
      </cdr:nvSpPr>
      <cdr:spPr>
        <a:xfrm xmlns:a="http://schemas.openxmlformats.org/drawingml/2006/main">
          <a:off x="1642930" y="3911286"/>
          <a:ext cx="749808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2700" cap="flat" cmpd="sng" algn="ctr">
          <a:solidFill>
            <a:sysClr val="windowText" lastClr="000000"/>
          </a:solidFill>
          <a:prstDash val="dash"/>
        </a:ln>
        <a:effectLst xmlns:a="http://schemas.openxmlformats.org/drawingml/2006/main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0.14772</cdr:x>
      <cdr:y>0.47463</cdr:y>
    </cdr:from>
    <cdr:to>
      <cdr:x>0.8736</cdr:x>
      <cdr:y>0.47463</cdr:y>
    </cdr:to>
    <cdr:sp macro="" textlink="">
      <cdr:nvSpPr>
        <cdr:cNvPr id="5" name="Straight Connector 4"/>
        <cdr:cNvSpPr/>
      </cdr:nvSpPr>
      <cdr:spPr>
        <a:xfrm xmlns:a="http://schemas.openxmlformats.org/drawingml/2006/main">
          <a:off x="1462624" y="3624528"/>
          <a:ext cx="7187184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0.14855</cdr:x>
      <cdr:y>0.78471</cdr:y>
    </cdr:from>
    <cdr:to>
      <cdr:x>0.87443</cdr:x>
      <cdr:y>0.78471</cdr:y>
    </cdr:to>
    <cdr:sp macro="" textlink="">
      <cdr:nvSpPr>
        <cdr:cNvPr id="5" name="Straight Connector 4"/>
        <cdr:cNvSpPr/>
      </cdr:nvSpPr>
      <cdr:spPr>
        <a:xfrm xmlns:a="http://schemas.openxmlformats.org/drawingml/2006/main">
          <a:off x="1470818" y="5992464"/>
          <a:ext cx="7187184" cy="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7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0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1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0.9338</cdr:x>
      <cdr:y>0.21176</cdr:y>
    </cdr:from>
    <cdr:to>
      <cdr:x>1</cdr:x>
      <cdr:y>0.65596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7877521" y="2985466"/>
          <a:ext cx="3392129" cy="6554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2800" b="1"/>
            <a:t>Number of tuples (K)</a:t>
          </a: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28575" y="21566"/>
    <xdr:ext cx="9901327" cy="76365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10p.log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60p.log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30p.log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0p.log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40p.log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70p.log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50p.log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129"/>
  <sheetViews>
    <sheetView topLeftCell="B3" zoomScale="85" zoomScaleNormal="85" workbookViewId="0">
      <selection activeCell="P38" sqref="P38:S44"/>
    </sheetView>
  </sheetViews>
  <sheetFormatPr defaultRowHeight="14.4"/>
  <cols>
    <col min="1" max="1" width="33.6640625" customWidth="1"/>
    <col min="2" max="6" width="12.6640625" customWidth="1"/>
    <col min="7" max="7" width="9.44140625" customWidth="1"/>
    <col min="8" max="8" width="34.44140625" customWidth="1"/>
    <col min="9" max="11" width="12.6640625" customWidth="1"/>
    <col min="12" max="12" width="11.33203125" customWidth="1"/>
  </cols>
  <sheetData>
    <row r="1" spans="1:13">
      <c r="A1" t="s">
        <v>11</v>
      </c>
      <c r="B1" t="s">
        <v>12</v>
      </c>
      <c r="H1" t="s">
        <v>36</v>
      </c>
      <c r="I1" t="s">
        <v>12</v>
      </c>
    </row>
    <row r="2" spans="1:13">
      <c r="A2" t="s">
        <v>6</v>
      </c>
      <c r="B2">
        <v>2</v>
      </c>
      <c r="C2">
        <v>4</v>
      </c>
      <c r="D2">
        <v>6</v>
      </c>
      <c r="E2">
        <v>8</v>
      </c>
      <c r="H2" t="s">
        <v>6</v>
      </c>
      <c r="I2">
        <v>2</v>
      </c>
      <c r="J2">
        <v>4</v>
      </c>
      <c r="K2">
        <v>6</v>
      </c>
      <c r="L2">
        <v>8</v>
      </c>
    </row>
    <row r="3" spans="1:13">
      <c r="A3" t="s">
        <v>92</v>
      </c>
      <c r="H3" t="s">
        <v>92</v>
      </c>
    </row>
    <row r="4" spans="1:13">
      <c r="A4" t="s">
        <v>0</v>
      </c>
      <c r="B4">
        <v>31</v>
      </c>
      <c r="C4">
        <v>140</v>
      </c>
      <c r="D4">
        <v>1139</v>
      </c>
      <c r="E4" s="2">
        <v>15382</v>
      </c>
      <c r="H4" t="s">
        <v>0</v>
      </c>
      <c r="I4">
        <v>172</v>
      </c>
      <c r="J4">
        <v>18720</v>
      </c>
      <c r="K4">
        <v>2192851</v>
      </c>
      <c r="L4" s="2">
        <v>3711817</v>
      </c>
    </row>
    <row r="5" spans="1:13">
      <c r="A5" t="s">
        <v>1</v>
      </c>
      <c r="B5">
        <v>16</v>
      </c>
      <c r="C5">
        <v>140</v>
      </c>
      <c r="D5">
        <v>1139</v>
      </c>
      <c r="E5">
        <v>15288</v>
      </c>
      <c r="H5" t="s">
        <v>1</v>
      </c>
      <c r="I5">
        <v>141</v>
      </c>
      <c r="J5">
        <v>1061</v>
      </c>
      <c r="K5">
        <v>6418</v>
      </c>
      <c r="L5">
        <v>29656</v>
      </c>
    </row>
    <row r="6" spans="1:13">
      <c r="A6" t="s">
        <v>2</v>
      </c>
      <c r="B6">
        <v>15</v>
      </c>
      <c r="C6">
        <v>125</v>
      </c>
      <c r="D6">
        <v>1139</v>
      </c>
      <c r="E6">
        <v>15366</v>
      </c>
      <c r="H6" t="s">
        <v>2</v>
      </c>
      <c r="I6">
        <v>124</v>
      </c>
      <c r="J6">
        <v>1061</v>
      </c>
      <c r="K6">
        <v>6419</v>
      </c>
      <c r="L6">
        <v>29562</v>
      </c>
    </row>
    <row r="7" spans="1:13">
      <c r="A7" t="s">
        <v>3</v>
      </c>
      <c r="B7">
        <v>32</v>
      </c>
      <c r="C7">
        <v>125</v>
      </c>
      <c r="D7">
        <v>1139</v>
      </c>
      <c r="E7">
        <v>15382</v>
      </c>
      <c r="H7" t="s">
        <v>3</v>
      </c>
      <c r="I7">
        <v>141</v>
      </c>
      <c r="J7">
        <v>1060</v>
      </c>
      <c r="K7">
        <v>6403</v>
      </c>
      <c r="L7">
        <v>29547</v>
      </c>
    </row>
    <row r="8" spans="1:13">
      <c r="A8" t="s">
        <v>4</v>
      </c>
      <c r="B8">
        <v>31</v>
      </c>
      <c r="C8">
        <v>124</v>
      </c>
      <c r="D8">
        <v>1123</v>
      </c>
      <c r="E8">
        <v>15225</v>
      </c>
      <c r="H8" t="s">
        <v>4</v>
      </c>
      <c r="I8">
        <v>140</v>
      </c>
      <c r="J8">
        <v>1061</v>
      </c>
      <c r="K8">
        <v>6403</v>
      </c>
      <c r="L8">
        <v>29563</v>
      </c>
    </row>
    <row r="9" spans="1:13">
      <c r="A9" t="s">
        <v>31</v>
      </c>
      <c r="B9">
        <v>16</v>
      </c>
      <c r="C9">
        <v>125</v>
      </c>
      <c r="D9">
        <v>1123</v>
      </c>
      <c r="E9">
        <v>15304</v>
      </c>
      <c r="H9" t="s">
        <v>31</v>
      </c>
      <c r="I9">
        <v>141</v>
      </c>
      <c r="J9">
        <v>1061</v>
      </c>
      <c r="K9">
        <v>6403</v>
      </c>
      <c r="L9">
        <v>29562</v>
      </c>
    </row>
    <row r="10" spans="1:13">
      <c r="A10" t="s">
        <v>32</v>
      </c>
      <c r="B10">
        <v>15</v>
      </c>
      <c r="C10">
        <v>140</v>
      </c>
      <c r="D10">
        <v>1139</v>
      </c>
      <c r="E10">
        <v>15225</v>
      </c>
      <c r="H10" t="s">
        <v>32</v>
      </c>
      <c r="I10">
        <v>140</v>
      </c>
      <c r="J10">
        <v>1061</v>
      </c>
      <c r="K10">
        <v>6403</v>
      </c>
      <c r="L10">
        <v>29578</v>
      </c>
    </row>
    <row r="11" spans="1:13">
      <c r="A11" t="s">
        <v>5</v>
      </c>
      <c r="B11">
        <f>(SUM(B4:B10) -MAX(B4:B10))/((COUNT(B4:B10)-1)*1000)</f>
        <v>2.0666666666666667E-2</v>
      </c>
      <c r="C11">
        <f t="shared" ref="C11:E11" si="0">(SUM(C4:C10) -MAX(C4:C10))/((COUNT(C4:C10)-1)*1000)</f>
        <v>0.12983333333333333</v>
      </c>
      <c r="D11">
        <f t="shared" si="0"/>
        <v>1.1336666666666666</v>
      </c>
      <c r="E11">
        <f t="shared" si="0"/>
        <v>15.298333333333334</v>
      </c>
      <c r="F11" t="s">
        <v>40</v>
      </c>
      <c r="H11" t="s">
        <v>5</v>
      </c>
      <c r="I11">
        <f>(SUM(I4:I10) -MAX(I4:I10))/((COUNT(I4:I10)-1)*1000)</f>
        <v>0.13783333333333334</v>
      </c>
      <c r="J11">
        <f t="shared" ref="J11:L11" si="1">(SUM(J4:J10) -MAX(J4:J10))/((COUNT(J4:J10)-1)*1000)</f>
        <v>1.0608333333333333</v>
      </c>
      <c r="K11">
        <f t="shared" si="1"/>
        <v>6.4081666666666663</v>
      </c>
      <c r="L11">
        <f t="shared" si="1"/>
        <v>29.577999999999999</v>
      </c>
      <c r="M11" t="s">
        <v>40</v>
      </c>
    </row>
    <row r="12" spans="1:13">
      <c r="A12" t="s">
        <v>7</v>
      </c>
      <c r="B12">
        <f t="shared" ref="B12:E12" si="2">STDEV(B4:B10)/1000</f>
        <v>8.4796675586229168E-3</v>
      </c>
      <c r="C12">
        <f t="shared" si="2"/>
        <v>8.159131606453443E-3</v>
      </c>
      <c r="D12">
        <f t="shared" si="2"/>
        <v>7.8072005835911062E-3</v>
      </c>
      <c r="E12">
        <f t="shared" si="2"/>
        <v>6.8888108034530202E-2</v>
      </c>
      <c r="H12" t="s">
        <v>7</v>
      </c>
      <c r="I12">
        <f>STDEV(I5:I10)/1000</f>
        <v>6.7946057035464316E-3</v>
      </c>
      <c r="J12">
        <f t="shared" ref="J12:L12" si="3">STDEV(J5:J10)/1000</f>
        <v>4.0824829046386298E-4</v>
      </c>
      <c r="K12">
        <f t="shared" si="3"/>
        <v>8.0104098939226265E-3</v>
      </c>
      <c r="L12">
        <f t="shared" si="3"/>
        <v>3.9451235722091138E-2</v>
      </c>
    </row>
    <row r="13" spans="1:13">
      <c r="A13" t="s">
        <v>8</v>
      </c>
      <c r="B13">
        <f>CONFIDENCE(0.05,B12,5)/2</f>
        <v>3.7163098758644887E-3</v>
      </c>
      <c r="C13">
        <f t="shared" ref="C13:E13" si="4">CONFIDENCE(0.05,C12,5)/2</f>
        <v>3.575831382293628E-3</v>
      </c>
      <c r="D13">
        <f t="shared" si="4"/>
        <v>3.4215936451601234E-3</v>
      </c>
      <c r="E13">
        <f t="shared" si="4"/>
        <v>3.0190989734970215E-2</v>
      </c>
      <c r="H13" t="s">
        <v>8</v>
      </c>
      <c r="I13">
        <f>CONFIDENCE(0.05,I12,5)/2</f>
        <v>2.9778125267443246E-3</v>
      </c>
      <c r="J13">
        <f t="shared" ref="J13:L13" si="5">CONFIDENCE(0.05,J12,5)/2</f>
        <v>1.7891941437171569E-4</v>
      </c>
      <c r="K13">
        <f t="shared" si="5"/>
        <v>3.5106524156404226E-3</v>
      </c>
      <c r="L13">
        <f t="shared" si="5"/>
        <v>1.7289948682006454E-2</v>
      </c>
    </row>
    <row r="14" spans="1:13">
      <c r="A14" t="s">
        <v>59</v>
      </c>
      <c r="B14">
        <v>2</v>
      </c>
      <c r="C14">
        <v>14</v>
      </c>
      <c r="D14">
        <v>122</v>
      </c>
      <c r="E14">
        <v>1094</v>
      </c>
      <c r="H14" t="s">
        <v>59</v>
      </c>
      <c r="I14">
        <v>2</v>
      </c>
      <c r="J14">
        <v>14</v>
      </c>
      <c r="K14">
        <v>122</v>
      </c>
      <c r="L14">
        <v>1094</v>
      </c>
    </row>
    <row r="15" spans="1:13">
      <c r="A15" t="s">
        <v>10</v>
      </c>
      <c r="B15">
        <v>11</v>
      </c>
      <c r="C15">
        <v>34</v>
      </c>
      <c r="D15">
        <v>69</v>
      </c>
      <c r="E15">
        <v>116</v>
      </c>
      <c r="F15" t="s">
        <v>27</v>
      </c>
      <c r="H15" t="s">
        <v>10</v>
      </c>
      <c r="I15">
        <v>110</v>
      </c>
      <c r="J15">
        <v>340</v>
      </c>
      <c r="K15">
        <v>690</v>
      </c>
      <c r="L15">
        <v>1160</v>
      </c>
      <c r="M15" t="s">
        <v>27</v>
      </c>
    </row>
    <row r="17" spans="1:20">
      <c r="A17" s="1" t="s">
        <v>23</v>
      </c>
      <c r="H17" s="1" t="s">
        <v>23</v>
      </c>
    </row>
    <row r="18" spans="1:20">
      <c r="A18" t="s">
        <v>36</v>
      </c>
      <c r="B18" t="s">
        <v>12</v>
      </c>
    </row>
    <row r="19" spans="1:20">
      <c r="A19" t="s">
        <v>6</v>
      </c>
      <c r="B19">
        <v>2</v>
      </c>
      <c r="C19">
        <v>4</v>
      </c>
      <c r="D19">
        <v>6</v>
      </c>
      <c r="E19">
        <v>8</v>
      </c>
      <c r="I19">
        <v>2</v>
      </c>
      <c r="J19">
        <v>4</v>
      </c>
      <c r="K19">
        <v>6</v>
      </c>
      <c r="L19">
        <v>8</v>
      </c>
      <c r="P19">
        <v>2</v>
      </c>
      <c r="Q19">
        <v>4</v>
      </c>
      <c r="R19">
        <v>6</v>
      </c>
      <c r="S19">
        <v>8</v>
      </c>
    </row>
    <row r="20" spans="1:20">
      <c r="A20" t="s">
        <v>92</v>
      </c>
      <c r="H20" t="s">
        <v>28</v>
      </c>
      <c r="O20" t="s">
        <v>60</v>
      </c>
    </row>
    <row r="21" spans="1:20">
      <c r="A21" t="s">
        <v>0</v>
      </c>
      <c r="B21">
        <v>172</v>
      </c>
      <c r="C21">
        <v>18720</v>
      </c>
      <c r="D21">
        <v>2192851</v>
      </c>
      <c r="E21" s="2">
        <v>3711817</v>
      </c>
      <c r="H21" t="s">
        <v>0</v>
      </c>
      <c r="I21">
        <v>16</v>
      </c>
      <c r="J21">
        <v>31</v>
      </c>
      <c r="K21">
        <v>281</v>
      </c>
      <c r="L21" s="2">
        <v>4651</v>
      </c>
      <c r="O21" t="s">
        <v>0</v>
      </c>
      <c r="P21">
        <f>B21-I21</f>
        <v>156</v>
      </c>
      <c r="Q21">
        <f t="shared" ref="Q21:S21" si="6">C21-J21</f>
        <v>18689</v>
      </c>
      <c r="R21">
        <f t="shared" si="6"/>
        <v>2192570</v>
      </c>
      <c r="S21">
        <f t="shared" si="6"/>
        <v>3707166</v>
      </c>
    </row>
    <row r="22" spans="1:20">
      <c r="A22" t="s">
        <v>1</v>
      </c>
      <c r="B22">
        <v>141</v>
      </c>
      <c r="C22">
        <v>1061</v>
      </c>
      <c r="D22">
        <v>6418</v>
      </c>
      <c r="E22">
        <v>29656</v>
      </c>
      <c r="H22" t="s">
        <v>1</v>
      </c>
      <c r="I22">
        <v>0</v>
      </c>
      <c r="J22">
        <v>16</v>
      </c>
      <c r="K22">
        <v>265</v>
      </c>
      <c r="L22">
        <v>4555</v>
      </c>
      <c r="O22" t="s">
        <v>1</v>
      </c>
      <c r="P22">
        <f t="shared" ref="P22:P27" si="7">B22-I22</f>
        <v>141</v>
      </c>
      <c r="Q22">
        <f t="shared" ref="Q22:Q27" si="8">C22-J22</f>
        <v>1045</v>
      </c>
      <c r="R22">
        <f t="shared" ref="R22:R27" si="9">D22-K22</f>
        <v>6153</v>
      </c>
      <c r="S22">
        <f t="shared" ref="S22:S27" si="10">E22-L22</f>
        <v>25101</v>
      </c>
    </row>
    <row r="23" spans="1:20">
      <c r="A23" t="s">
        <v>2</v>
      </c>
      <c r="B23">
        <v>124</v>
      </c>
      <c r="C23">
        <v>1061</v>
      </c>
      <c r="D23">
        <v>6419</v>
      </c>
      <c r="E23">
        <v>29562</v>
      </c>
      <c r="H23" t="s">
        <v>2</v>
      </c>
      <c r="I23">
        <v>0</v>
      </c>
      <c r="J23">
        <v>16</v>
      </c>
      <c r="K23">
        <v>266</v>
      </c>
      <c r="L23">
        <v>4539</v>
      </c>
      <c r="O23" t="s">
        <v>2</v>
      </c>
      <c r="P23">
        <f t="shared" si="7"/>
        <v>124</v>
      </c>
      <c r="Q23">
        <f t="shared" si="8"/>
        <v>1045</v>
      </c>
      <c r="R23">
        <f t="shared" si="9"/>
        <v>6153</v>
      </c>
      <c r="S23">
        <f t="shared" si="10"/>
        <v>25023</v>
      </c>
    </row>
    <row r="24" spans="1:20">
      <c r="A24" t="s">
        <v>3</v>
      </c>
      <c r="B24">
        <v>141</v>
      </c>
      <c r="C24">
        <v>1060</v>
      </c>
      <c r="D24">
        <v>6403</v>
      </c>
      <c r="E24">
        <v>29547</v>
      </c>
      <c r="H24" t="s">
        <v>3</v>
      </c>
      <c r="I24">
        <v>0</v>
      </c>
      <c r="J24">
        <v>15</v>
      </c>
      <c r="K24">
        <v>250</v>
      </c>
      <c r="L24">
        <v>4555</v>
      </c>
      <c r="O24" t="s">
        <v>3</v>
      </c>
      <c r="P24">
        <f t="shared" si="7"/>
        <v>141</v>
      </c>
      <c r="Q24">
        <f t="shared" si="8"/>
        <v>1045</v>
      </c>
      <c r="R24">
        <f t="shared" si="9"/>
        <v>6153</v>
      </c>
      <c r="S24">
        <f t="shared" si="10"/>
        <v>24992</v>
      </c>
    </row>
    <row r="25" spans="1:20">
      <c r="A25" t="s">
        <v>4</v>
      </c>
      <c r="B25">
        <v>140</v>
      </c>
      <c r="C25">
        <v>1061</v>
      </c>
      <c r="D25">
        <v>6403</v>
      </c>
      <c r="E25">
        <v>29563</v>
      </c>
      <c r="H25" t="s">
        <v>4</v>
      </c>
      <c r="I25">
        <v>0</v>
      </c>
      <c r="J25">
        <v>15</v>
      </c>
      <c r="K25">
        <v>250</v>
      </c>
      <c r="L25">
        <v>4540</v>
      </c>
      <c r="O25" t="s">
        <v>4</v>
      </c>
      <c r="P25">
        <f t="shared" si="7"/>
        <v>140</v>
      </c>
      <c r="Q25">
        <f t="shared" si="8"/>
        <v>1046</v>
      </c>
      <c r="R25">
        <f t="shared" si="9"/>
        <v>6153</v>
      </c>
      <c r="S25">
        <f t="shared" si="10"/>
        <v>25023</v>
      </c>
    </row>
    <row r="26" spans="1:20">
      <c r="A26" t="s">
        <v>31</v>
      </c>
      <c r="B26">
        <v>141</v>
      </c>
      <c r="C26">
        <v>1061</v>
      </c>
      <c r="D26">
        <v>6403</v>
      </c>
      <c r="E26">
        <v>29562</v>
      </c>
      <c r="H26" t="s">
        <v>31</v>
      </c>
      <c r="I26">
        <v>0</v>
      </c>
      <c r="J26">
        <v>16</v>
      </c>
      <c r="K26">
        <v>265</v>
      </c>
      <c r="L26">
        <v>4539</v>
      </c>
      <c r="O26" t="s">
        <v>31</v>
      </c>
      <c r="P26">
        <f t="shared" si="7"/>
        <v>141</v>
      </c>
      <c r="Q26">
        <f t="shared" si="8"/>
        <v>1045</v>
      </c>
      <c r="R26">
        <f t="shared" si="9"/>
        <v>6138</v>
      </c>
      <c r="S26">
        <f t="shared" si="10"/>
        <v>25023</v>
      </c>
    </row>
    <row r="27" spans="1:20">
      <c r="A27" t="s">
        <v>32</v>
      </c>
      <c r="B27">
        <v>140</v>
      </c>
      <c r="C27">
        <v>1061</v>
      </c>
      <c r="D27">
        <v>6403</v>
      </c>
      <c r="E27">
        <v>29578</v>
      </c>
      <c r="H27" t="s">
        <v>32</v>
      </c>
      <c r="I27">
        <v>0</v>
      </c>
      <c r="J27">
        <v>16</v>
      </c>
      <c r="K27">
        <v>265</v>
      </c>
      <c r="L27">
        <v>4540</v>
      </c>
      <c r="O27" t="s">
        <v>32</v>
      </c>
      <c r="P27">
        <f t="shared" si="7"/>
        <v>140</v>
      </c>
      <c r="Q27">
        <f t="shared" si="8"/>
        <v>1045</v>
      </c>
      <c r="R27">
        <f t="shared" si="9"/>
        <v>6138</v>
      </c>
      <c r="S27">
        <f t="shared" si="10"/>
        <v>25038</v>
      </c>
    </row>
    <row r="28" spans="1:20">
      <c r="A28" t="s">
        <v>5</v>
      </c>
      <c r="B28">
        <f>(SUM(B21:B27) -MAX(B21:B27))/((COUNT(B21:B27)-1)*1000)</f>
        <v>0.13783333333333334</v>
      </c>
      <c r="C28">
        <f t="shared" ref="C28:E28" si="11">(SUM(C21:C27) -MAX(C21:C27))/((COUNT(C21:C27)-1)*1000)</f>
        <v>1.0608333333333333</v>
      </c>
      <c r="D28">
        <f t="shared" si="11"/>
        <v>6.4081666666666663</v>
      </c>
      <c r="E28">
        <f t="shared" si="11"/>
        <v>29.577999999999999</v>
      </c>
      <c r="F28" t="s">
        <v>40</v>
      </c>
      <c r="H28" t="s">
        <v>5</v>
      </c>
      <c r="I28">
        <f>(SUM(I21:I27) -MAX(I21:I27))/((COUNT(I21:I27)-1)*1000)</f>
        <v>0</v>
      </c>
      <c r="J28">
        <f t="shared" ref="J28:L28" si="12">(SUM(J21:J27) -MAX(J21:J27))/((COUNT(J21:J27)-1)*1000)</f>
        <v>1.5666666666666666E-2</v>
      </c>
      <c r="K28">
        <f t="shared" si="12"/>
        <v>0.26016666666666666</v>
      </c>
      <c r="L28">
        <f t="shared" si="12"/>
        <v>4.5446666666666671</v>
      </c>
      <c r="M28" t="s">
        <v>40</v>
      </c>
      <c r="O28" t="s">
        <v>5</v>
      </c>
      <c r="P28">
        <f>(SUM(P21:P27) -MAX(P21:P27))/((COUNT(P21:P27)-1)*1000)</f>
        <v>0.13783333333333334</v>
      </c>
      <c r="Q28">
        <f t="shared" ref="Q28:S28" si="13">(SUM(Q21:Q27) -MAX(Q21:Q27))/((COUNT(Q21:Q27)-1)*1000)</f>
        <v>1.0451666666666666</v>
      </c>
      <c r="R28">
        <f t="shared" si="13"/>
        <v>6.1479999999999997</v>
      </c>
      <c r="S28">
        <f t="shared" si="13"/>
        <v>25.033333333333335</v>
      </c>
      <c r="T28" t="s">
        <v>40</v>
      </c>
    </row>
    <row r="29" spans="1:20">
      <c r="A29" t="s">
        <v>7</v>
      </c>
      <c r="B29">
        <f>STDEV(B22:B27)/1000</f>
        <v>6.7946057035464316E-3</v>
      </c>
      <c r="C29">
        <f t="shared" ref="C29:E29" si="14">STDEV(C22:C27)/1000</f>
        <v>4.0824829046386298E-4</v>
      </c>
      <c r="D29">
        <f t="shared" si="14"/>
        <v>8.0104098939226265E-3</v>
      </c>
      <c r="E29">
        <f t="shared" si="14"/>
        <v>3.9451235722091138E-2</v>
      </c>
      <c r="H29" t="s">
        <v>7</v>
      </c>
      <c r="I29">
        <f>STDEV(I22:I27)/1000</f>
        <v>0</v>
      </c>
      <c r="J29">
        <f t="shared" ref="J29:L29" si="15">STDEV(J22:J27)/1000</f>
        <v>5.1639777949430757E-4</v>
      </c>
      <c r="K29">
        <f t="shared" si="15"/>
        <v>7.8845841150096685E-3</v>
      </c>
      <c r="L29">
        <f t="shared" si="15"/>
        <v>8.0166493415686629E-3</v>
      </c>
      <c r="O29" t="s">
        <v>7</v>
      </c>
      <c r="P29">
        <f>STDEV(P22:P27)/1000</f>
        <v>6.7946057035464316E-3</v>
      </c>
      <c r="Q29">
        <f t="shared" ref="Q29:S29" si="16">STDEV(Q22:Q27)/1000</f>
        <v>4.0824829046386298E-4</v>
      </c>
      <c r="R29">
        <f t="shared" si="16"/>
        <v>7.7459666924148338E-3</v>
      </c>
      <c r="S29">
        <f t="shared" si="16"/>
        <v>3.6412452083023135E-2</v>
      </c>
    </row>
    <row r="30" spans="1:20">
      <c r="A30" t="s">
        <v>8</v>
      </c>
      <c r="B30">
        <f>CONFIDENCE(0.05,B29,5)/2</f>
        <v>2.9778125267443246E-3</v>
      </c>
      <c r="C30">
        <f t="shared" ref="C30:E30" si="17">CONFIDENCE(0.05,C29,5)/2</f>
        <v>1.7891941437171569E-4</v>
      </c>
      <c r="D30">
        <f t="shared" si="17"/>
        <v>3.5106524156404226E-3</v>
      </c>
      <c r="E30">
        <f t="shared" si="17"/>
        <v>1.7289948682006454E-2</v>
      </c>
      <c r="H30" t="s">
        <v>8</v>
      </c>
      <c r="I30" t="e">
        <f>CONFIDENCE(0.05,I29,5)/2</f>
        <v>#NUM!</v>
      </c>
      <c r="J30">
        <f t="shared" ref="J30:L30" si="18">CONFIDENCE(0.05,J29,5)/2</f>
        <v>2.2631714681522788E-4</v>
      </c>
      <c r="K30">
        <f t="shared" si="18"/>
        <v>3.4555078499390159E-3</v>
      </c>
      <c r="L30">
        <f t="shared" si="18"/>
        <v>3.5133869238916718E-3</v>
      </c>
      <c r="O30" t="s">
        <v>8</v>
      </c>
      <c r="P30">
        <f>CONFIDENCE(0.05,P29,5)/2</f>
        <v>2.9778125267443246E-3</v>
      </c>
      <c r="Q30">
        <f t="shared" ref="Q30:S30" si="19">CONFIDENCE(0.05,Q29,5)/2</f>
        <v>1.7891941437171569E-4</v>
      </c>
      <c r="R30">
        <f t="shared" si="19"/>
        <v>3.3947572022285147E-3</v>
      </c>
      <c r="S30">
        <f t="shared" si="19"/>
        <v>1.5958167504217236E-2</v>
      </c>
    </row>
    <row r="31" spans="1:20">
      <c r="A31" t="s">
        <v>59</v>
      </c>
      <c r="B31">
        <v>2</v>
      </c>
      <c r="C31">
        <v>14</v>
      </c>
      <c r="D31">
        <v>122</v>
      </c>
      <c r="E31">
        <v>1094</v>
      </c>
    </row>
    <row r="32" spans="1:20">
      <c r="A32" t="s">
        <v>10</v>
      </c>
      <c r="B32">
        <v>110</v>
      </c>
      <c r="C32">
        <v>340</v>
      </c>
      <c r="D32">
        <v>690</v>
      </c>
      <c r="E32">
        <v>1160</v>
      </c>
      <c r="F32" t="s">
        <v>27</v>
      </c>
    </row>
    <row r="34" spans="1:20">
      <c r="A34" s="1" t="s">
        <v>23</v>
      </c>
      <c r="H34" s="1" t="s">
        <v>23</v>
      </c>
    </row>
    <row r="35" spans="1:20">
      <c r="A35" t="s">
        <v>38</v>
      </c>
      <c r="B35" t="s">
        <v>39</v>
      </c>
    </row>
    <row r="36" spans="1:20">
      <c r="A36" t="s">
        <v>37</v>
      </c>
      <c r="B36">
        <v>1</v>
      </c>
      <c r="C36">
        <v>2</v>
      </c>
      <c r="D36">
        <v>4</v>
      </c>
      <c r="E36">
        <v>8</v>
      </c>
      <c r="I36">
        <v>1</v>
      </c>
      <c r="J36">
        <v>2</v>
      </c>
      <c r="K36">
        <v>4</v>
      </c>
      <c r="L36">
        <v>8</v>
      </c>
      <c r="P36">
        <v>1</v>
      </c>
      <c r="Q36">
        <v>2</v>
      </c>
      <c r="R36">
        <v>4</v>
      </c>
      <c r="S36">
        <v>8</v>
      </c>
    </row>
    <row r="37" spans="1:20">
      <c r="A37" t="s">
        <v>92</v>
      </c>
      <c r="H37" t="s">
        <v>28</v>
      </c>
      <c r="O37" t="s">
        <v>60</v>
      </c>
    </row>
    <row r="38" spans="1:20">
      <c r="A38" t="s">
        <v>0</v>
      </c>
      <c r="B38">
        <v>125614</v>
      </c>
      <c r="C38">
        <v>126987</v>
      </c>
      <c r="D38">
        <v>443579</v>
      </c>
      <c r="E38" s="2">
        <v>3711817</v>
      </c>
      <c r="H38" t="s">
        <v>0</v>
      </c>
      <c r="I38">
        <v>47</v>
      </c>
      <c r="J38">
        <v>47</v>
      </c>
      <c r="K38">
        <v>156</v>
      </c>
      <c r="L38" s="2">
        <v>4651</v>
      </c>
      <c r="O38" t="s">
        <v>0</v>
      </c>
      <c r="P38">
        <f>B38-I38</f>
        <v>125567</v>
      </c>
      <c r="Q38">
        <f t="shared" ref="Q38:S38" si="20">C38-J38</f>
        <v>126940</v>
      </c>
      <c r="R38">
        <f t="shared" si="20"/>
        <v>443423</v>
      </c>
      <c r="S38">
        <f t="shared" si="20"/>
        <v>3707166</v>
      </c>
    </row>
    <row r="39" spans="1:20">
      <c r="A39" t="s">
        <v>1</v>
      </c>
      <c r="B39">
        <v>374</v>
      </c>
      <c r="C39">
        <v>578</v>
      </c>
      <c r="D39">
        <v>2512</v>
      </c>
      <c r="E39">
        <v>29656</v>
      </c>
      <c r="H39" t="s">
        <v>1</v>
      </c>
      <c r="I39">
        <v>31</v>
      </c>
      <c r="J39">
        <v>31</v>
      </c>
      <c r="K39">
        <v>125</v>
      </c>
      <c r="L39">
        <v>4555</v>
      </c>
      <c r="O39" t="s">
        <v>1</v>
      </c>
      <c r="P39">
        <f t="shared" ref="P39:P44" si="21">B39-I39</f>
        <v>343</v>
      </c>
      <c r="Q39">
        <f t="shared" ref="Q39:Q44" si="22">C39-J39</f>
        <v>547</v>
      </c>
      <c r="R39">
        <f t="shared" ref="R39:R44" si="23">D39-K39</f>
        <v>2387</v>
      </c>
      <c r="S39">
        <f t="shared" ref="S39:S44" si="24">E39-L39</f>
        <v>25101</v>
      </c>
    </row>
    <row r="40" spans="1:20">
      <c r="A40" t="s">
        <v>2</v>
      </c>
      <c r="B40">
        <v>359</v>
      </c>
      <c r="C40">
        <v>578</v>
      </c>
      <c r="D40">
        <v>2496</v>
      </c>
      <c r="E40">
        <v>29562</v>
      </c>
      <c r="H40" t="s">
        <v>2</v>
      </c>
      <c r="I40">
        <v>31</v>
      </c>
      <c r="J40">
        <v>32</v>
      </c>
      <c r="K40">
        <v>125</v>
      </c>
      <c r="L40">
        <v>4539</v>
      </c>
      <c r="O40" t="s">
        <v>2</v>
      </c>
      <c r="P40">
        <f t="shared" si="21"/>
        <v>328</v>
      </c>
      <c r="Q40">
        <f t="shared" si="22"/>
        <v>546</v>
      </c>
      <c r="R40">
        <f t="shared" si="23"/>
        <v>2371</v>
      </c>
      <c r="S40">
        <f t="shared" si="24"/>
        <v>25023</v>
      </c>
    </row>
    <row r="41" spans="1:20">
      <c r="A41" t="s">
        <v>3</v>
      </c>
      <c r="B41">
        <v>358</v>
      </c>
      <c r="C41">
        <v>562</v>
      </c>
      <c r="D41">
        <v>2496</v>
      </c>
      <c r="E41">
        <v>29547</v>
      </c>
      <c r="H41" t="s">
        <v>3</v>
      </c>
      <c r="I41">
        <v>31</v>
      </c>
      <c r="J41">
        <v>32</v>
      </c>
      <c r="K41">
        <v>124</v>
      </c>
      <c r="L41">
        <v>4555</v>
      </c>
      <c r="O41" t="s">
        <v>3</v>
      </c>
      <c r="P41">
        <f t="shared" si="21"/>
        <v>327</v>
      </c>
      <c r="Q41">
        <f t="shared" si="22"/>
        <v>530</v>
      </c>
      <c r="R41">
        <f t="shared" si="23"/>
        <v>2372</v>
      </c>
      <c r="S41">
        <f t="shared" si="24"/>
        <v>24992</v>
      </c>
    </row>
    <row r="42" spans="1:20">
      <c r="A42" t="s">
        <v>4</v>
      </c>
      <c r="B42">
        <v>359</v>
      </c>
      <c r="C42">
        <v>578</v>
      </c>
      <c r="D42">
        <v>2496</v>
      </c>
      <c r="E42">
        <v>29563</v>
      </c>
      <c r="H42" t="s">
        <v>4</v>
      </c>
      <c r="I42">
        <v>15</v>
      </c>
      <c r="J42">
        <v>32</v>
      </c>
      <c r="K42">
        <v>124</v>
      </c>
      <c r="L42">
        <v>4540</v>
      </c>
      <c r="O42" t="s">
        <v>4</v>
      </c>
      <c r="P42">
        <f t="shared" si="21"/>
        <v>344</v>
      </c>
      <c r="Q42">
        <f t="shared" si="22"/>
        <v>546</v>
      </c>
      <c r="R42">
        <f t="shared" si="23"/>
        <v>2372</v>
      </c>
      <c r="S42">
        <f t="shared" si="24"/>
        <v>25023</v>
      </c>
    </row>
    <row r="43" spans="1:20">
      <c r="A43" t="s">
        <v>31</v>
      </c>
      <c r="B43">
        <v>359</v>
      </c>
      <c r="C43">
        <v>578</v>
      </c>
      <c r="D43">
        <v>2481</v>
      </c>
      <c r="E43">
        <v>29562</v>
      </c>
      <c r="H43" t="s">
        <v>31</v>
      </c>
      <c r="I43">
        <v>32</v>
      </c>
      <c r="J43">
        <v>32</v>
      </c>
      <c r="K43">
        <v>125</v>
      </c>
      <c r="L43">
        <v>4539</v>
      </c>
      <c r="O43" t="s">
        <v>31</v>
      </c>
      <c r="P43">
        <f t="shared" si="21"/>
        <v>327</v>
      </c>
      <c r="Q43">
        <f t="shared" si="22"/>
        <v>546</v>
      </c>
      <c r="R43">
        <f t="shared" si="23"/>
        <v>2356</v>
      </c>
      <c r="S43">
        <f t="shared" si="24"/>
        <v>25023</v>
      </c>
    </row>
    <row r="44" spans="1:20">
      <c r="A44" t="s">
        <v>32</v>
      </c>
      <c r="B44">
        <v>359</v>
      </c>
      <c r="C44">
        <v>562</v>
      </c>
      <c r="D44">
        <v>2480</v>
      </c>
      <c r="E44">
        <v>29578</v>
      </c>
      <c r="H44" t="s">
        <v>32</v>
      </c>
      <c r="I44">
        <v>31</v>
      </c>
      <c r="J44">
        <v>32</v>
      </c>
      <c r="K44">
        <v>124</v>
      </c>
      <c r="L44">
        <v>4540</v>
      </c>
      <c r="O44" t="s">
        <v>32</v>
      </c>
      <c r="P44">
        <f t="shared" si="21"/>
        <v>328</v>
      </c>
      <c r="Q44">
        <f t="shared" si="22"/>
        <v>530</v>
      </c>
      <c r="R44">
        <f t="shared" si="23"/>
        <v>2356</v>
      </c>
      <c r="S44">
        <f t="shared" si="24"/>
        <v>25038</v>
      </c>
    </row>
    <row r="45" spans="1:20">
      <c r="A45" t="s">
        <v>5</v>
      </c>
      <c r="B45">
        <f>(SUM(B38:B44) -MAX(B38:B44))/((COUNT(B38:B44)-1)*1000)</f>
        <v>0.36133333333333334</v>
      </c>
      <c r="C45">
        <f t="shared" ref="C45:E45" si="25">(SUM(C38:C44) -MAX(C38:C44))/((COUNT(C38:C44)-1)*1000)</f>
        <v>0.57266666666666666</v>
      </c>
      <c r="D45">
        <f t="shared" si="25"/>
        <v>2.4935</v>
      </c>
      <c r="E45">
        <f t="shared" si="25"/>
        <v>29.577999999999999</v>
      </c>
      <c r="F45" t="s">
        <v>40</v>
      </c>
      <c r="H45" t="s">
        <v>5</v>
      </c>
      <c r="I45">
        <f>(SUM(I38:I44) -MAX(I38:I44))/((COUNT(I38:I44)-1)*1000)</f>
        <v>2.8500000000000001E-2</v>
      </c>
      <c r="J45">
        <f t="shared" ref="J45:L45" si="26">(SUM(J38:J44) -MAX(J38:J44))/((COUNT(J38:J44)-1)*1000)</f>
        <v>3.1833333333333332E-2</v>
      </c>
      <c r="K45">
        <f t="shared" si="26"/>
        <v>0.1245</v>
      </c>
      <c r="L45">
        <f t="shared" si="26"/>
        <v>4.5446666666666671</v>
      </c>
      <c r="M45" t="s">
        <v>40</v>
      </c>
      <c r="O45" t="s">
        <v>5</v>
      </c>
      <c r="P45">
        <f>(SUM(P38:P44) -MAX(P38:P44))/((COUNT(P38:P44)-1)*1000)</f>
        <v>0.33283333333333331</v>
      </c>
      <c r="Q45">
        <f t="shared" ref="Q45:S45" si="27">(SUM(Q38:Q44) -MAX(Q38:Q44))/((COUNT(Q38:Q44)-1)*1000)</f>
        <v>0.54083333333333339</v>
      </c>
      <c r="R45">
        <f t="shared" si="27"/>
        <v>2.3690000000000002</v>
      </c>
      <c r="S45">
        <f t="shared" si="27"/>
        <v>25.033333333333335</v>
      </c>
      <c r="T45" t="s">
        <v>40</v>
      </c>
    </row>
    <row r="46" spans="1:20">
      <c r="A46" t="s">
        <v>7</v>
      </c>
      <c r="B46">
        <f>STDEV(B39:B44)/1000</f>
        <v>6.2182527020598335E-3</v>
      </c>
      <c r="C46">
        <f t="shared" ref="C46:E46" si="28">STDEV(C39:C44)/1000</f>
        <v>8.2623644719082168E-3</v>
      </c>
      <c r="D46">
        <f t="shared" si="28"/>
        <v>1.1827933040053955E-2</v>
      </c>
      <c r="E46">
        <f t="shared" si="28"/>
        <v>3.9451235722091138E-2</v>
      </c>
      <c r="H46" t="s">
        <v>7</v>
      </c>
      <c r="I46">
        <f>STDEV(I39:I44)/1000</f>
        <v>6.6257075093909788E-3</v>
      </c>
      <c r="J46">
        <f t="shared" ref="J46:L46" si="29">STDEV(J39:J44)/1000</f>
        <v>4.0824829046378876E-4</v>
      </c>
      <c r="K46">
        <f t="shared" si="29"/>
        <v>5.4772255750516611E-4</v>
      </c>
      <c r="L46">
        <f t="shared" si="29"/>
        <v>8.0166493415686629E-3</v>
      </c>
      <c r="O46" t="s">
        <v>7</v>
      </c>
      <c r="P46">
        <f>STDEV(P39:P44)/1000</f>
        <v>8.2804991798003588E-3</v>
      </c>
      <c r="Q46">
        <f t="shared" ref="Q46:S46" si="30">STDEV(Q39:Q44)/1000</f>
        <v>8.4003968160231059E-3</v>
      </c>
      <c r="R46">
        <f t="shared" si="30"/>
        <v>1.1696153213770757E-2</v>
      </c>
      <c r="S46">
        <f t="shared" si="30"/>
        <v>3.6412452083023135E-2</v>
      </c>
    </row>
    <row r="47" spans="1:20">
      <c r="A47" t="s">
        <v>8</v>
      </c>
      <c r="B47">
        <f>CONFIDENCE(0.05,B46,5)/2</f>
        <v>2.7252193281783392E-3</v>
      </c>
      <c r="C47">
        <f t="shared" ref="C47:E47" si="31">CONFIDENCE(0.05,C46,5)/2</f>
        <v>3.6210743490433378E-3</v>
      </c>
      <c r="D47">
        <f t="shared" si="31"/>
        <v>5.183724959018891E-3</v>
      </c>
      <c r="E47">
        <f t="shared" si="31"/>
        <v>1.7289948682006454E-2</v>
      </c>
      <c r="H47" t="s">
        <v>8</v>
      </c>
      <c r="I47">
        <f>CONFIDENCE(0.05,I46,5)/2</f>
        <v>2.9037909896243576E-3</v>
      </c>
      <c r="J47">
        <f t="shared" ref="J47:L47" si="32">CONFIDENCE(0.05,J46,5)/2</f>
        <v>1.7891941437168316E-4</v>
      </c>
      <c r="K47">
        <f t="shared" si="32"/>
        <v>2.4004558381776546E-4</v>
      </c>
      <c r="L47">
        <f t="shared" si="32"/>
        <v>3.5133869238916718E-3</v>
      </c>
      <c r="O47" t="s">
        <v>8</v>
      </c>
      <c r="P47">
        <f>CONFIDENCE(0.05,P46,5)/2</f>
        <v>3.6290220891604546E-3</v>
      </c>
      <c r="Q47">
        <f t="shared" ref="Q47:S47" si="33">CONFIDENCE(0.05,Q46,5)/2</f>
        <v>3.6815685795159995E-3</v>
      </c>
      <c r="R47">
        <f t="shared" si="33"/>
        <v>5.1259709649536462E-3</v>
      </c>
      <c r="S47">
        <f t="shared" si="33"/>
        <v>1.5958167504217236E-2</v>
      </c>
    </row>
    <row r="48" spans="1:20">
      <c r="A48" t="s">
        <v>59</v>
      </c>
      <c r="B48">
        <v>1</v>
      </c>
      <c r="C48">
        <v>4</v>
      </c>
      <c r="D48">
        <v>40</v>
      </c>
      <c r="E48">
        <v>1094</v>
      </c>
    </row>
    <row r="49" spans="1:8">
      <c r="A49" t="s">
        <v>10</v>
      </c>
      <c r="B49">
        <v>250</v>
      </c>
      <c r="C49">
        <v>380</v>
      </c>
      <c r="D49">
        <v>640</v>
      </c>
      <c r="E49">
        <v>1160</v>
      </c>
      <c r="F49" t="s">
        <v>27</v>
      </c>
    </row>
    <row r="51" spans="1:8">
      <c r="A51" s="1" t="s">
        <v>23</v>
      </c>
      <c r="H51" s="1" t="s">
        <v>23</v>
      </c>
    </row>
    <row r="52" spans="1:8">
      <c r="A52" t="s">
        <v>24</v>
      </c>
    </row>
    <row r="53" spans="1:8">
      <c r="A53" t="s">
        <v>14</v>
      </c>
      <c r="B53" t="s">
        <v>20</v>
      </c>
      <c r="C53" t="s">
        <v>21</v>
      </c>
      <c r="E53" t="s">
        <v>22</v>
      </c>
    </row>
    <row r="54" spans="1:8">
      <c r="A54" t="s">
        <v>0</v>
      </c>
      <c r="B54">
        <v>2600</v>
      </c>
      <c r="C54">
        <v>3800</v>
      </c>
    </row>
    <row r="55" spans="1:8">
      <c r="A55" t="s">
        <v>1</v>
      </c>
      <c r="B55">
        <v>2600</v>
      </c>
      <c r="C55">
        <v>3800</v>
      </c>
    </row>
    <row r="56" spans="1:8">
      <c r="A56" t="s">
        <v>2</v>
      </c>
      <c r="B56">
        <v>2600</v>
      </c>
      <c r="C56">
        <v>3800</v>
      </c>
    </row>
    <row r="57" spans="1:8">
      <c r="A57" t="s">
        <v>3</v>
      </c>
      <c r="B57">
        <v>2600</v>
      </c>
      <c r="C57">
        <v>3800</v>
      </c>
    </row>
    <row r="58" spans="1:8">
      <c r="A58" t="s">
        <v>4</v>
      </c>
      <c r="B58">
        <v>2600</v>
      </c>
      <c r="C58">
        <v>3800</v>
      </c>
    </row>
    <row r="59" spans="1:8">
      <c r="A59" t="s">
        <v>5</v>
      </c>
      <c r="B59">
        <f>(SUM(B54:B58) -MAX(B54:B58))/((COUNT(B54:B58)-1)*1000)</f>
        <v>2.6</v>
      </c>
      <c r="C59">
        <f t="shared" ref="C59" si="34">(SUM(C54:C58) -MAX(C54:C58))/((COUNT(C54:C58)-1)*1000)</f>
        <v>3.8</v>
      </c>
    </row>
    <row r="60" spans="1:8">
      <c r="A60" t="s">
        <v>7</v>
      </c>
      <c r="B60">
        <f t="shared" ref="B60:C60" si="35">STDEV(B54:B58)/1000</f>
        <v>0</v>
      </c>
      <c r="C60">
        <f t="shared" si="35"/>
        <v>0</v>
      </c>
    </row>
    <row r="61" spans="1:8">
      <c r="A61" t="s">
        <v>8</v>
      </c>
      <c r="B61" t="e">
        <f>CONFIDENCE(0.05,B60,5)/2</f>
        <v>#NUM!</v>
      </c>
      <c r="C61" t="e">
        <f t="shared" ref="C61" si="36">CONFIDENCE(0.05,C60,5)/2</f>
        <v>#NUM!</v>
      </c>
    </row>
    <row r="62" spans="1:8">
      <c r="A62" t="s">
        <v>13</v>
      </c>
      <c r="B62">
        <v>1</v>
      </c>
      <c r="C62">
        <v>4</v>
      </c>
    </row>
    <row r="64" spans="1:8">
      <c r="A64" t="s">
        <v>15</v>
      </c>
    </row>
    <row r="65" spans="1:3">
      <c r="A65" t="s">
        <v>0</v>
      </c>
      <c r="B65">
        <v>1700</v>
      </c>
      <c r="C65">
        <v>3500</v>
      </c>
    </row>
    <row r="66" spans="1:3">
      <c r="A66" t="s">
        <v>1</v>
      </c>
      <c r="B66">
        <v>1700</v>
      </c>
      <c r="C66">
        <v>3500</v>
      </c>
    </row>
    <row r="67" spans="1:3">
      <c r="A67" t="s">
        <v>2</v>
      </c>
      <c r="B67">
        <v>1700</v>
      </c>
      <c r="C67">
        <v>3500</v>
      </c>
    </row>
    <row r="68" spans="1:3">
      <c r="A68" t="s">
        <v>3</v>
      </c>
      <c r="B68">
        <v>1700</v>
      </c>
      <c r="C68">
        <v>3500</v>
      </c>
    </row>
    <row r="69" spans="1:3">
      <c r="A69" t="s">
        <v>4</v>
      </c>
      <c r="B69">
        <v>1700</v>
      </c>
      <c r="C69">
        <v>3500</v>
      </c>
    </row>
    <row r="70" spans="1:3">
      <c r="A70" t="s">
        <v>5</v>
      </c>
      <c r="B70">
        <f>(SUM(B65:B69) -MAX(B65:B69))/((COUNT(B65:B69)-1)*1000)</f>
        <v>1.7</v>
      </c>
      <c r="C70">
        <f t="shared" ref="C70" si="37">(SUM(C65:C69) -MAX(C65:C69))/((COUNT(C65:C69)-1)*1000)</f>
        <v>3.5</v>
      </c>
    </row>
    <row r="71" spans="1:3">
      <c r="A71" t="s">
        <v>7</v>
      </c>
      <c r="B71">
        <f t="shared" ref="B71:C71" si="38">STDEV(B65:B69)/1000</f>
        <v>0</v>
      </c>
      <c r="C71">
        <f t="shared" si="38"/>
        <v>0</v>
      </c>
    </row>
    <row r="72" spans="1:3">
      <c r="A72" t="s">
        <v>8</v>
      </c>
      <c r="B72" t="e">
        <f>CONFIDENCE(0.05,B71,5)/2</f>
        <v>#NUM!</v>
      </c>
      <c r="C72" t="e">
        <f t="shared" ref="C72" si="39">CONFIDENCE(0.05,C71,5)/2</f>
        <v>#NUM!</v>
      </c>
    </row>
    <row r="73" spans="1:3">
      <c r="A73" t="s">
        <v>13</v>
      </c>
      <c r="B73">
        <v>2</v>
      </c>
      <c r="C73">
        <v>8</v>
      </c>
    </row>
    <row r="75" spans="1:3">
      <c r="A75" t="s">
        <v>16</v>
      </c>
    </row>
    <row r="76" spans="1:3">
      <c r="A76" t="s">
        <v>0</v>
      </c>
      <c r="B76">
        <v>1400</v>
      </c>
      <c r="C76">
        <v>2500</v>
      </c>
    </row>
    <row r="77" spans="1:3">
      <c r="A77" t="s">
        <v>1</v>
      </c>
      <c r="B77">
        <v>1400</v>
      </c>
      <c r="C77">
        <v>2500</v>
      </c>
    </row>
    <row r="78" spans="1:3">
      <c r="A78" t="s">
        <v>2</v>
      </c>
      <c r="B78">
        <v>1400</v>
      </c>
      <c r="C78">
        <v>2500</v>
      </c>
    </row>
    <row r="79" spans="1:3">
      <c r="A79" t="s">
        <v>3</v>
      </c>
      <c r="B79">
        <v>1400</v>
      </c>
      <c r="C79">
        <v>2500</v>
      </c>
    </row>
    <row r="80" spans="1:3">
      <c r="A80" t="s">
        <v>4</v>
      </c>
      <c r="B80">
        <v>1400</v>
      </c>
      <c r="C80">
        <v>2500</v>
      </c>
    </row>
    <row r="81" spans="1:3">
      <c r="A81" t="s">
        <v>5</v>
      </c>
      <c r="B81">
        <f>(SUM(B76:B80) -MAX(B76:B80))/((COUNT(B76:B80)-1)*1000)</f>
        <v>1.4</v>
      </c>
      <c r="C81">
        <f t="shared" ref="C81" si="40">(SUM(C76:C80) -MAX(C76:C80))/((COUNT(C76:C80)-1)*1000)</f>
        <v>2.5</v>
      </c>
    </row>
    <row r="82" spans="1:3">
      <c r="A82" t="s">
        <v>7</v>
      </c>
      <c r="B82">
        <f t="shared" ref="B82:C82" si="41">STDEV(B76:B80)/1000</f>
        <v>0</v>
      </c>
      <c r="C82">
        <f t="shared" si="41"/>
        <v>0</v>
      </c>
    </row>
    <row r="83" spans="1:3">
      <c r="A83" t="s">
        <v>8</v>
      </c>
      <c r="B83" t="e">
        <f>CONFIDENCE(0.05,B82,5)/2</f>
        <v>#NUM!</v>
      </c>
      <c r="C83" t="e">
        <f t="shared" ref="C83" si="42">CONFIDENCE(0.05,C82,5)/2</f>
        <v>#NUM!</v>
      </c>
    </row>
    <row r="84" spans="1:3">
      <c r="A84" t="s">
        <v>13</v>
      </c>
      <c r="B84">
        <v>2</v>
      </c>
      <c r="C84">
        <v>8</v>
      </c>
    </row>
    <row r="86" spans="1:3">
      <c r="A86" t="s">
        <v>17</v>
      </c>
    </row>
    <row r="87" spans="1:3">
      <c r="A87" t="s">
        <v>0</v>
      </c>
      <c r="B87">
        <v>2000</v>
      </c>
      <c r="C87">
        <v>4000</v>
      </c>
    </row>
    <row r="88" spans="1:3">
      <c r="A88" t="s">
        <v>1</v>
      </c>
      <c r="B88">
        <v>2000</v>
      </c>
      <c r="C88">
        <v>4000</v>
      </c>
    </row>
    <row r="89" spans="1:3">
      <c r="A89" t="s">
        <v>2</v>
      </c>
      <c r="B89">
        <v>2000</v>
      </c>
      <c r="C89">
        <v>4000</v>
      </c>
    </row>
    <row r="90" spans="1:3">
      <c r="A90" t="s">
        <v>3</v>
      </c>
      <c r="B90">
        <v>2000</v>
      </c>
      <c r="C90">
        <v>4000</v>
      </c>
    </row>
    <row r="91" spans="1:3">
      <c r="A91" t="s">
        <v>4</v>
      </c>
      <c r="B91">
        <v>2000</v>
      </c>
      <c r="C91">
        <v>4000</v>
      </c>
    </row>
    <row r="92" spans="1:3">
      <c r="A92" t="s">
        <v>5</v>
      </c>
      <c r="B92">
        <f>(SUM(B87:B91) -MAX(B87:B91))/((COUNT(B87:B91)-1)*1000)</f>
        <v>2</v>
      </c>
      <c r="C92">
        <f t="shared" ref="C92" si="43">(SUM(C87:C91) -MAX(C87:C91))/((COUNT(C87:C91)-1)*1000)</f>
        <v>4</v>
      </c>
    </row>
    <row r="93" spans="1:3">
      <c r="A93" t="s">
        <v>7</v>
      </c>
      <c r="B93">
        <f t="shared" ref="B93:C93" si="44">STDEV(B87:B91)/1000</f>
        <v>0</v>
      </c>
      <c r="C93">
        <f t="shared" si="44"/>
        <v>0</v>
      </c>
    </row>
    <row r="94" spans="1:3">
      <c r="A94" t="s">
        <v>8</v>
      </c>
      <c r="B94" t="e">
        <f>CONFIDENCE(0.05,B93,5)/2</f>
        <v>#NUM!</v>
      </c>
      <c r="C94" t="e">
        <f t="shared" ref="C94" si="45">CONFIDENCE(0.05,C93,5)/2</f>
        <v>#NUM!</v>
      </c>
    </row>
    <row r="95" spans="1:3">
      <c r="A95" t="s">
        <v>13</v>
      </c>
      <c r="B95">
        <v>13</v>
      </c>
      <c r="C95">
        <v>40</v>
      </c>
    </row>
    <row r="97" spans="1:4">
      <c r="A97" t="s">
        <v>18</v>
      </c>
    </row>
    <row r="98" spans="1:4">
      <c r="A98" t="s">
        <v>0</v>
      </c>
      <c r="B98">
        <v>1900</v>
      </c>
      <c r="C98">
        <v>2900</v>
      </c>
    </row>
    <row r="99" spans="1:4">
      <c r="A99" t="s">
        <v>1</v>
      </c>
      <c r="B99">
        <v>1900</v>
      </c>
      <c r="C99">
        <v>2900</v>
      </c>
    </row>
    <row r="100" spans="1:4">
      <c r="A100" t="s">
        <v>2</v>
      </c>
      <c r="B100">
        <v>1900</v>
      </c>
      <c r="C100">
        <v>2900</v>
      </c>
    </row>
    <row r="101" spans="1:4">
      <c r="A101" t="s">
        <v>3</v>
      </c>
      <c r="B101">
        <v>1900</v>
      </c>
      <c r="C101">
        <v>2900</v>
      </c>
    </row>
    <row r="102" spans="1:4">
      <c r="A102" t="s">
        <v>4</v>
      </c>
      <c r="B102">
        <v>1900</v>
      </c>
      <c r="C102">
        <v>2900</v>
      </c>
    </row>
    <row r="103" spans="1:4">
      <c r="A103" t="s">
        <v>5</v>
      </c>
      <c r="B103">
        <f>(SUM(B98:B102) -MAX(B98:B102))/((COUNT(B98:B102)-1)*1000)</f>
        <v>1.9</v>
      </c>
      <c r="C103">
        <f t="shared" ref="C103" si="46">(SUM(C98:C102) -MAX(C98:C102))/((COUNT(C98:C102)-1)*1000)</f>
        <v>2.9</v>
      </c>
    </row>
    <row r="104" spans="1:4">
      <c r="A104" t="s">
        <v>7</v>
      </c>
      <c r="B104">
        <f t="shared" ref="B104:C104" si="47">STDEV(B98:B102)/1000</f>
        <v>0</v>
      </c>
      <c r="C104">
        <f t="shared" si="47"/>
        <v>0</v>
      </c>
    </row>
    <row r="105" spans="1:4">
      <c r="A105" t="s">
        <v>8</v>
      </c>
      <c r="B105" t="e">
        <f>CONFIDENCE(0.05,B104,5)/2</f>
        <v>#NUM!</v>
      </c>
      <c r="C105" t="e">
        <f t="shared" ref="C105" si="48">CONFIDENCE(0.05,C104,5)/2</f>
        <v>#NUM!</v>
      </c>
    </row>
    <row r="106" spans="1:4">
      <c r="A106" t="s">
        <v>13</v>
      </c>
      <c r="B106">
        <v>13</v>
      </c>
      <c r="C106">
        <v>24</v>
      </c>
    </row>
    <row r="108" spans="1:4">
      <c r="A108" t="s">
        <v>25</v>
      </c>
    </row>
    <row r="109" spans="1:4">
      <c r="A109" t="s">
        <v>0</v>
      </c>
      <c r="B109">
        <v>16000</v>
      </c>
      <c r="C109">
        <v>27000</v>
      </c>
      <c r="D109" t="s">
        <v>26</v>
      </c>
    </row>
    <row r="110" spans="1:4">
      <c r="A110" t="s">
        <v>1</v>
      </c>
      <c r="B110">
        <v>16000</v>
      </c>
      <c r="C110">
        <v>27000</v>
      </c>
    </row>
    <row r="111" spans="1:4">
      <c r="A111" t="s">
        <v>2</v>
      </c>
      <c r="B111">
        <v>16000</v>
      </c>
      <c r="C111">
        <v>27000</v>
      </c>
    </row>
    <row r="112" spans="1:4">
      <c r="A112" t="s">
        <v>3</v>
      </c>
      <c r="B112">
        <v>16000</v>
      </c>
      <c r="C112">
        <v>27000</v>
      </c>
    </row>
    <row r="113" spans="1:3">
      <c r="A113" t="s">
        <v>4</v>
      </c>
      <c r="B113">
        <v>16000</v>
      </c>
      <c r="C113">
        <v>27000</v>
      </c>
    </row>
    <row r="114" spans="1:3">
      <c r="A114" t="s">
        <v>5</v>
      </c>
      <c r="B114">
        <f>(SUM(B109:B113) -MAX(B109:B113))/((COUNT(B109:B113)-1)*1000)</f>
        <v>16</v>
      </c>
      <c r="C114">
        <f t="shared" ref="C114" si="49">(SUM(C109:C113) -MAX(C109:C113))/((COUNT(C109:C113)-1)*1000)</f>
        <v>27</v>
      </c>
    </row>
    <row r="115" spans="1:3">
      <c r="A115" t="s">
        <v>7</v>
      </c>
      <c r="B115">
        <f t="shared" ref="B115:C115" si="50">STDEV(B109:B113)/1000</f>
        <v>0</v>
      </c>
      <c r="C115">
        <f t="shared" si="50"/>
        <v>0</v>
      </c>
    </row>
    <row r="116" spans="1:3">
      <c r="A116" t="s">
        <v>8</v>
      </c>
      <c r="B116" t="e">
        <f>CONFIDENCE(0.05,B115,5)/2</f>
        <v>#NUM!</v>
      </c>
      <c r="C116" t="e">
        <f t="shared" ref="C116" si="51">CONFIDENCE(0.05,C115,5)/2</f>
        <v>#NUM!</v>
      </c>
    </row>
    <row r="117" spans="1:3">
      <c r="A117" t="s">
        <v>13</v>
      </c>
      <c r="B117">
        <v>404</v>
      </c>
      <c r="C117">
        <v>697</v>
      </c>
    </row>
    <row r="119" spans="1:3">
      <c r="A119" t="s">
        <v>19</v>
      </c>
    </row>
    <row r="120" spans="1:3">
      <c r="A120" t="s">
        <v>0</v>
      </c>
      <c r="B120">
        <v>5200</v>
      </c>
      <c r="C120">
        <v>6500</v>
      </c>
    </row>
    <row r="121" spans="1:3">
      <c r="A121" t="s">
        <v>1</v>
      </c>
      <c r="B121">
        <v>5200</v>
      </c>
      <c r="C121">
        <v>6500</v>
      </c>
    </row>
    <row r="122" spans="1:3">
      <c r="A122" t="s">
        <v>2</v>
      </c>
      <c r="B122">
        <v>5200</v>
      </c>
      <c r="C122">
        <v>6500</v>
      </c>
    </row>
    <row r="123" spans="1:3">
      <c r="A123" t="s">
        <v>3</v>
      </c>
      <c r="B123">
        <v>5200</v>
      </c>
      <c r="C123">
        <v>6500</v>
      </c>
    </row>
    <row r="124" spans="1:3">
      <c r="A124" t="s">
        <v>4</v>
      </c>
      <c r="B124">
        <v>5200</v>
      </c>
      <c r="C124">
        <v>6500</v>
      </c>
    </row>
    <row r="125" spans="1:3">
      <c r="A125" t="s">
        <v>5</v>
      </c>
      <c r="B125">
        <f>(SUM(B120:B124) -MAX(B120:B124))/((COUNT(B120:B124)-1)*1000)</f>
        <v>5.2</v>
      </c>
      <c r="C125">
        <f t="shared" ref="C125" si="52">(SUM(C120:C124) -MAX(C120:C124))/((COUNT(C120:C124)-1)*1000)</f>
        <v>6.5</v>
      </c>
    </row>
    <row r="126" spans="1:3">
      <c r="A126" t="s">
        <v>7</v>
      </c>
      <c r="B126">
        <f t="shared" ref="B126:C126" si="53">STDEV(B120:B124)/1000</f>
        <v>0</v>
      </c>
      <c r="C126">
        <f t="shared" si="53"/>
        <v>0</v>
      </c>
    </row>
    <row r="127" spans="1:3">
      <c r="A127" t="s">
        <v>8</v>
      </c>
      <c r="B127" t="e">
        <f>CONFIDENCE(0.05,B126,5)/2</f>
        <v>#NUM!</v>
      </c>
      <c r="C127" t="e">
        <f t="shared" ref="C127" si="54">CONFIDENCE(0.05,C126,5)/2</f>
        <v>#NUM!</v>
      </c>
    </row>
    <row r="128" spans="1:3">
      <c r="A128" t="s">
        <v>13</v>
      </c>
      <c r="B128">
        <v>57</v>
      </c>
      <c r="C128">
        <v>65</v>
      </c>
    </row>
    <row r="129" spans="1:1">
      <c r="A12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B111"/>
  <sheetViews>
    <sheetView zoomScale="85" zoomScaleNormal="85" workbookViewId="0">
      <selection activeCell="AB13" sqref="AB13"/>
    </sheetView>
  </sheetViews>
  <sheetFormatPr defaultRowHeight="14.4"/>
  <cols>
    <col min="1" max="1" width="12.6640625" customWidth="1"/>
    <col min="2" max="7" width="8.6640625" customWidth="1"/>
    <col min="8" max="8" width="4.6640625" customWidth="1"/>
    <col min="9" max="14" width="8.6640625" customWidth="1"/>
    <col min="15" max="15" width="4.6640625" customWidth="1"/>
    <col min="16" max="21" width="8.6640625" customWidth="1"/>
    <col min="22" max="22" width="4.6640625" customWidth="1"/>
    <col min="23" max="28" width="8.6640625" customWidth="1"/>
  </cols>
  <sheetData>
    <row r="1" spans="1:28">
      <c r="A1" s="1" t="s">
        <v>48</v>
      </c>
      <c r="B1" s="1"/>
    </row>
    <row r="2" spans="1:28">
      <c r="A2" t="s">
        <v>45</v>
      </c>
      <c r="B2" s="1"/>
    </row>
    <row r="3" spans="1:28">
      <c r="A3" t="s">
        <v>43</v>
      </c>
      <c r="B3" t="s">
        <v>83</v>
      </c>
      <c r="I3" t="s">
        <v>80</v>
      </c>
      <c r="P3" t="s">
        <v>81</v>
      </c>
      <c r="W3" t="s">
        <v>30</v>
      </c>
    </row>
    <row r="4" spans="1:28">
      <c r="A4" t="s">
        <v>6</v>
      </c>
      <c r="B4">
        <v>5</v>
      </c>
      <c r="C4">
        <v>10</v>
      </c>
      <c r="D4">
        <v>15</v>
      </c>
      <c r="E4">
        <v>20</v>
      </c>
      <c r="F4">
        <v>25</v>
      </c>
      <c r="G4">
        <v>30</v>
      </c>
      <c r="I4">
        <v>5</v>
      </c>
      <c r="J4">
        <v>10</v>
      </c>
      <c r="K4">
        <v>15</v>
      </c>
      <c r="L4">
        <v>20</v>
      </c>
      <c r="M4">
        <v>25</v>
      </c>
      <c r="N4">
        <v>30</v>
      </c>
      <c r="P4">
        <v>5</v>
      </c>
      <c r="Q4">
        <v>10</v>
      </c>
      <c r="R4">
        <v>15</v>
      </c>
      <c r="S4">
        <v>20</v>
      </c>
      <c r="T4">
        <v>25</v>
      </c>
      <c r="U4">
        <v>30</v>
      </c>
      <c r="W4">
        <v>5</v>
      </c>
      <c r="X4">
        <v>10</v>
      </c>
      <c r="Y4">
        <v>15</v>
      </c>
      <c r="Z4">
        <v>20</v>
      </c>
      <c r="AA4">
        <v>25</v>
      </c>
      <c r="AB4">
        <v>30</v>
      </c>
    </row>
    <row r="6" spans="1:28">
      <c r="A6" t="s">
        <v>0</v>
      </c>
      <c r="B6">
        <v>1888</v>
      </c>
      <c r="C6">
        <v>1747</v>
      </c>
      <c r="D6">
        <v>7363</v>
      </c>
      <c r="E6">
        <v>26458</v>
      </c>
      <c r="F6">
        <v>104085</v>
      </c>
      <c r="G6">
        <v>287591</v>
      </c>
      <c r="I6">
        <v>16</v>
      </c>
      <c r="J6">
        <v>47</v>
      </c>
      <c r="K6">
        <v>109</v>
      </c>
      <c r="L6">
        <v>171</v>
      </c>
      <c r="M6">
        <v>265</v>
      </c>
      <c r="N6">
        <v>390</v>
      </c>
      <c r="P6">
        <f>B6-I6</f>
        <v>1872</v>
      </c>
      <c r="Q6">
        <f t="shared" ref="Q6:T6" si="0">C6-J6</f>
        <v>1700</v>
      </c>
      <c r="R6">
        <f t="shared" si="0"/>
        <v>7254</v>
      </c>
      <c r="S6">
        <f t="shared" si="0"/>
        <v>26287</v>
      </c>
      <c r="T6">
        <f t="shared" si="0"/>
        <v>103820</v>
      </c>
      <c r="U6">
        <f>G6-N6</f>
        <v>287201</v>
      </c>
      <c r="W6">
        <v>2668</v>
      </c>
      <c r="X6">
        <v>7036</v>
      </c>
      <c r="Y6">
        <v>12933</v>
      </c>
      <c r="Z6">
        <v>21092</v>
      </c>
      <c r="AA6">
        <v>30374</v>
      </c>
      <c r="AB6">
        <v>41903</v>
      </c>
    </row>
    <row r="7" spans="1:28">
      <c r="A7" t="s">
        <v>1</v>
      </c>
      <c r="B7">
        <v>234</v>
      </c>
      <c r="C7">
        <v>499</v>
      </c>
      <c r="D7">
        <v>733</v>
      </c>
      <c r="E7">
        <v>1092</v>
      </c>
      <c r="F7">
        <v>1388</v>
      </c>
      <c r="G7">
        <v>1810</v>
      </c>
      <c r="I7">
        <v>16</v>
      </c>
      <c r="J7">
        <v>47</v>
      </c>
      <c r="K7">
        <v>93</v>
      </c>
      <c r="L7">
        <v>156</v>
      </c>
      <c r="M7">
        <v>249</v>
      </c>
      <c r="N7">
        <v>375</v>
      </c>
      <c r="P7">
        <f t="shared" ref="P7:P12" si="1">B7-I7</f>
        <v>218</v>
      </c>
      <c r="Q7">
        <f t="shared" ref="Q7:Q12" si="2">C7-J7</f>
        <v>452</v>
      </c>
      <c r="R7">
        <f t="shared" ref="R7:R12" si="3">D7-K7</f>
        <v>640</v>
      </c>
      <c r="S7">
        <f t="shared" ref="S7:S12" si="4">E7-L7</f>
        <v>936</v>
      </c>
      <c r="T7">
        <f t="shared" ref="T7:T12" si="5">F7-M7</f>
        <v>1139</v>
      </c>
      <c r="U7">
        <f t="shared" ref="U7:U12" si="6">G7-N7</f>
        <v>1435</v>
      </c>
      <c r="W7">
        <v>3167</v>
      </c>
      <c r="X7">
        <v>7036</v>
      </c>
      <c r="Y7">
        <v>12933</v>
      </c>
      <c r="Z7">
        <v>21092</v>
      </c>
      <c r="AA7">
        <v>33432</v>
      </c>
      <c r="AB7">
        <v>45490</v>
      </c>
    </row>
    <row r="8" spans="1:28">
      <c r="A8" t="s">
        <v>2</v>
      </c>
      <c r="B8">
        <v>234</v>
      </c>
      <c r="C8">
        <v>499</v>
      </c>
      <c r="D8">
        <v>734</v>
      </c>
      <c r="E8">
        <v>1092</v>
      </c>
      <c r="F8">
        <v>1388</v>
      </c>
      <c r="G8">
        <v>1826</v>
      </c>
      <c r="I8">
        <v>15</v>
      </c>
      <c r="J8">
        <v>47</v>
      </c>
      <c r="K8">
        <v>94</v>
      </c>
      <c r="L8">
        <v>156</v>
      </c>
      <c r="M8">
        <v>249</v>
      </c>
      <c r="N8">
        <v>375</v>
      </c>
      <c r="P8">
        <f t="shared" si="1"/>
        <v>219</v>
      </c>
      <c r="Q8">
        <f t="shared" si="2"/>
        <v>452</v>
      </c>
      <c r="R8">
        <f t="shared" si="3"/>
        <v>640</v>
      </c>
      <c r="S8">
        <f t="shared" si="4"/>
        <v>936</v>
      </c>
      <c r="T8">
        <f t="shared" si="5"/>
        <v>1139</v>
      </c>
      <c r="U8">
        <f t="shared" si="6"/>
        <v>1451</v>
      </c>
      <c r="W8">
        <v>3167</v>
      </c>
      <c r="X8">
        <v>8097</v>
      </c>
      <c r="Y8">
        <v>14633</v>
      </c>
      <c r="Z8">
        <v>23448</v>
      </c>
      <c r="AA8">
        <v>33416</v>
      </c>
      <c r="AB8">
        <v>45646</v>
      </c>
    </row>
    <row r="9" spans="1:28">
      <c r="A9" t="s">
        <v>3</v>
      </c>
      <c r="B9">
        <v>234</v>
      </c>
      <c r="C9">
        <v>498</v>
      </c>
      <c r="D9">
        <v>733</v>
      </c>
      <c r="E9">
        <v>1092</v>
      </c>
      <c r="F9">
        <v>1388</v>
      </c>
      <c r="G9">
        <v>1794</v>
      </c>
      <c r="I9">
        <v>15</v>
      </c>
      <c r="J9">
        <v>47</v>
      </c>
      <c r="K9">
        <v>94</v>
      </c>
      <c r="L9">
        <v>156</v>
      </c>
      <c r="M9">
        <v>249</v>
      </c>
      <c r="N9">
        <v>358</v>
      </c>
      <c r="P9">
        <f t="shared" si="1"/>
        <v>219</v>
      </c>
      <c r="Q9">
        <f t="shared" si="2"/>
        <v>451</v>
      </c>
      <c r="R9">
        <f t="shared" si="3"/>
        <v>639</v>
      </c>
      <c r="S9">
        <f t="shared" si="4"/>
        <v>936</v>
      </c>
      <c r="T9">
        <f t="shared" si="5"/>
        <v>1139</v>
      </c>
      <c r="U9">
        <f t="shared" si="6"/>
        <v>1436</v>
      </c>
      <c r="W9">
        <v>2668</v>
      </c>
      <c r="X9">
        <v>8127</v>
      </c>
      <c r="Y9">
        <v>14696</v>
      </c>
      <c r="Z9">
        <v>23665</v>
      </c>
      <c r="AA9">
        <v>30374</v>
      </c>
      <c r="AB9">
        <v>41903</v>
      </c>
    </row>
    <row r="10" spans="1:28">
      <c r="A10" t="s">
        <v>4</v>
      </c>
      <c r="B10">
        <v>219</v>
      </c>
      <c r="C10">
        <v>483</v>
      </c>
      <c r="D10">
        <v>733</v>
      </c>
      <c r="E10">
        <v>1076</v>
      </c>
      <c r="F10">
        <v>1388</v>
      </c>
      <c r="G10">
        <v>1794</v>
      </c>
      <c r="I10">
        <v>0</v>
      </c>
      <c r="J10">
        <v>31</v>
      </c>
      <c r="K10">
        <v>78</v>
      </c>
      <c r="L10">
        <v>156</v>
      </c>
      <c r="M10">
        <v>250</v>
      </c>
      <c r="N10">
        <v>359</v>
      </c>
      <c r="P10">
        <f t="shared" si="1"/>
        <v>219</v>
      </c>
      <c r="Q10">
        <f t="shared" si="2"/>
        <v>452</v>
      </c>
      <c r="R10">
        <f t="shared" si="3"/>
        <v>655</v>
      </c>
      <c r="S10">
        <f t="shared" si="4"/>
        <v>920</v>
      </c>
      <c r="T10">
        <f t="shared" si="5"/>
        <v>1138</v>
      </c>
      <c r="U10">
        <f t="shared" si="6"/>
        <v>1435</v>
      </c>
      <c r="W10">
        <v>3167</v>
      </c>
      <c r="X10">
        <v>7036</v>
      </c>
      <c r="Y10">
        <v>12933</v>
      </c>
      <c r="Z10">
        <v>21092</v>
      </c>
      <c r="AA10">
        <v>33432</v>
      </c>
      <c r="AB10">
        <v>45490</v>
      </c>
    </row>
    <row r="11" spans="1:28">
      <c r="A11" t="s">
        <v>31</v>
      </c>
      <c r="B11">
        <v>234</v>
      </c>
      <c r="C11">
        <v>483</v>
      </c>
      <c r="D11">
        <v>733</v>
      </c>
      <c r="E11">
        <v>1092</v>
      </c>
      <c r="F11">
        <v>1387</v>
      </c>
      <c r="G11">
        <v>1794</v>
      </c>
      <c r="I11">
        <v>16</v>
      </c>
      <c r="J11">
        <v>31</v>
      </c>
      <c r="K11">
        <v>78</v>
      </c>
      <c r="L11">
        <v>158</v>
      </c>
      <c r="M11">
        <v>249</v>
      </c>
      <c r="N11">
        <v>359</v>
      </c>
      <c r="P11">
        <f t="shared" si="1"/>
        <v>218</v>
      </c>
      <c r="Q11">
        <f>C11-J11</f>
        <v>452</v>
      </c>
      <c r="R11">
        <f t="shared" si="3"/>
        <v>655</v>
      </c>
      <c r="S11">
        <f t="shared" si="4"/>
        <v>934</v>
      </c>
      <c r="T11">
        <f t="shared" si="5"/>
        <v>1138</v>
      </c>
      <c r="U11">
        <f t="shared" si="6"/>
        <v>1435</v>
      </c>
      <c r="W11">
        <v>3167</v>
      </c>
      <c r="X11">
        <v>8097</v>
      </c>
      <c r="Y11">
        <v>14633</v>
      </c>
      <c r="Z11">
        <v>23448</v>
      </c>
      <c r="AA11">
        <v>33416</v>
      </c>
      <c r="AB11">
        <v>45646</v>
      </c>
    </row>
    <row r="12" spans="1:28">
      <c r="A12" t="s">
        <v>32</v>
      </c>
      <c r="B12">
        <v>234</v>
      </c>
      <c r="C12">
        <v>499</v>
      </c>
      <c r="D12">
        <v>733</v>
      </c>
      <c r="E12">
        <v>1092</v>
      </c>
      <c r="F12">
        <v>1388</v>
      </c>
      <c r="G12">
        <v>1809</v>
      </c>
      <c r="I12">
        <v>15</v>
      </c>
      <c r="J12">
        <v>47</v>
      </c>
      <c r="K12">
        <v>78</v>
      </c>
      <c r="L12">
        <v>156</v>
      </c>
      <c r="M12">
        <v>249</v>
      </c>
      <c r="N12">
        <v>374</v>
      </c>
      <c r="P12">
        <f t="shared" si="1"/>
        <v>219</v>
      </c>
      <c r="Q12">
        <f t="shared" si="2"/>
        <v>452</v>
      </c>
      <c r="R12">
        <f t="shared" si="3"/>
        <v>655</v>
      </c>
      <c r="S12">
        <f t="shared" si="4"/>
        <v>936</v>
      </c>
      <c r="T12">
        <f t="shared" si="5"/>
        <v>1139</v>
      </c>
      <c r="U12">
        <f t="shared" si="6"/>
        <v>1435</v>
      </c>
      <c r="W12">
        <v>2668</v>
      </c>
      <c r="X12">
        <v>8127</v>
      </c>
      <c r="Y12">
        <v>14696</v>
      </c>
      <c r="Z12">
        <v>23665</v>
      </c>
      <c r="AA12">
        <v>30374</v>
      </c>
      <c r="AB12">
        <v>41903</v>
      </c>
    </row>
    <row r="13" spans="1:28">
      <c r="A13" t="s">
        <v>5</v>
      </c>
      <c r="B13">
        <f>(SUM(B6:B12) -MAX(B6:B12))/((COUNT(B6:B12)-1)*1000)</f>
        <v>0.23150000000000001</v>
      </c>
      <c r="C13">
        <f t="shared" ref="C13:G13" si="7">(SUM(C6:C12) -MAX(C6:C12))/((COUNT(C6:C12)-1)*1000)</f>
        <v>0.49349999999999999</v>
      </c>
      <c r="D13">
        <f t="shared" si="7"/>
        <v>0.73316666666666663</v>
      </c>
      <c r="E13">
        <f t="shared" si="7"/>
        <v>1.0893333333333333</v>
      </c>
      <c r="F13">
        <f t="shared" si="7"/>
        <v>1.3878333333333333</v>
      </c>
      <c r="G13">
        <f t="shared" si="7"/>
        <v>1.8045</v>
      </c>
      <c r="I13">
        <f>(SUM(I6:I12) -MAX(I6:I12))/((COUNT(I6:I12)-1)*1000)</f>
        <v>1.2833333333333334E-2</v>
      </c>
      <c r="J13">
        <f t="shared" ref="J13:N13" si="8">(SUM(J6:J12) -MAX(J6:J12))/((COUNT(J6:J12)-1)*1000)</f>
        <v>4.1666666666666664E-2</v>
      </c>
      <c r="K13">
        <f t="shared" si="8"/>
        <v>8.5833333333333331E-2</v>
      </c>
      <c r="L13">
        <f t="shared" si="8"/>
        <v>0.15633333333333332</v>
      </c>
      <c r="M13">
        <f t="shared" si="8"/>
        <v>0.24916666666666668</v>
      </c>
      <c r="N13">
        <f t="shared" si="8"/>
        <v>0.36666666666666664</v>
      </c>
      <c r="P13">
        <f>(SUM(P6:P12) -MAX(P6:P12))/((COUNT(P6:P12)-1)*1000)</f>
        <v>0.21866666666666668</v>
      </c>
      <c r="Q13">
        <f t="shared" ref="Q13" si="9">(SUM(Q6:Q12) -MAX(Q6:Q12))/((COUNT(Q6:Q12)-1)*1000)</f>
        <v>0.45183333333333331</v>
      </c>
      <c r="R13">
        <f t="shared" ref="R13" si="10">(SUM(R6:R12) -MAX(R6:R12))/((COUNT(R6:R12)-1)*1000)</f>
        <v>0.64733333333333332</v>
      </c>
      <c r="S13">
        <f t="shared" ref="S13" si="11">(SUM(S6:S12) -MAX(S6:S12))/((COUNT(S6:S12)-1)*1000)</f>
        <v>0.93300000000000005</v>
      </c>
      <c r="T13">
        <f t="shared" ref="T13" si="12">(SUM(T6:T12) -MAX(T6:T12))/((COUNT(T6:T12)-1)*1000)</f>
        <v>1.1386666666666667</v>
      </c>
      <c r="U13">
        <f t="shared" ref="U13" si="13">(SUM(U6:U12) -MAX(U6:U12))/((COUNT(U6:U12)-1)*1000)</f>
        <v>1.4378333333333333</v>
      </c>
      <c r="W13">
        <f>(SUM(W6:W12) -MAX(W6:W12))/((COUNT(W6:W12)-1)*1000)</f>
        <v>2.9175</v>
      </c>
      <c r="X13">
        <f t="shared" ref="X13" si="14">(SUM(X6:X12) -MAX(X6:X12))/((COUNT(X6:X12)-1)*1000)</f>
        <v>7.5715000000000003</v>
      </c>
      <c r="Y13">
        <f t="shared" ref="Y13" si="15">(SUM(Y6:Y12) -MAX(Y6:Y12))/((COUNT(Y6:Y12)-1)*1000)</f>
        <v>13.7935</v>
      </c>
      <c r="Z13">
        <f t="shared" ref="Z13" si="16">(SUM(Z6:Z12) -MAX(Z6:Z12))/((COUNT(Z6:Z12)-1)*1000)</f>
        <v>22.306166666666666</v>
      </c>
      <c r="AA13">
        <f t="shared" ref="AA13" si="17">(SUM(AA6:AA12) -MAX(AA6:AA12))/((COUNT(AA6:AA12)-1)*1000)</f>
        <v>31.897666666666666</v>
      </c>
      <c r="AB13">
        <f t="shared" ref="AB13" si="18">(SUM(AB6:AB12) -MAX(AB6:AB12))/((COUNT(AB6:AB12)-1)*1000)</f>
        <v>43.722499999999997</v>
      </c>
    </row>
    <row r="14" spans="1:28">
      <c r="A14" t="s">
        <v>7</v>
      </c>
      <c r="B14">
        <f>STDEV(B7:B12)/1000</f>
        <v>6.1237243569579455E-3</v>
      </c>
      <c r="C14">
        <f t="shared" ref="C14:G14" si="19">STDEV(C7:C12)/1000</f>
        <v>8.1424811943289124E-3</v>
      </c>
      <c r="D14">
        <f t="shared" si="19"/>
        <v>4.0824829046386303E-4</v>
      </c>
      <c r="E14">
        <f t="shared" si="19"/>
        <v>6.5319726474170553E-3</v>
      </c>
      <c r="F14">
        <f t="shared" si="19"/>
        <v>4.0824829046386303E-4</v>
      </c>
      <c r="G14">
        <f t="shared" si="19"/>
        <v>1.2988456413292536E-2</v>
      </c>
      <c r="I14">
        <f>STDEV(I7:I12)/1000</f>
        <v>6.3060817205826533E-3</v>
      </c>
      <c r="J14">
        <f t="shared" ref="J14:N14" si="20">STDEV(J7:J12)/1000</f>
        <v>8.262364471909164E-3</v>
      </c>
      <c r="K14">
        <f t="shared" si="20"/>
        <v>8.5887523346914098E-3</v>
      </c>
      <c r="L14">
        <f t="shared" si="20"/>
        <v>8.1649658092891424E-4</v>
      </c>
      <c r="M14">
        <f t="shared" si="20"/>
        <v>4.0824829046386298E-4</v>
      </c>
      <c r="N14">
        <f t="shared" si="20"/>
        <v>8.778762251403921E-3</v>
      </c>
      <c r="P14">
        <f>STDEV(P7:P12)/1000</f>
        <v>5.1639777949056501E-4</v>
      </c>
      <c r="Q14">
        <f t="shared" ref="Q14:U14" si="21">STDEV(Q7:Q12)/1000</f>
        <v>4.0824829046386303E-4</v>
      </c>
      <c r="R14">
        <f t="shared" si="21"/>
        <v>8.4063468086141742E-3</v>
      </c>
      <c r="S14">
        <f t="shared" si="21"/>
        <v>6.4187226143524855E-3</v>
      </c>
      <c r="T14">
        <f t="shared" si="21"/>
        <v>5.1639777949432221E-4</v>
      </c>
      <c r="U14">
        <f t="shared" si="21"/>
        <v>6.4627135683697785E-3</v>
      </c>
      <c r="W14">
        <f>STDEV(W7:W12)/1000</f>
        <v>0.25768249196766779</v>
      </c>
      <c r="X14">
        <f t="shared" ref="X14:AB14" si="22">STDEV(X7:X12)/1000</f>
        <v>0.55580596134502069</v>
      </c>
      <c r="Y14">
        <f t="shared" si="22"/>
        <v>0.89458653391756959</v>
      </c>
      <c r="Z14">
        <f t="shared" si="22"/>
        <v>1.276357003349768</v>
      </c>
      <c r="AA14">
        <f t="shared" si="22"/>
        <v>1.5750294812055434</v>
      </c>
      <c r="AB14">
        <f t="shared" si="22"/>
        <v>1.8938832769383636</v>
      </c>
    </row>
    <row r="15" spans="1:28">
      <c r="A15" t="s">
        <v>8</v>
      </c>
      <c r="B15">
        <f>CONFIDENCE(0.05,B14,5)/2</f>
        <v>2.6837912155757357E-3</v>
      </c>
      <c r="C15">
        <f t="shared" ref="C15:G15" si="23">CONFIDENCE(0.05,C14,5)/2</f>
        <v>3.5685341515251079E-3</v>
      </c>
      <c r="D15">
        <f t="shared" si="23"/>
        <v>1.7891941437171572E-4</v>
      </c>
      <c r="E15">
        <f t="shared" si="23"/>
        <v>2.8627106299453681E-3</v>
      </c>
      <c r="F15">
        <f t="shared" si="23"/>
        <v>1.7891941437171572E-4</v>
      </c>
      <c r="G15">
        <f t="shared" si="23"/>
        <v>5.6923374067736829E-3</v>
      </c>
      <c r="I15">
        <f>CONFIDENCE(0.05,I14,5)/2</f>
        <v>2.7637113854043238E-3</v>
      </c>
      <c r="J15">
        <f t="shared" ref="J15" si="24">CONFIDENCE(0.05,J14,5)/2</f>
        <v>3.6210743490437528E-3</v>
      </c>
      <c r="K15">
        <f t="shared" ref="K15" si="25">CONFIDENCE(0.05,K14,5)/2</f>
        <v>3.7641175083933799E-3</v>
      </c>
      <c r="L15">
        <f t="shared" ref="L15" si="26">CONFIDENCE(0.05,L14,5)/2</f>
        <v>3.5783882874395212E-4</v>
      </c>
      <c r="M15">
        <f t="shared" ref="M15" si="27">CONFIDENCE(0.05,M14,5)/2</f>
        <v>1.7891941437171569E-4</v>
      </c>
      <c r="N15">
        <f t="shared" ref="N15" si="28">CONFIDENCE(0.05,N14,5)/2</f>
        <v>3.8473914958591779E-3</v>
      </c>
      <c r="P15">
        <f>CONFIDENCE(0.05,P14,5)/2</f>
        <v>2.263171468135877E-4</v>
      </c>
      <c r="Q15">
        <f t="shared" ref="Q15" si="29">CONFIDENCE(0.05,Q14,5)/2</f>
        <v>1.7891941437171572E-4</v>
      </c>
      <c r="R15">
        <f t="shared" ref="R15" si="30">CONFIDENCE(0.05,R14,5)/2</f>
        <v>3.6841762308271668E-3</v>
      </c>
      <c r="S15">
        <f t="shared" ref="S15" si="31">CONFIDENCE(0.05,S14,5)/2</f>
        <v>2.8130775265942992E-3</v>
      </c>
      <c r="T15">
        <f t="shared" ref="T15" si="32">CONFIDENCE(0.05,T14,5)/2</f>
        <v>2.2631714681523434E-4</v>
      </c>
      <c r="U15">
        <f t="shared" ref="U15" si="33">CONFIDENCE(0.05,U14,5)/2</f>
        <v>2.8323570579831116E-3</v>
      </c>
      <c r="W15">
        <f>CONFIDENCE(0.05,W14,5)/2</f>
        <v>0.11293225626080236</v>
      </c>
      <c r="X15">
        <f t="shared" ref="X15" si="34">CONFIDENCE(0.05,X14,5)/2</f>
        <v>0.24358822665287341</v>
      </c>
      <c r="Y15">
        <f t="shared" ref="Y15" si="35">CONFIDENCE(0.05,Y14,5)/2</f>
        <v>0.39206263073751313</v>
      </c>
      <c r="Z15">
        <f t="shared" ref="Z15" si="36">CONFIDENCE(0.05,Z14,5)/2</f>
        <v>0.5593778416294255</v>
      </c>
      <c r="AA15">
        <f t="shared" ref="AA15" si="37">CONFIDENCE(0.05,AA14,5)/2</f>
        <v>0.6902744211746491</v>
      </c>
      <c r="AB15">
        <f t="shared" ref="AB15" si="38">CONFIDENCE(0.05,AB14,5)/2</f>
        <v>0.83001569072875803</v>
      </c>
    </row>
    <row r="16" spans="1:28">
      <c r="A16" t="s">
        <v>86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28">
      <c r="A17" t="s">
        <v>88</v>
      </c>
      <c r="B17">
        <v>160</v>
      </c>
      <c r="C17">
        <v>310</v>
      </c>
      <c r="D17">
        <v>460</v>
      </c>
      <c r="E17">
        <v>610</v>
      </c>
      <c r="F17">
        <v>760</v>
      </c>
      <c r="G17">
        <v>910</v>
      </c>
      <c r="H17" t="s">
        <v>27</v>
      </c>
    </row>
    <row r="19" spans="1:28">
      <c r="A19" s="1" t="s">
        <v>42</v>
      </c>
      <c r="B19" s="1"/>
    </row>
    <row r="20" spans="1:28">
      <c r="A20" t="s">
        <v>46</v>
      </c>
    </row>
    <row r="21" spans="1:28">
      <c r="A21" t="s">
        <v>43</v>
      </c>
      <c r="B21" t="s">
        <v>84</v>
      </c>
      <c r="I21" t="s">
        <v>79</v>
      </c>
      <c r="P21" t="s">
        <v>82</v>
      </c>
      <c r="W21" t="s">
        <v>30</v>
      </c>
    </row>
    <row r="22" spans="1:28">
      <c r="A22" t="s">
        <v>6</v>
      </c>
      <c r="B22">
        <v>5</v>
      </c>
      <c r="C22">
        <v>10</v>
      </c>
      <c r="D22">
        <v>15</v>
      </c>
      <c r="E22">
        <v>20</v>
      </c>
      <c r="F22">
        <v>25</v>
      </c>
      <c r="G22">
        <v>30</v>
      </c>
      <c r="I22">
        <v>5</v>
      </c>
      <c r="J22">
        <v>10</v>
      </c>
      <c r="K22">
        <v>15</v>
      </c>
      <c r="L22">
        <v>20</v>
      </c>
      <c r="M22">
        <v>25</v>
      </c>
      <c r="N22">
        <v>30</v>
      </c>
      <c r="P22">
        <v>5</v>
      </c>
      <c r="Q22">
        <v>10</v>
      </c>
      <c r="R22">
        <v>15</v>
      </c>
      <c r="S22">
        <v>20</v>
      </c>
      <c r="T22">
        <v>25</v>
      </c>
      <c r="U22">
        <v>30</v>
      </c>
      <c r="W22">
        <v>5</v>
      </c>
      <c r="X22">
        <v>10</v>
      </c>
      <c r="Y22">
        <v>15</v>
      </c>
      <c r="Z22">
        <v>20</v>
      </c>
      <c r="AA22">
        <v>25</v>
      </c>
      <c r="AB22">
        <v>30</v>
      </c>
    </row>
    <row r="24" spans="1:28">
      <c r="A24" t="s">
        <v>0</v>
      </c>
      <c r="B24">
        <v>11638</v>
      </c>
      <c r="C24">
        <v>5351</v>
      </c>
      <c r="D24">
        <v>144178</v>
      </c>
      <c r="E24">
        <v>63415</v>
      </c>
      <c r="F24">
        <v>334517</v>
      </c>
      <c r="G24">
        <v>630345</v>
      </c>
      <c r="I24">
        <v>31</v>
      </c>
      <c r="J24">
        <v>63</v>
      </c>
      <c r="K24">
        <v>140</v>
      </c>
      <c r="L24">
        <v>218</v>
      </c>
      <c r="M24">
        <v>327</v>
      </c>
      <c r="N24">
        <v>468</v>
      </c>
      <c r="P24">
        <f>B24-I24</f>
        <v>11607</v>
      </c>
      <c r="Q24">
        <f t="shared" ref="Q24:Q30" si="39">C24-J24</f>
        <v>5288</v>
      </c>
      <c r="R24">
        <f t="shared" ref="R24:R30" si="40">D24-K24</f>
        <v>144038</v>
      </c>
      <c r="S24">
        <f t="shared" ref="S24:S30" si="41">E24-L24</f>
        <v>63197</v>
      </c>
      <c r="T24">
        <f t="shared" ref="T24:T30" si="42">F24-M24</f>
        <v>334190</v>
      </c>
      <c r="U24">
        <f>G24-N24</f>
        <v>629877</v>
      </c>
      <c r="W24">
        <v>4352</v>
      </c>
      <c r="X24">
        <v>11029</v>
      </c>
      <c r="Y24">
        <v>22340</v>
      </c>
      <c r="Z24">
        <v>35100</v>
      </c>
      <c r="AA24">
        <v>52635</v>
      </c>
      <c r="AB24">
        <v>70027</v>
      </c>
    </row>
    <row r="25" spans="1:28">
      <c r="A25" t="s">
        <v>1</v>
      </c>
      <c r="B25">
        <v>515</v>
      </c>
      <c r="C25">
        <v>764</v>
      </c>
      <c r="D25">
        <v>1201</v>
      </c>
      <c r="E25">
        <v>1654</v>
      </c>
      <c r="F25">
        <v>2340</v>
      </c>
      <c r="G25">
        <v>3011</v>
      </c>
      <c r="I25">
        <v>15</v>
      </c>
      <c r="J25">
        <v>46</v>
      </c>
      <c r="K25">
        <v>109</v>
      </c>
      <c r="L25">
        <v>188</v>
      </c>
      <c r="M25">
        <v>297</v>
      </c>
      <c r="N25">
        <v>421</v>
      </c>
      <c r="P25">
        <f t="shared" ref="P25:P30" si="43">B25-I25</f>
        <v>500</v>
      </c>
      <c r="Q25">
        <f t="shared" si="39"/>
        <v>718</v>
      </c>
      <c r="R25">
        <f t="shared" si="40"/>
        <v>1092</v>
      </c>
      <c r="S25">
        <f t="shared" si="41"/>
        <v>1466</v>
      </c>
      <c r="T25">
        <f t="shared" si="42"/>
        <v>2043</v>
      </c>
      <c r="U25">
        <f t="shared" ref="U25:U30" si="44">G25-N25</f>
        <v>2590</v>
      </c>
      <c r="W25">
        <v>4352</v>
      </c>
      <c r="X25">
        <v>11029</v>
      </c>
      <c r="Y25">
        <v>22340</v>
      </c>
      <c r="Z25">
        <v>35100</v>
      </c>
      <c r="AA25">
        <v>52635</v>
      </c>
      <c r="AB25">
        <v>70027</v>
      </c>
    </row>
    <row r="26" spans="1:28">
      <c r="A26" t="s">
        <v>2</v>
      </c>
      <c r="B26">
        <v>531</v>
      </c>
      <c r="C26">
        <v>780</v>
      </c>
      <c r="D26">
        <v>1186</v>
      </c>
      <c r="E26">
        <v>1654</v>
      </c>
      <c r="F26">
        <v>2371</v>
      </c>
      <c r="G26">
        <v>3010</v>
      </c>
      <c r="I26">
        <v>16</v>
      </c>
      <c r="J26">
        <v>62</v>
      </c>
      <c r="K26">
        <v>109</v>
      </c>
      <c r="L26">
        <v>188</v>
      </c>
      <c r="M26">
        <v>296</v>
      </c>
      <c r="N26">
        <v>436</v>
      </c>
      <c r="P26">
        <f t="shared" si="43"/>
        <v>515</v>
      </c>
      <c r="Q26">
        <f t="shared" si="39"/>
        <v>718</v>
      </c>
      <c r="R26">
        <f t="shared" si="40"/>
        <v>1077</v>
      </c>
      <c r="S26">
        <f t="shared" si="41"/>
        <v>1466</v>
      </c>
      <c r="T26">
        <f t="shared" si="42"/>
        <v>2075</v>
      </c>
      <c r="U26">
        <f t="shared" si="44"/>
        <v>2574</v>
      </c>
      <c r="W26">
        <v>5242</v>
      </c>
      <c r="X26">
        <v>12776</v>
      </c>
      <c r="Y26">
        <v>25163</v>
      </c>
      <c r="Z26">
        <v>38158</v>
      </c>
      <c r="AA26">
        <v>57128</v>
      </c>
      <c r="AB26">
        <v>75552</v>
      </c>
    </row>
    <row r="27" spans="1:28">
      <c r="A27" t="s">
        <v>3</v>
      </c>
      <c r="B27">
        <v>530</v>
      </c>
      <c r="C27">
        <v>764</v>
      </c>
      <c r="D27">
        <v>1186</v>
      </c>
      <c r="E27">
        <v>1654</v>
      </c>
      <c r="F27">
        <v>2356</v>
      </c>
      <c r="G27">
        <v>3011</v>
      </c>
      <c r="I27">
        <v>16</v>
      </c>
      <c r="J27">
        <v>46</v>
      </c>
      <c r="K27">
        <v>94</v>
      </c>
      <c r="L27">
        <v>188</v>
      </c>
      <c r="M27">
        <v>281</v>
      </c>
      <c r="N27">
        <v>421</v>
      </c>
      <c r="P27">
        <f t="shared" si="43"/>
        <v>514</v>
      </c>
      <c r="Q27">
        <f t="shared" si="39"/>
        <v>718</v>
      </c>
      <c r="R27">
        <f t="shared" si="40"/>
        <v>1092</v>
      </c>
      <c r="S27">
        <f t="shared" si="41"/>
        <v>1466</v>
      </c>
      <c r="T27">
        <f t="shared" si="42"/>
        <v>2075</v>
      </c>
      <c r="U27">
        <f t="shared" si="44"/>
        <v>2590</v>
      </c>
      <c r="W27">
        <v>5258</v>
      </c>
      <c r="X27">
        <v>12776</v>
      </c>
      <c r="Y27">
        <v>25054</v>
      </c>
      <c r="Z27">
        <v>38736</v>
      </c>
      <c r="AA27">
        <v>57222</v>
      </c>
      <c r="AB27">
        <v>75395</v>
      </c>
    </row>
    <row r="28" spans="1:28">
      <c r="A28" t="s">
        <v>4</v>
      </c>
      <c r="B28">
        <v>515</v>
      </c>
      <c r="C28">
        <v>780</v>
      </c>
      <c r="D28">
        <v>1186</v>
      </c>
      <c r="E28">
        <v>1653</v>
      </c>
      <c r="F28">
        <v>2324</v>
      </c>
      <c r="G28">
        <v>3011</v>
      </c>
      <c r="I28">
        <v>16</v>
      </c>
      <c r="J28">
        <v>63</v>
      </c>
      <c r="K28">
        <v>94</v>
      </c>
      <c r="L28">
        <v>172</v>
      </c>
      <c r="M28">
        <v>281</v>
      </c>
      <c r="N28">
        <v>421</v>
      </c>
      <c r="P28">
        <f t="shared" si="43"/>
        <v>499</v>
      </c>
      <c r="Q28">
        <f t="shared" si="39"/>
        <v>717</v>
      </c>
      <c r="R28">
        <f t="shared" si="40"/>
        <v>1092</v>
      </c>
      <c r="S28">
        <f t="shared" si="41"/>
        <v>1481</v>
      </c>
      <c r="T28">
        <f t="shared" si="42"/>
        <v>2043</v>
      </c>
      <c r="U28">
        <f t="shared" si="44"/>
        <v>2590</v>
      </c>
      <c r="W28">
        <v>4352</v>
      </c>
      <c r="X28">
        <v>11029</v>
      </c>
      <c r="Y28">
        <v>22340</v>
      </c>
      <c r="Z28">
        <v>35100</v>
      </c>
      <c r="AA28">
        <v>52635</v>
      </c>
      <c r="AB28">
        <v>70027</v>
      </c>
    </row>
    <row r="29" spans="1:28">
      <c r="A29" t="s">
        <v>31</v>
      </c>
      <c r="B29">
        <v>515</v>
      </c>
      <c r="C29">
        <v>765</v>
      </c>
      <c r="D29">
        <v>1186</v>
      </c>
      <c r="E29">
        <v>1654</v>
      </c>
      <c r="F29">
        <v>2340</v>
      </c>
      <c r="G29">
        <v>3011</v>
      </c>
      <c r="I29">
        <v>15</v>
      </c>
      <c r="J29">
        <v>47</v>
      </c>
      <c r="K29">
        <v>110</v>
      </c>
      <c r="L29">
        <v>187</v>
      </c>
      <c r="M29">
        <v>281</v>
      </c>
      <c r="N29">
        <v>421</v>
      </c>
      <c r="P29">
        <f t="shared" si="43"/>
        <v>500</v>
      </c>
      <c r="Q29">
        <f t="shared" si="39"/>
        <v>718</v>
      </c>
      <c r="R29">
        <f t="shared" si="40"/>
        <v>1076</v>
      </c>
      <c r="S29">
        <f t="shared" si="41"/>
        <v>1467</v>
      </c>
      <c r="T29">
        <f t="shared" si="42"/>
        <v>2059</v>
      </c>
      <c r="U29">
        <f t="shared" si="44"/>
        <v>2590</v>
      </c>
      <c r="W29">
        <v>5242</v>
      </c>
      <c r="X29">
        <v>12776</v>
      </c>
      <c r="Y29">
        <v>25163</v>
      </c>
      <c r="Z29">
        <v>38158</v>
      </c>
      <c r="AA29">
        <v>57128</v>
      </c>
      <c r="AB29">
        <v>75552</v>
      </c>
    </row>
    <row r="30" spans="1:28">
      <c r="A30" t="s">
        <v>32</v>
      </c>
      <c r="B30">
        <v>531</v>
      </c>
      <c r="C30">
        <v>764</v>
      </c>
      <c r="D30">
        <v>1185</v>
      </c>
      <c r="E30">
        <v>1654</v>
      </c>
      <c r="F30">
        <v>2340</v>
      </c>
      <c r="G30">
        <v>3011</v>
      </c>
      <c r="I30">
        <v>16</v>
      </c>
      <c r="J30">
        <v>47</v>
      </c>
      <c r="K30">
        <v>109</v>
      </c>
      <c r="L30">
        <v>187</v>
      </c>
      <c r="M30">
        <v>281</v>
      </c>
      <c r="N30">
        <v>421</v>
      </c>
      <c r="P30">
        <f t="shared" si="43"/>
        <v>515</v>
      </c>
      <c r="Q30">
        <f t="shared" si="39"/>
        <v>717</v>
      </c>
      <c r="R30">
        <f t="shared" si="40"/>
        <v>1076</v>
      </c>
      <c r="S30">
        <f t="shared" si="41"/>
        <v>1467</v>
      </c>
      <c r="T30">
        <f t="shared" si="42"/>
        <v>2059</v>
      </c>
      <c r="U30">
        <f t="shared" si="44"/>
        <v>2590</v>
      </c>
      <c r="W30">
        <v>5258</v>
      </c>
      <c r="X30">
        <v>12776</v>
      </c>
      <c r="Y30">
        <v>25054</v>
      </c>
      <c r="Z30">
        <v>38736</v>
      </c>
      <c r="AA30">
        <v>57222</v>
      </c>
      <c r="AB30">
        <v>75395</v>
      </c>
    </row>
    <row r="31" spans="1:28">
      <c r="A31" t="s">
        <v>5</v>
      </c>
      <c r="B31">
        <f>(SUM(B24:B30) -MAX(B24:B30))/((COUNT(B24:B30)-1)*1000)</f>
        <v>0.52283333333333337</v>
      </c>
      <c r="C31">
        <f t="shared" ref="C31" si="45">(SUM(C24:C30) -MAX(C24:C30))/((COUNT(C24:C30)-1)*1000)</f>
        <v>0.76949999999999996</v>
      </c>
      <c r="D31">
        <f t="shared" ref="D31" si="46">(SUM(D24:D30) -MAX(D24:D30))/((COUNT(D24:D30)-1)*1000)</f>
        <v>1.1883333333333332</v>
      </c>
      <c r="E31">
        <f t="shared" ref="E31" si="47">(SUM(E24:E30) -MAX(E24:E30))/((COUNT(E24:E30)-1)*1000)</f>
        <v>1.6538333333333333</v>
      </c>
      <c r="F31">
        <f t="shared" ref="F31" si="48">(SUM(F24:F30) -MAX(F24:F30))/((COUNT(F24:F30)-1)*1000)</f>
        <v>2.3451666666666666</v>
      </c>
      <c r="G31">
        <f t="shared" ref="G31" si="49">(SUM(G24:G30) -MAX(G24:G30))/((COUNT(G24:G30)-1)*1000)</f>
        <v>3.0108333333333333</v>
      </c>
      <c r="I31">
        <f>(SUM(I24:I30) -MAX(I24:I30))/((COUNT(I24:I30)-1)*1000)</f>
        <v>1.5666666666666666E-2</v>
      </c>
      <c r="J31">
        <f t="shared" ref="J31" si="50">(SUM(J24:J30) -MAX(J24:J30))/((COUNT(J24:J30)-1)*1000)</f>
        <v>5.1833333333333335E-2</v>
      </c>
      <c r="K31">
        <f t="shared" ref="K31" si="51">(SUM(K24:K30) -MAX(K24:K30))/((COUNT(K24:K30)-1)*1000)</f>
        <v>0.10416666666666667</v>
      </c>
      <c r="L31">
        <f t="shared" ref="L31" si="52">(SUM(L24:L30) -MAX(L24:L30))/((COUNT(L24:L30)-1)*1000)</f>
        <v>0.185</v>
      </c>
      <c r="M31">
        <f t="shared" ref="M31" si="53">(SUM(M24:M30) -MAX(M24:M30))/((COUNT(M24:M30)-1)*1000)</f>
        <v>0.28616666666666668</v>
      </c>
      <c r="N31">
        <f t="shared" ref="N31" si="54">(SUM(N24:N30) -MAX(N24:N30))/((COUNT(N24:N30)-1)*1000)</f>
        <v>0.42349999999999999</v>
      </c>
      <c r="P31">
        <f>(SUM(P24:P30) -MAX(P24:P30))/((COUNT(P24:P30)-1)*1000)</f>
        <v>0.50716666666666665</v>
      </c>
      <c r="Q31">
        <f t="shared" ref="Q31" si="55">(SUM(Q24:Q30) -MAX(Q24:Q30))/((COUNT(Q24:Q30)-1)*1000)</f>
        <v>0.71766666666666667</v>
      </c>
      <c r="R31">
        <f t="shared" ref="R31" si="56">(SUM(R24:R30) -MAX(R24:R30))/((COUNT(R24:R30)-1)*1000)</f>
        <v>1.0841666666666667</v>
      </c>
      <c r="S31">
        <f t="shared" ref="S31" si="57">(SUM(S24:S30) -MAX(S24:S30))/((COUNT(S24:S30)-1)*1000)</f>
        <v>1.4688333333333334</v>
      </c>
      <c r="T31">
        <f t="shared" ref="T31" si="58">(SUM(T24:T30) -MAX(T24:T30))/((COUNT(T24:T30)-1)*1000)</f>
        <v>2.0590000000000002</v>
      </c>
      <c r="U31">
        <f t="shared" ref="U31" si="59">(SUM(U24:U30) -MAX(U24:U30))/((COUNT(U24:U30)-1)*1000)</f>
        <v>2.5873333333333335</v>
      </c>
      <c r="W31">
        <f>(SUM(W24:W30) -MAX(W24:W30))/((COUNT(W24:W30)-1)*1000)</f>
        <v>4.799666666666667</v>
      </c>
      <c r="X31">
        <f t="shared" ref="X31" si="60">(SUM(X24:X30) -MAX(X24:X30))/((COUNT(X24:X30)-1)*1000)</f>
        <v>11.9025</v>
      </c>
      <c r="Y31">
        <f t="shared" ref="Y31" si="61">(SUM(Y24:Y30) -MAX(Y24:Y30))/((COUNT(Y24:Y30)-1)*1000)</f>
        <v>23.715166666666665</v>
      </c>
      <c r="Z31">
        <f t="shared" ref="Z31" si="62">(SUM(Z24:Z30) -MAX(Z24:Z30))/((COUNT(Z24:Z30)-1)*1000)</f>
        <v>36.725333333333332</v>
      </c>
      <c r="AA31">
        <f t="shared" ref="AA31" si="63">(SUM(AA24:AA30) -MAX(AA24:AA30))/((COUNT(AA24:AA30)-1)*1000)</f>
        <v>54.897166666666664</v>
      </c>
      <c r="AB31">
        <f t="shared" ref="AB31" si="64">(SUM(AB24:AB30) -MAX(AB24:AB30))/((COUNT(AB24:AB30)-1)*1000)</f>
        <v>72.737166666666667</v>
      </c>
    </row>
    <row r="32" spans="1:28">
      <c r="A32" t="s">
        <v>7</v>
      </c>
      <c r="B32">
        <f>STDEV(B25:B30)/1000</f>
        <v>8.58875233469048E-3</v>
      </c>
      <c r="C32">
        <f t="shared" ref="C32:G32" si="65">STDEV(C25:C30)/1000</f>
        <v>8.1424811943289124E-3</v>
      </c>
      <c r="D32">
        <f t="shared" si="65"/>
        <v>6.2182527020691949E-3</v>
      </c>
      <c r="E32">
        <f t="shared" si="65"/>
        <v>4.0824829046386298E-4</v>
      </c>
      <c r="F32">
        <f t="shared" si="65"/>
        <v>1.6203908993400892E-2</v>
      </c>
      <c r="G32">
        <f t="shared" si="65"/>
        <v>4.0824829046386303E-4</v>
      </c>
      <c r="I32">
        <f>STDEV(I25:I30)/1000</f>
        <v>5.1639777949430757E-4</v>
      </c>
      <c r="J32">
        <f t="shared" ref="J32:N32" si="66">STDEV(J25:J30)/1000</f>
        <v>8.2804991797998991E-3</v>
      </c>
      <c r="K32">
        <f t="shared" si="66"/>
        <v>7.8845841150099443E-3</v>
      </c>
      <c r="L32">
        <f t="shared" si="66"/>
        <v>6.3874877690685249E-3</v>
      </c>
      <c r="M32">
        <f t="shared" si="66"/>
        <v>8.0104098937983682E-3</v>
      </c>
      <c r="N32">
        <f t="shared" si="66"/>
        <v>6.1237243569579455E-3</v>
      </c>
      <c r="P32">
        <f>STDEV(P25:P30)/1000</f>
        <v>8.2320511822176583E-3</v>
      </c>
      <c r="Q32">
        <f t="shared" ref="Q32:U32" si="67">STDEV(Q25:Q30)/1000</f>
        <v>5.1639777949432221E-4</v>
      </c>
      <c r="R32">
        <f t="shared" si="67"/>
        <v>8.5887523346877669E-3</v>
      </c>
      <c r="S32">
        <f t="shared" si="67"/>
        <v>5.9805239458421066E-3</v>
      </c>
      <c r="T32">
        <f t="shared" si="67"/>
        <v>1.4310835055998655E-2</v>
      </c>
      <c r="U32">
        <f t="shared" si="67"/>
        <v>6.5319726474598293E-3</v>
      </c>
      <c r="W32">
        <f>STDEV(W25:W30)/1000</f>
        <v>0.46378040780812274</v>
      </c>
      <c r="X32">
        <f t="shared" ref="X32:AB32" si="68">STDEV(X25:X30)/1000</f>
        <v>0.90214692077658543</v>
      </c>
      <c r="Y32">
        <f t="shared" si="68"/>
        <v>1.4304780552901533</v>
      </c>
      <c r="Z32">
        <f t="shared" si="68"/>
        <v>1.7476057526417688</v>
      </c>
      <c r="AA32">
        <f t="shared" si="68"/>
        <v>2.344822779372977</v>
      </c>
      <c r="AB32">
        <f t="shared" si="68"/>
        <v>2.8134367595522738</v>
      </c>
    </row>
    <row r="33" spans="1:28">
      <c r="A33" t="s">
        <v>8</v>
      </c>
      <c r="B33">
        <f>CONFIDENCE(0.05,B32,5)/2</f>
        <v>3.7641175083929731E-3</v>
      </c>
      <c r="C33">
        <f t="shared" ref="C33" si="69">CONFIDENCE(0.05,C32,5)/2</f>
        <v>3.5685341515251079E-3</v>
      </c>
      <c r="D33">
        <f t="shared" ref="D33" si="70">CONFIDENCE(0.05,D32,5)/2</f>
        <v>2.7252193281824418E-3</v>
      </c>
      <c r="E33">
        <f t="shared" ref="E33" si="71">CONFIDENCE(0.05,E32,5)/2</f>
        <v>1.7891941437171569E-4</v>
      </c>
      <c r="F33">
        <f t="shared" ref="F33" si="72">CONFIDENCE(0.05,F32,5)/2</f>
        <v>7.1015457390837342E-3</v>
      </c>
      <c r="G33">
        <f t="shared" ref="G33" si="73">CONFIDENCE(0.05,G32,5)/2</f>
        <v>1.7891941437171572E-4</v>
      </c>
      <c r="I33">
        <f>CONFIDENCE(0.05,I32,5)/2</f>
        <v>2.2631714681522788E-4</v>
      </c>
      <c r="J33">
        <f t="shared" ref="J33" si="74">CONFIDENCE(0.05,J32,5)/2</f>
        <v>3.6290220891602534E-3</v>
      </c>
      <c r="K33">
        <f t="shared" ref="K33" si="75">CONFIDENCE(0.05,K32,5)/2</f>
        <v>3.4555078499391373E-3</v>
      </c>
      <c r="L33">
        <f t="shared" ref="L33" si="76">CONFIDENCE(0.05,L32,5)/2</f>
        <v>2.799388503622892E-3</v>
      </c>
      <c r="M33">
        <f t="shared" ref="M33" si="77">CONFIDENCE(0.05,M32,5)/2</f>
        <v>3.5106524155859649E-3</v>
      </c>
      <c r="N33">
        <f t="shared" ref="N33" si="78">CONFIDENCE(0.05,N32,5)/2</f>
        <v>2.6837912155757357E-3</v>
      </c>
      <c r="P33">
        <f>CONFIDENCE(0.05,P32,5)/2</f>
        <v>3.6077892081969368E-3</v>
      </c>
      <c r="Q33">
        <f t="shared" ref="Q33" si="79">CONFIDENCE(0.05,Q32,5)/2</f>
        <v>2.2631714681523434E-4</v>
      </c>
      <c r="R33">
        <f t="shared" ref="R33" si="80">CONFIDENCE(0.05,R32,5)/2</f>
        <v>3.7641175083917839E-3</v>
      </c>
      <c r="S33">
        <f t="shared" ref="S33" si="81">CONFIDENCE(0.05,S32,5)/2</f>
        <v>2.6210320214943026E-3</v>
      </c>
      <c r="T33">
        <f t="shared" ref="T33" si="82">CONFIDENCE(0.05,T32,5)/2</f>
        <v>6.2718847505281736E-3</v>
      </c>
      <c r="U33">
        <f t="shared" ref="U33" si="83">CONFIDENCE(0.05,U32,5)/2</f>
        <v>2.8627106299641144E-3</v>
      </c>
      <c r="W33">
        <f>CONFIDENCE(0.05,W32,5)/2</f>
        <v>0.20325699066080941</v>
      </c>
      <c r="X33">
        <f t="shared" ref="X33" si="84">CONFIDENCE(0.05,X32,5)/2</f>
        <v>0.39537605548621635</v>
      </c>
      <c r="Y33">
        <f t="shared" ref="Y33" si="85">CONFIDENCE(0.05,Y32,5)/2</f>
        <v>0.62692312963098629</v>
      </c>
      <c r="Z33">
        <f t="shared" ref="Z33" si="86">CONFIDENCE(0.05,Z32,5)/2</f>
        <v>0.765907917115906</v>
      </c>
      <c r="AA33">
        <f t="shared" ref="AA33" si="87">CONFIDENCE(0.05,AA32,5)/2</f>
        <v>1.0276450098889214</v>
      </c>
      <c r="AB33">
        <f t="shared" ref="AB33" si="88">CONFIDENCE(0.05,AB32,5)/2</f>
        <v>1.2330203681171519</v>
      </c>
    </row>
    <row r="34" spans="1:28">
      <c r="A34" t="s">
        <v>87</v>
      </c>
      <c r="B34">
        <v>4</v>
      </c>
      <c r="C34">
        <v>4</v>
      </c>
      <c r="D34">
        <v>4</v>
      </c>
      <c r="E34">
        <v>4</v>
      </c>
      <c r="F34">
        <v>4</v>
      </c>
      <c r="G34">
        <v>4</v>
      </c>
    </row>
    <row r="35" spans="1:28">
      <c r="A35" t="s">
        <v>85</v>
      </c>
      <c r="B35">
        <v>260</v>
      </c>
      <c r="C35">
        <v>470</v>
      </c>
      <c r="D35">
        <v>710</v>
      </c>
      <c r="E35">
        <v>920</v>
      </c>
      <c r="F35">
        <v>1160</v>
      </c>
      <c r="G35">
        <v>1370</v>
      </c>
      <c r="H35" t="s">
        <v>27</v>
      </c>
    </row>
    <row r="37" spans="1:28">
      <c r="A37" s="1" t="s">
        <v>48</v>
      </c>
      <c r="B37" s="1"/>
    </row>
    <row r="38" spans="1:28">
      <c r="A38" s="1" t="s">
        <v>48</v>
      </c>
      <c r="B38" s="1"/>
    </row>
    <row r="39" spans="1:28">
      <c r="A39" t="s">
        <v>44</v>
      </c>
      <c r="B39" s="1"/>
    </row>
    <row r="40" spans="1:28">
      <c r="A40" t="s">
        <v>43</v>
      </c>
      <c r="B40" t="s">
        <v>83</v>
      </c>
      <c r="I40" t="s">
        <v>80</v>
      </c>
      <c r="P40" t="s">
        <v>81</v>
      </c>
      <c r="W40" t="s">
        <v>30</v>
      </c>
    </row>
    <row r="41" spans="1:28">
      <c r="A41" t="s">
        <v>6</v>
      </c>
      <c r="B41">
        <v>5</v>
      </c>
      <c r="C41">
        <v>10</v>
      </c>
      <c r="D41">
        <v>15</v>
      </c>
      <c r="E41">
        <v>20</v>
      </c>
      <c r="F41">
        <v>25</v>
      </c>
      <c r="G41">
        <v>30</v>
      </c>
      <c r="I41">
        <v>5</v>
      </c>
      <c r="J41">
        <v>10</v>
      </c>
      <c r="K41">
        <v>15</v>
      </c>
      <c r="L41">
        <v>20</v>
      </c>
      <c r="M41">
        <v>25</v>
      </c>
      <c r="N41">
        <v>30</v>
      </c>
      <c r="P41">
        <v>5</v>
      </c>
      <c r="Q41">
        <v>10</v>
      </c>
      <c r="R41">
        <v>15</v>
      </c>
      <c r="S41">
        <v>20</v>
      </c>
      <c r="T41">
        <v>25</v>
      </c>
      <c r="U41">
        <v>30</v>
      </c>
      <c r="W41">
        <v>5</v>
      </c>
      <c r="X41">
        <v>10</v>
      </c>
      <c r="Y41">
        <v>15</v>
      </c>
      <c r="Z41">
        <v>20</v>
      </c>
      <c r="AA41">
        <v>25</v>
      </c>
      <c r="AB41">
        <v>30</v>
      </c>
    </row>
    <row r="43" spans="1:28">
      <c r="A43" t="s">
        <v>0</v>
      </c>
      <c r="B43">
        <v>7059</v>
      </c>
      <c r="C43">
        <v>22848</v>
      </c>
      <c r="D43">
        <v>29839</v>
      </c>
      <c r="E43">
        <v>57979</v>
      </c>
      <c r="F43">
        <v>135460</v>
      </c>
      <c r="G43">
        <v>301320</v>
      </c>
      <c r="I43">
        <v>31</v>
      </c>
      <c r="J43">
        <v>109</v>
      </c>
      <c r="K43">
        <v>187</v>
      </c>
      <c r="L43">
        <v>313</v>
      </c>
      <c r="M43">
        <v>422</v>
      </c>
      <c r="N43">
        <v>577</v>
      </c>
      <c r="P43">
        <f>B43-I43</f>
        <v>7028</v>
      </c>
      <c r="Q43">
        <f t="shared" ref="Q43:Q49" si="89">C43-J43</f>
        <v>22739</v>
      </c>
      <c r="R43">
        <f t="shared" ref="R43:R49" si="90">D43-K43</f>
        <v>29652</v>
      </c>
      <c r="S43">
        <f t="shared" ref="S43:S49" si="91">E43-L43</f>
        <v>57666</v>
      </c>
      <c r="T43">
        <f t="shared" ref="T43:T49" si="92">F43-M43</f>
        <v>135038</v>
      </c>
      <c r="U43">
        <f>G43-N43</f>
        <v>300743</v>
      </c>
      <c r="W43">
        <v>3650</v>
      </c>
      <c r="X43">
        <v>9214</v>
      </c>
      <c r="Y43">
        <v>16512</v>
      </c>
      <c r="Z43">
        <v>25682</v>
      </c>
      <c r="AA43">
        <v>37069</v>
      </c>
      <c r="AB43">
        <v>49235</v>
      </c>
    </row>
    <row r="44" spans="1:28">
      <c r="A44" t="s">
        <v>1</v>
      </c>
      <c r="B44">
        <v>531</v>
      </c>
      <c r="C44">
        <v>921</v>
      </c>
      <c r="D44">
        <v>2622</v>
      </c>
      <c r="E44">
        <v>2293</v>
      </c>
      <c r="F44">
        <v>2668</v>
      </c>
      <c r="G44">
        <v>3104</v>
      </c>
      <c r="I44">
        <v>16</v>
      </c>
      <c r="J44">
        <v>78</v>
      </c>
      <c r="K44">
        <v>156</v>
      </c>
      <c r="L44">
        <v>249</v>
      </c>
      <c r="M44">
        <v>375</v>
      </c>
      <c r="N44">
        <v>546</v>
      </c>
      <c r="P44">
        <f t="shared" ref="P44:P49" si="93">B44-I44</f>
        <v>515</v>
      </c>
      <c r="Q44">
        <f t="shared" si="89"/>
        <v>843</v>
      </c>
      <c r="R44">
        <f t="shared" si="90"/>
        <v>2466</v>
      </c>
      <c r="S44">
        <f t="shared" si="91"/>
        <v>2044</v>
      </c>
      <c r="T44">
        <f t="shared" si="92"/>
        <v>2293</v>
      </c>
      <c r="U44">
        <f t="shared" ref="U44:U49" si="94">G44-N44</f>
        <v>2558</v>
      </c>
      <c r="W44">
        <v>3650</v>
      </c>
      <c r="X44">
        <v>9214</v>
      </c>
      <c r="Y44">
        <v>16512</v>
      </c>
      <c r="Z44">
        <v>25682</v>
      </c>
      <c r="AA44">
        <v>37069</v>
      </c>
      <c r="AB44">
        <v>49235</v>
      </c>
    </row>
    <row r="45" spans="1:28">
      <c r="A45" t="s">
        <v>2</v>
      </c>
      <c r="B45">
        <v>531</v>
      </c>
      <c r="C45">
        <v>921</v>
      </c>
      <c r="D45">
        <v>1217</v>
      </c>
      <c r="E45">
        <v>2293</v>
      </c>
      <c r="F45">
        <v>2652</v>
      </c>
      <c r="G45">
        <v>3136</v>
      </c>
      <c r="I45">
        <v>16</v>
      </c>
      <c r="J45">
        <v>78</v>
      </c>
      <c r="K45">
        <v>156</v>
      </c>
      <c r="L45">
        <v>249</v>
      </c>
      <c r="M45">
        <v>374</v>
      </c>
      <c r="N45">
        <v>546</v>
      </c>
      <c r="P45">
        <f t="shared" si="93"/>
        <v>515</v>
      </c>
      <c r="Q45">
        <f t="shared" si="89"/>
        <v>843</v>
      </c>
      <c r="R45">
        <f t="shared" si="90"/>
        <v>1061</v>
      </c>
      <c r="S45">
        <f t="shared" si="91"/>
        <v>2044</v>
      </c>
      <c r="T45">
        <f t="shared" si="92"/>
        <v>2278</v>
      </c>
      <c r="U45">
        <f t="shared" si="94"/>
        <v>2590</v>
      </c>
      <c r="W45">
        <v>4540</v>
      </c>
      <c r="X45">
        <v>11073</v>
      </c>
      <c r="Y45">
        <v>19430</v>
      </c>
      <c r="Z45">
        <v>29536</v>
      </c>
      <c r="AA45">
        <v>41998</v>
      </c>
      <c r="AB45">
        <v>55007</v>
      </c>
    </row>
    <row r="46" spans="1:28">
      <c r="A46" t="s">
        <v>3</v>
      </c>
      <c r="B46">
        <v>546</v>
      </c>
      <c r="C46">
        <v>937</v>
      </c>
      <c r="D46">
        <v>1217</v>
      </c>
      <c r="E46">
        <v>2293</v>
      </c>
      <c r="F46">
        <v>2652</v>
      </c>
      <c r="G46">
        <v>3136</v>
      </c>
      <c r="I46">
        <v>15</v>
      </c>
      <c r="J46">
        <v>78</v>
      </c>
      <c r="K46">
        <v>156</v>
      </c>
      <c r="L46">
        <v>249</v>
      </c>
      <c r="M46">
        <v>374</v>
      </c>
      <c r="N46">
        <v>546</v>
      </c>
      <c r="P46">
        <f t="shared" si="93"/>
        <v>531</v>
      </c>
      <c r="Q46">
        <f t="shared" si="89"/>
        <v>859</v>
      </c>
      <c r="R46">
        <f t="shared" si="90"/>
        <v>1061</v>
      </c>
      <c r="S46">
        <f t="shared" si="91"/>
        <v>2044</v>
      </c>
      <c r="T46">
        <f t="shared" si="92"/>
        <v>2278</v>
      </c>
      <c r="U46">
        <f t="shared" si="94"/>
        <v>2590</v>
      </c>
      <c r="W46">
        <v>4591</v>
      </c>
      <c r="X46">
        <v>11104</v>
      </c>
      <c r="Y46">
        <v>19477</v>
      </c>
      <c r="Z46">
        <v>29395</v>
      </c>
      <c r="AA46">
        <v>42091</v>
      </c>
      <c r="AB46">
        <v>55147</v>
      </c>
    </row>
    <row r="47" spans="1:28">
      <c r="A47" t="s">
        <v>4</v>
      </c>
      <c r="B47">
        <v>531</v>
      </c>
      <c r="C47">
        <v>922</v>
      </c>
      <c r="D47">
        <v>1218</v>
      </c>
      <c r="E47">
        <v>2294</v>
      </c>
      <c r="F47">
        <v>2667</v>
      </c>
      <c r="G47">
        <v>3104</v>
      </c>
      <c r="I47">
        <v>16</v>
      </c>
      <c r="J47">
        <v>78</v>
      </c>
      <c r="K47">
        <v>156</v>
      </c>
      <c r="L47">
        <v>250</v>
      </c>
      <c r="M47">
        <v>374</v>
      </c>
      <c r="N47">
        <v>546</v>
      </c>
      <c r="P47">
        <f t="shared" si="93"/>
        <v>515</v>
      </c>
      <c r="Q47">
        <f t="shared" si="89"/>
        <v>844</v>
      </c>
      <c r="R47">
        <f t="shared" si="90"/>
        <v>1062</v>
      </c>
      <c r="S47">
        <f t="shared" si="91"/>
        <v>2044</v>
      </c>
      <c r="T47">
        <f t="shared" si="92"/>
        <v>2293</v>
      </c>
      <c r="U47">
        <f t="shared" si="94"/>
        <v>2558</v>
      </c>
      <c r="W47">
        <v>3650</v>
      </c>
      <c r="X47">
        <v>9214</v>
      </c>
      <c r="Y47">
        <v>16512</v>
      </c>
      <c r="Z47">
        <v>25682</v>
      </c>
      <c r="AA47">
        <v>37069</v>
      </c>
      <c r="AB47">
        <v>49235</v>
      </c>
    </row>
    <row r="48" spans="1:28">
      <c r="A48" t="s">
        <v>31</v>
      </c>
      <c r="B48">
        <v>547</v>
      </c>
      <c r="C48">
        <v>906</v>
      </c>
      <c r="D48">
        <v>1217</v>
      </c>
      <c r="E48">
        <v>2278</v>
      </c>
      <c r="F48">
        <v>2668</v>
      </c>
      <c r="G48">
        <v>3105</v>
      </c>
      <c r="I48">
        <v>16</v>
      </c>
      <c r="J48">
        <v>62</v>
      </c>
      <c r="K48">
        <v>141</v>
      </c>
      <c r="L48">
        <v>250</v>
      </c>
      <c r="M48">
        <v>374</v>
      </c>
      <c r="N48">
        <v>531</v>
      </c>
      <c r="P48">
        <f t="shared" si="93"/>
        <v>531</v>
      </c>
      <c r="Q48">
        <f t="shared" si="89"/>
        <v>844</v>
      </c>
      <c r="R48">
        <f t="shared" si="90"/>
        <v>1076</v>
      </c>
      <c r="S48">
        <f t="shared" si="91"/>
        <v>2028</v>
      </c>
      <c r="T48">
        <f t="shared" si="92"/>
        <v>2294</v>
      </c>
      <c r="U48">
        <f t="shared" si="94"/>
        <v>2574</v>
      </c>
      <c r="W48">
        <v>4540</v>
      </c>
      <c r="X48">
        <v>11073</v>
      </c>
      <c r="Y48">
        <v>19430</v>
      </c>
      <c r="Z48">
        <v>29536</v>
      </c>
      <c r="AA48">
        <v>41998</v>
      </c>
      <c r="AB48">
        <v>55007</v>
      </c>
    </row>
    <row r="49" spans="1:28">
      <c r="A49" t="s">
        <v>32</v>
      </c>
      <c r="B49">
        <v>547</v>
      </c>
      <c r="C49">
        <v>922</v>
      </c>
      <c r="D49">
        <v>1218</v>
      </c>
      <c r="E49">
        <v>2293</v>
      </c>
      <c r="F49">
        <v>2652</v>
      </c>
      <c r="G49">
        <v>3105</v>
      </c>
      <c r="I49">
        <v>16</v>
      </c>
      <c r="J49">
        <v>63</v>
      </c>
      <c r="K49">
        <v>156</v>
      </c>
      <c r="L49">
        <v>249</v>
      </c>
      <c r="M49">
        <v>374</v>
      </c>
      <c r="N49">
        <v>546</v>
      </c>
      <c r="P49">
        <f t="shared" si="93"/>
        <v>531</v>
      </c>
      <c r="Q49">
        <f t="shared" si="89"/>
        <v>859</v>
      </c>
      <c r="R49">
        <f t="shared" si="90"/>
        <v>1062</v>
      </c>
      <c r="S49">
        <f t="shared" si="91"/>
        <v>2044</v>
      </c>
      <c r="T49">
        <f t="shared" si="92"/>
        <v>2278</v>
      </c>
      <c r="U49">
        <f t="shared" si="94"/>
        <v>2559</v>
      </c>
      <c r="W49">
        <v>4591</v>
      </c>
      <c r="X49">
        <v>11104</v>
      </c>
      <c r="Y49">
        <v>19477</v>
      </c>
      <c r="Z49">
        <v>29395</v>
      </c>
      <c r="AA49">
        <v>42091</v>
      </c>
      <c r="AB49">
        <v>55147</v>
      </c>
    </row>
    <row r="50" spans="1:28">
      <c r="A50" t="s">
        <v>5</v>
      </c>
      <c r="B50">
        <f>(SUM(B43:B49) -MAX(B43:B49))/((COUNT(B43:B49)-1)*1000)</f>
        <v>0.53883333333333339</v>
      </c>
      <c r="C50">
        <f t="shared" ref="C50" si="95">(SUM(C43:C49) -MAX(C43:C49))/((COUNT(C43:C49)-1)*1000)</f>
        <v>0.92149999999999999</v>
      </c>
      <c r="D50">
        <f t="shared" ref="D50" si="96">(SUM(D43:D49) -MAX(D43:D49))/((COUNT(D43:D49)-1)*1000)</f>
        <v>1.4515</v>
      </c>
      <c r="E50">
        <f t="shared" ref="E50" si="97">(SUM(E43:E49) -MAX(E43:E49))/((COUNT(E43:E49)-1)*1000)</f>
        <v>2.2906666666666666</v>
      </c>
      <c r="F50">
        <f t="shared" ref="F50" si="98">(SUM(F43:F49) -MAX(F43:F49))/((COUNT(F43:F49)-1)*1000)</f>
        <v>2.6598333333333333</v>
      </c>
      <c r="G50">
        <f t="shared" ref="G50" si="99">(SUM(G43:G49) -MAX(G43:G49))/((COUNT(G43:G49)-1)*1000)</f>
        <v>3.1150000000000002</v>
      </c>
      <c r="I50">
        <f>(SUM(I43:I49) -MAX(I43:I49))/((COUNT(I43:I49)-1)*1000)</f>
        <v>1.5833333333333335E-2</v>
      </c>
      <c r="J50">
        <f t="shared" ref="J50" si="100">(SUM(J43:J49) -MAX(J43:J49))/((COUNT(J43:J49)-1)*1000)</f>
        <v>7.2833333333333333E-2</v>
      </c>
      <c r="K50">
        <f t="shared" ref="K50" si="101">(SUM(K43:K49) -MAX(K43:K49))/((COUNT(K43:K49)-1)*1000)</f>
        <v>0.1535</v>
      </c>
      <c r="L50">
        <f t="shared" ref="L50" si="102">(SUM(L43:L49) -MAX(L43:L49))/((COUNT(L43:L49)-1)*1000)</f>
        <v>0.24933333333333332</v>
      </c>
      <c r="M50">
        <f t="shared" ref="M50" si="103">(SUM(M43:M49) -MAX(M43:M49))/((COUNT(M43:M49)-1)*1000)</f>
        <v>0.37416666666666665</v>
      </c>
      <c r="N50">
        <f t="shared" ref="N50" si="104">(SUM(N43:N49) -MAX(N43:N49))/((COUNT(N43:N49)-1)*1000)</f>
        <v>0.54349999999999998</v>
      </c>
      <c r="P50">
        <f>(SUM(P43:P49) -MAX(P43:P49))/((COUNT(P43:P49)-1)*1000)</f>
        <v>0.52300000000000002</v>
      </c>
      <c r="Q50">
        <f t="shared" ref="Q50" si="105">(SUM(Q43:Q49) -MAX(Q43:Q49))/((COUNT(Q43:Q49)-1)*1000)</f>
        <v>0.84866666666666668</v>
      </c>
      <c r="R50">
        <f t="shared" ref="R50" si="106">(SUM(R43:R49) -MAX(R43:R49))/((COUNT(R43:R49)-1)*1000)</f>
        <v>1.298</v>
      </c>
      <c r="S50">
        <f t="shared" ref="S50" si="107">(SUM(S43:S49) -MAX(S43:S49))/((COUNT(S43:S49)-1)*1000)</f>
        <v>2.0413333333333332</v>
      </c>
      <c r="T50">
        <f t="shared" ref="T50" si="108">(SUM(T43:T49) -MAX(T43:T49))/((COUNT(T43:T49)-1)*1000)</f>
        <v>2.2856666666666667</v>
      </c>
      <c r="U50">
        <f t="shared" ref="U50" si="109">(SUM(U43:U49) -MAX(U43:U49))/((COUNT(U43:U49)-1)*1000)</f>
        <v>2.5714999999999999</v>
      </c>
      <c r="W50">
        <f>(SUM(W43:W49) -MAX(W43:W49))/((COUNT(W43:W49)-1)*1000)</f>
        <v>4.1035000000000004</v>
      </c>
      <c r="X50">
        <f t="shared" ref="X50" si="110">(SUM(X43:X49) -MAX(X43:X49))/((COUNT(X43:X49)-1)*1000)</f>
        <v>10.148666666666667</v>
      </c>
      <c r="Y50">
        <f t="shared" ref="Y50" si="111">(SUM(Y43:Y49) -MAX(Y43:Y49))/((COUNT(Y43:Y49)-1)*1000)</f>
        <v>17.978833333333334</v>
      </c>
      <c r="Z50">
        <f t="shared" ref="Z50" si="112">(SUM(Z43:Z49) -MAX(Z43:Z49))/((COUNT(Z43:Z49)-1)*1000)</f>
        <v>27.562000000000001</v>
      </c>
      <c r="AA50">
        <f t="shared" ref="AA50" si="113">(SUM(AA43:AA49) -MAX(AA43:AA49))/((COUNT(AA43:AA49)-1)*1000)</f>
        <v>39.548999999999999</v>
      </c>
      <c r="AB50">
        <f t="shared" ref="AB50" si="114">(SUM(AB43:AB49) -MAX(AB43:AB49))/((COUNT(AB43:AB49)-1)*1000)</f>
        <v>52.144333333333336</v>
      </c>
    </row>
    <row r="51" spans="1:28">
      <c r="A51" t="s">
        <v>7</v>
      </c>
      <c r="B51">
        <f>STDEV(B44:B49)/1000</f>
        <v>8.58875233469048E-3</v>
      </c>
      <c r="C51">
        <f t="shared" ref="C51:G51" si="115">STDEV(C44:C49)/1000</f>
        <v>9.8132563402776752E-3</v>
      </c>
      <c r="D51">
        <f t="shared" si="115"/>
        <v>0.5734257580541704</v>
      </c>
      <c r="E51">
        <f t="shared" si="115"/>
        <v>6.2182527020392406E-3</v>
      </c>
      <c r="F51">
        <f t="shared" si="115"/>
        <v>8.5887523347202982E-3</v>
      </c>
      <c r="G51">
        <f t="shared" si="115"/>
        <v>1.6272676485446395E-2</v>
      </c>
      <c r="I51">
        <f>STDEV(I44:I49)/1000</f>
        <v>4.0824829046384444E-4</v>
      </c>
      <c r="J51">
        <f t="shared" ref="J51:N51" si="116">STDEV(J44:J49)/1000</f>
        <v>8.0104098937985955E-3</v>
      </c>
      <c r="K51">
        <f t="shared" si="116"/>
        <v>6.1237243569579455E-3</v>
      </c>
      <c r="L51">
        <f t="shared" si="116"/>
        <v>5.1639777949056501E-4</v>
      </c>
      <c r="M51">
        <f t="shared" si="116"/>
        <v>4.0824829046386303E-4</v>
      </c>
      <c r="N51">
        <f t="shared" si="116"/>
        <v>6.1237243569579455E-3</v>
      </c>
      <c r="P51">
        <f>STDEV(P44:P49)/1000</f>
        <v>8.7635609200826577E-3</v>
      </c>
      <c r="Q51">
        <f t="shared" ref="Q51:U51" si="117">STDEV(Q44:Q49)/1000</f>
        <v>8.0166493416267484E-3</v>
      </c>
      <c r="R51">
        <f t="shared" si="117"/>
        <v>0.57223037318898062</v>
      </c>
      <c r="S51">
        <f t="shared" si="117"/>
        <v>6.5319726474027976E-3</v>
      </c>
      <c r="T51">
        <f t="shared" si="117"/>
        <v>8.4063468085975555E-3</v>
      </c>
      <c r="U51">
        <f t="shared" si="117"/>
        <v>1.5565988564816564E-2</v>
      </c>
      <c r="W51">
        <f>STDEV(W44:W49)/1000</f>
        <v>0.47331201829941488</v>
      </c>
      <c r="X51">
        <f t="shared" ref="X51:AB51" si="118">STDEV(X44:X49)/1000</f>
        <v>0.96808691069896957</v>
      </c>
      <c r="Y51">
        <f t="shared" si="118"/>
        <v>1.5191294875684562</v>
      </c>
      <c r="Z51">
        <f t="shared" si="118"/>
        <v>1.9548082940960227</v>
      </c>
      <c r="AA51">
        <f t="shared" si="118"/>
        <v>2.5696737536115357</v>
      </c>
      <c r="AB51">
        <f t="shared" si="118"/>
        <v>3.0174454538014093</v>
      </c>
    </row>
    <row r="52" spans="1:28">
      <c r="A52" t="s">
        <v>8</v>
      </c>
      <c r="B52">
        <f>CONFIDENCE(0.05,B51,5)/2</f>
        <v>3.7641175083929731E-3</v>
      </c>
      <c r="C52">
        <f t="shared" ref="C52" si="119">CONFIDENCE(0.05,C51,5)/2</f>
        <v>4.3007701893547174E-3</v>
      </c>
      <c r="D52">
        <f t="shared" ref="D52" si="120">CONFIDENCE(0.05,D51,5)/2</f>
        <v>0.25131030114084679</v>
      </c>
      <c r="E52">
        <f t="shared" ref="E52" si="121">CONFIDENCE(0.05,E51,5)/2</f>
        <v>2.7252193281693139E-3</v>
      </c>
      <c r="F52">
        <f t="shared" ref="F52" si="122">CONFIDENCE(0.05,F51,5)/2</f>
        <v>3.7641175084060408E-3</v>
      </c>
      <c r="G52">
        <f t="shared" ref="G52" si="123">CONFIDENCE(0.05,G51,5)/2</f>
        <v>7.1316838675021359E-3</v>
      </c>
      <c r="I52">
        <f>CONFIDENCE(0.05,I51,5)/2</f>
        <v>1.7891941437170756E-4</v>
      </c>
      <c r="J52">
        <f t="shared" ref="J52" si="124">CONFIDENCE(0.05,J51,5)/2</f>
        <v>3.5106524155860647E-3</v>
      </c>
      <c r="K52">
        <f t="shared" ref="K52" si="125">CONFIDENCE(0.05,K51,5)/2</f>
        <v>2.6837912155757357E-3</v>
      </c>
      <c r="L52">
        <f t="shared" ref="L52" si="126">CONFIDENCE(0.05,L51,5)/2</f>
        <v>2.263171468135877E-4</v>
      </c>
      <c r="M52">
        <f t="shared" ref="M52" si="127">CONFIDENCE(0.05,M51,5)/2</f>
        <v>1.7891941437171572E-4</v>
      </c>
      <c r="N52">
        <f t="shared" ref="N52" si="128">CONFIDENCE(0.05,N51,5)/2</f>
        <v>2.6837912155757357E-3</v>
      </c>
      <c r="P52">
        <f>CONFIDENCE(0.05,P51,5)/2</f>
        <v>3.8407293410842474E-3</v>
      </c>
      <c r="Q52">
        <f t="shared" ref="Q52" si="129">CONFIDENCE(0.05,Q51,5)/2</f>
        <v>3.5133869239171284E-3</v>
      </c>
      <c r="R52">
        <f t="shared" ref="R52" si="130">CONFIDENCE(0.05,R51,5)/2</f>
        <v>0.25078641025134529</v>
      </c>
      <c r="S52">
        <f t="shared" ref="S52" si="131">CONFIDENCE(0.05,S51,5)/2</f>
        <v>2.8627106299391196E-3</v>
      </c>
      <c r="T52">
        <f t="shared" ref="T52" si="132">CONFIDENCE(0.05,T51,5)/2</f>
        <v>3.6841762308198835E-3</v>
      </c>
      <c r="U52">
        <f t="shared" ref="U52" si="133">CONFIDENCE(0.05,U51,5)/2</f>
        <v>6.8219699217095158E-3</v>
      </c>
      <c r="W52">
        <f>CONFIDENCE(0.05,W51,5)/2</f>
        <v>0.20743432638261627</v>
      </c>
      <c r="X52">
        <f t="shared" ref="X52" si="134">CONFIDENCE(0.05,X51,5)/2</f>
        <v>0.42427499923239748</v>
      </c>
      <c r="Y52">
        <f t="shared" ref="Y52" si="135">CONFIDENCE(0.05,Y51,5)/2</f>
        <v>0.66577561895415183</v>
      </c>
      <c r="Z52">
        <f t="shared" ref="Z52" si="136">CONFIDENCE(0.05,Z51,5)/2</f>
        <v>0.85671676614060954</v>
      </c>
      <c r="AA52">
        <f t="shared" ref="AA52" si="137">CONFIDENCE(0.05,AA51,5)/2</f>
        <v>1.1261884834842719</v>
      </c>
      <c r="AB52">
        <f t="shared" ref="AB52" si="138">CONFIDENCE(0.05,AB51,5)/2</f>
        <v>1.3224294776086336</v>
      </c>
    </row>
    <row r="53" spans="1:28">
      <c r="A53" t="s">
        <v>86</v>
      </c>
      <c r="B53">
        <v>5</v>
      </c>
      <c r="C53">
        <v>13</v>
      </c>
      <c r="D53">
        <v>13</v>
      </c>
      <c r="E53">
        <v>13</v>
      </c>
      <c r="F53">
        <v>13</v>
      </c>
      <c r="G53">
        <v>13</v>
      </c>
    </row>
    <row r="54" spans="1:28">
      <c r="A54" t="s">
        <v>88</v>
      </c>
      <c r="B54">
        <v>270</v>
      </c>
      <c r="C54">
        <v>510</v>
      </c>
      <c r="D54">
        <v>750</v>
      </c>
      <c r="E54">
        <v>960</v>
      </c>
      <c r="F54">
        <v>1200</v>
      </c>
      <c r="G54">
        <v>1440</v>
      </c>
      <c r="H54" t="s">
        <v>27</v>
      </c>
    </row>
    <row r="56" spans="1:28">
      <c r="A56" s="1" t="s">
        <v>42</v>
      </c>
      <c r="B56" s="1"/>
    </row>
    <row r="57" spans="1:28">
      <c r="A57" t="s">
        <v>47</v>
      </c>
    </row>
    <row r="58" spans="1:28">
      <c r="A58" t="s">
        <v>43</v>
      </c>
      <c r="B58" t="s">
        <v>84</v>
      </c>
      <c r="I58" t="s">
        <v>79</v>
      </c>
      <c r="P58" t="s">
        <v>82</v>
      </c>
      <c r="W58" t="s">
        <v>30</v>
      </c>
    </row>
    <row r="59" spans="1:28">
      <c r="A59" t="s">
        <v>6</v>
      </c>
      <c r="B59">
        <v>5</v>
      </c>
      <c r="C59">
        <v>10</v>
      </c>
      <c r="D59">
        <v>15</v>
      </c>
      <c r="E59">
        <v>20</v>
      </c>
      <c r="F59">
        <v>25</v>
      </c>
      <c r="G59">
        <v>30</v>
      </c>
      <c r="I59">
        <v>5</v>
      </c>
      <c r="J59">
        <v>10</v>
      </c>
      <c r="K59">
        <v>15</v>
      </c>
      <c r="L59">
        <v>20</v>
      </c>
      <c r="M59">
        <v>25</v>
      </c>
      <c r="N59">
        <v>30</v>
      </c>
      <c r="P59">
        <v>5</v>
      </c>
      <c r="Q59">
        <v>10</v>
      </c>
      <c r="R59">
        <v>15</v>
      </c>
      <c r="S59">
        <v>20</v>
      </c>
      <c r="T59">
        <v>25</v>
      </c>
      <c r="U59">
        <v>30</v>
      </c>
      <c r="W59">
        <v>5</v>
      </c>
      <c r="X59">
        <v>10</v>
      </c>
      <c r="Y59">
        <v>15</v>
      </c>
      <c r="Z59">
        <v>20</v>
      </c>
      <c r="AA59">
        <v>25</v>
      </c>
      <c r="AB59">
        <v>30</v>
      </c>
    </row>
    <row r="61" spans="1:28">
      <c r="A61" t="s">
        <v>0</v>
      </c>
      <c r="B61">
        <v>7051</v>
      </c>
      <c r="C61">
        <v>1118013</v>
      </c>
      <c r="D61">
        <v>1019994</v>
      </c>
      <c r="E61">
        <v>1695799</v>
      </c>
      <c r="F61">
        <v>3067175</v>
      </c>
      <c r="G61">
        <v>8115245</v>
      </c>
      <c r="I61">
        <v>31</v>
      </c>
      <c r="J61">
        <v>1591</v>
      </c>
      <c r="K61">
        <v>2137</v>
      </c>
      <c r="L61">
        <v>2980</v>
      </c>
      <c r="M61">
        <v>4040</v>
      </c>
      <c r="N61">
        <v>5179</v>
      </c>
      <c r="P61">
        <f>B61-I61</f>
        <v>7020</v>
      </c>
      <c r="Q61">
        <f t="shared" ref="Q61:Q67" si="139">C61-J61</f>
        <v>1116422</v>
      </c>
      <c r="R61">
        <f t="shared" ref="R61:R67" si="140">D61-K61</f>
        <v>1017857</v>
      </c>
      <c r="S61">
        <f t="shared" ref="S61:S67" si="141">E61-L61</f>
        <v>1692819</v>
      </c>
      <c r="T61">
        <f t="shared" ref="T61:T67" si="142">F61-M61</f>
        <v>3063135</v>
      </c>
      <c r="U61">
        <f>G61-N61</f>
        <v>8110066</v>
      </c>
      <c r="W61">
        <v>3682</v>
      </c>
      <c r="X61">
        <v>16396</v>
      </c>
      <c r="Y61">
        <v>29531</v>
      </c>
      <c r="Z61">
        <v>45022</v>
      </c>
      <c r="AA61">
        <v>56832</v>
      </c>
      <c r="AB61">
        <v>93056</v>
      </c>
    </row>
    <row r="62" spans="1:28">
      <c r="A62" t="s">
        <v>1</v>
      </c>
      <c r="B62">
        <v>546</v>
      </c>
      <c r="C62">
        <v>10390</v>
      </c>
      <c r="D62">
        <v>14727</v>
      </c>
      <c r="E62">
        <v>15177</v>
      </c>
      <c r="F62">
        <v>17037</v>
      </c>
      <c r="G62">
        <v>21201</v>
      </c>
      <c r="I62">
        <v>16</v>
      </c>
      <c r="J62">
        <v>1591</v>
      </c>
      <c r="K62">
        <v>2106</v>
      </c>
      <c r="L62">
        <v>2917</v>
      </c>
      <c r="M62">
        <v>4025</v>
      </c>
      <c r="N62">
        <v>5132</v>
      </c>
      <c r="P62">
        <f t="shared" ref="P62:P67" si="143">B62-I62</f>
        <v>530</v>
      </c>
      <c r="Q62">
        <f t="shared" si="139"/>
        <v>8799</v>
      </c>
      <c r="R62">
        <f t="shared" si="140"/>
        <v>12621</v>
      </c>
      <c r="S62">
        <f t="shared" si="141"/>
        <v>12260</v>
      </c>
      <c r="T62">
        <f t="shared" si="142"/>
        <v>13012</v>
      </c>
      <c r="U62">
        <f t="shared" ref="U62:U67" si="144">G62-N62</f>
        <v>16069</v>
      </c>
      <c r="W62">
        <v>3682</v>
      </c>
      <c r="X62">
        <v>16396</v>
      </c>
      <c r="Y62">
        <v>29531</v>
      </c>
      <c r="Z62">
        <v>45022</v>
      </c>
      <c r="AA62">
        <v>56832</v>
      </c>
      <c r="AB62">
        <v>93056</v>
      </c>
    </row>
    <row r="63" spans="1:28">
      <c r="A63" t="s">
        <v>2</v>
      </c>
      <c r="B63">
        <v>546</v>
      </c>
      <c r="C63">
        <v>10358</v>
      </c>
      <c r="D63">
        <v>13167</v>
      </c>
      <c r="E63">
        <v>15162</v>
      </c>
      <c r="F63">
        <v>16022</v>
      </c>
      <c r="G63">
        <v>21217</v>
      </c>
      <c r="I63">
        <v>15</v>
      </c>
      <c r="J63">
        <v>1575</v>
      </c>
      <c r="K63">
        <v>2075</v>
      </c>
      <c r="L63">
        <v>2917</v>
      </c>
      <c r="M63">
        <v>4041</v>
      </c>
      <c r="N63">
        <v>5164</v>
      </c>
      <c r="P63">
        <f t="shared" si="143"/>
        <v>531</v>
      </c>
      <c r="Q63">
        <f t="shared" si="139"/>
        <v>8783</v>
      </c>
      <c r="R63">
        <f t="shared" si="140"/>
        <v>11092</v>
      </c>
      <c r="S63">
        <f t="shared" si="141"/>
        <v>12245</v>
      </c>
      <c r="T63">
        <f t="shared" si="142"/>
        <v>11981</v>
      </c>
      <c r="U63">
        <f t="shared" si="144"/>
        <v>16053</v>
      </c>
      <c r="W63">
        <v>4571</v>
      </c>
      <c r="X63">
        <v>19719</v>
      </c>
      <c r="Y63">
        <v>34867</v>
      </c>
      <c r="Z63">
        <v>51793</v>
      </c>
      <c r="AA63">
        <v>64756</v>
      </c>
      <c r="AB63">
        <v>100434</v>
      </c>
    </row>
    <row r="64" spans="1:28">
      <c r="A64" t="s">
        <v>3</v>
      </c>
      <c r="B64">
        <v>546</v>
      </c>
      <c r="C64">
        <v>10281</v>
      </c>
      <c r="D64">
        <v>13166</v>
      </c>
      <c r="E64">
        <v>15209</v>
      </c>
      <c r="F64">
        <v>16037</v>
      </c>
      <c r="G64">
        <v>21201</v>
      </c>
      <c r="I64">
        <v>16</v>
      </c>
      <c r="J64">
        <v>1576</v>
      </c>
      <c r="K64">
        <v>2074</v>
      </c>
      <c r="L64">
        <v>2965</v>
      </c>
      <c r="M64">
        <v>4056</v>
      </c>
      <c r="N64">
        <v>5164</v>
      </c>
      <c r="P64">
        <f t="shared" si="143"/>
        <v>530</v>
      </c>
      <c r="Q64">
        <f t="shared" si="139"/>
        <v>8705</v>
      </c>
      <c r="R64">
        <f t="shared" si="140"/>
        <v>11092</v>
      </c>
      <c r="S64">
        <f t="shared" si="141"/>
        <v>12244</v>
      </c>
      <c r="T64">
        <f t="shared" si="142"/>
        <v>11981</v>
      </c>
      <c r="U64">
        <f t="shared" si="144"/>
        <v>16037</v>
      </c>
      <c r="W64">
        <v>4555</v>
      </c>
      <c r="X64">
        <v>19781</v>
      </c>
      <c r="Y64">
        <v>34961</v>
      </c>
      <c r="Z64">
        <v>45022</v>
      </c>
      <c r="AA64">
        <v>64991</v>
      </c>
      <c r="AB64">
        <v>99873</v>
      </c>
    </row>
    <row r="65" spans="1:28">
      <c r="A65" t="s">
        <v>4</v>
      </c>
      <c r="B65">
        <v>546</v>
      </c>
      <c r="C65">
        <v>10281</v>
      </c>
      <c r="D65">
        <v>13151</v>
      </c>
      <c r="E65">
        <v>14177</v>
      </c>
      <c r="F65">
        <v>16038</v>
      </c>
      <c r="G65">
        <v>21247</v>
      </c>
      <c r="I65">
        <v>16</v>
      </c>
      <c r="J65">
        <v>1576</v>
      </c>
      <c r="K65">
        <v>2091</v>
      </c>
      <c r="L65">
        <v>2948</v>
      </c>
      <c r="M65">
        <v>4057</v>
      </c>
      <c r="N65">
        <v>5179</v>
      </c>
      <c r="P65">
        <f t="shared" si="143"/>
        <v>530</v>
      </c>
      <c r="Q65">
        <f t="shared" si="139"/>
        <v>8705</v>
      </c>
      <c r="R65">
        <f t="shared" si="140"/>
        <v>11060</v>
      </c>
      <c r="S65">
        <f t="shared" si="141"/>
        <v>11229</v>
      </c>
      <c r="T65">
        <f t="shared" si="142"/>
        <v>11981</v>
      </c>
      <c r="U65">
        <f t="shared" si="144"/>
        <v>16068</v>
      </c>
      <c r="W65">
        <v>3682</v>
      </c>
      <c r="X65">
        <v>16396</v>
      </c>
      <c r="Y65">
        <v>29531</v>
      </c>
      <c r="Z65">
        <v>45022</v>
      </c>
      <c r="AA65">
        <v>56832</v>
      </c>
      <c r="AB65">
        <v>93056</v>
      </c>
    </row>
    <row r="66" spans="1:28">
      <c r="A66" t="s">
        <v>31</v>
      </c>
      <c r="B66">
        <v>530</v>
      </c>
      <c r="C66">
        <v>10234</v>
      </c>
      <c r="D66">
        <v>13151</v>
      </c>
      <c r="E66">
        <v>16193</v>
      </c>
      <c r="F66">
        <v>17021</v>
      </c>
      <c r="G66">
        <v>21232</v>
      </c>
      <c r="I66">
        <v>0</v>
      </c>
      <c r="J66">
        <v>1576</v>
      </c>
      <c r="K66">
        <v>2091</v>
      </c>
      <c r="L66">
        <v>2917</v>
      </c>
      <c r="M66">
        <v>4056</v>
      </c>
      <c r="N66">
        <v>5164</v>
      </c>
      <c r="P66">
        <f t="shared" si="143"/>
        <v>530</v>
      </c>
      <c r="Q66">
        <f t="shared" si="139"/>
        <v>8658</v>
      </c>
      <c r="R66">
        <f t="shared" si="140"/>
        <v>11060</v>
      </c>
      <c r="S66">
        <f t="shared" si="141"/>
        <v>13276</v>
      </c>
      <c r="T66">
        <f t="shared" si="142"/>
        <v>12965</v>
      </c>
      <c r="U66">
        <f t="shared" si="144"/>
        <v>16068</v>
      </c>
      <c r="W66">
        <v>4571</v>
      </c>
      <c r="X66">
        <v>19719</v>
      </c>
      <c r="Y66">
        <v>34867</v>
      </c>
      <c r="Z66">
        <v>51793</v>
      </c>
      <c r="AA66">
        <v>64756</v>
      </c>
      <c r="AB66">
        <v>100434</v>
      </c>
    </row>
    <row r="67" spans="1:28">
      <c r="A67" t="s">
        <v>32</v>
      </c>
      <c r="B67">
        <v>546</v>
      </c>
      <c r="C67">
        <v>10203</v>
      </c>
      <c r="D67">
        <v>13120</v>
      </c>
      <c r="E67">
        <v>16099</v>
      </c>
      <c r="F67">
        <v>17037</v>
      </c>
      <c r="G67">
        <v>21200</v>
      </c>
      <c r="I67">
        <v>16</v>
      </c>
      <c r="J67">
        <v>1560</v>
      </c>
      <c r="K67">
        <v>2091</v>
      </c>
      <c r="L67">
        <v>2932</v>
      </c>
      <c r="M67">
        <v>4056</v>
      </c>
      <c r="N67">
        <v>5163</v>
      </c>
      <c r="P67">
        <f t="shared" si="143"/>
        <v>530</v>
      </c>
      <c r="Q67">
        <f t="shared" si="139"/>
        <v>8643</v>
      </c>
      <c r="R67">
        <f t="shared" si="140"/>
        <v>11029</v>
      </c>
      <c r="S67">
        <f t="shared" si="141"/>
        <v>13167</v>
      </c>
      <c r="T67">
        <f t="shared" si="142"/>
        <v>12981</v>
      </c>
      <c r="U67">
        <f t="shared" si="144"/>
        <v>16037</v>
      </c>
      <c r="W67">
        <v>4555</v>
      </c>
      <c r="X67">
        <v>19781</v>
      </c>
      <c r="Y67">
        <v>34961</v>
      </c>
      <c r="Z67">
        <v>51871</v>
      </c>
      <c r="AA67">
        <v>64991</v>
      </c>
      <c r="AB67">
        <v>99873</v>
      </c>
    </row>
    <row r="68" spans="1:28">
      <c r="A68" t="s">
        <v>5</v>
      </c>
      <c r="B68">
        <f>(SUM(B61:B67) -MAX(B61:B67))/((COUNT(B61:B67)-1)*1000)</f>
        <v>0.54333333333333333</v>
      </c>
      <c r="C68">
        <f t="shared" ref="C68" si="145">(SUM(C61:C67) -MAX(C61:C67))/((COUNT(C61:C67)-1)*1000)</f>
        <v>10.291166666666667</v>
      </c>
      <c r="D68">
        <f t="shared" ref="D68" si="146">(SUM(D61:D67) -MAX(D61:D67))/((COUNT(D61:D67)-1)*1000)</f>
        <v>13.413666666666666</v>
      </c>
      <c r="E68">
        <f t="shared" ref="E68" si="147">(SUM(E61:E67) -MAX(E61:E67))/((COUNT(E61:E67)-1)*1000)</f>
        <v>15.336166666666667</v>
      </c>
      <c r="F68">
        <f t="shared" ref="F68" si="148">(SUM(F61:F67) -MAX(F61:F67))/((COUNT(F61:F67)-1)*1000)</f>
        <v>16.532</v>
      </c>
      <c r="G68">
        <f t="shared" ref="G68" si="149">(SUM(G61:G67) -MAX(G61:G67))/((COUNT(G61:G67)-1)*1000)</f>
        <v>21.216333333333335</v>
      </c>
      <c r="I68">
        <f>(SUM(I61:I67) -MAX(I61:I67))/((COUNT(I61:I67)-1)*1000)</f>
        <v>1.3166666666666667E-2</v>
      </c>
      <c r="J68">
        <f t="shared" ref="J68" si="150">(SUM(J61:J67) -MAX(J61:J67))/((COUNT(J61:J67)-1)*1000)</f>
        <v>1.5756666666666668</v>
      </c>
      <c r="K68">
        <f t="shared" ref="K68" si="151">(SUM(K61:K67) -MAX(K61:K67))/((COUNT(K61:K67)-1)*1000)</f>
        <v>2.0880000000000001</v>
      </c>
      <c r="L68">
        <f t="shared" ref="L68" si="152">(SUM(L61:L67) -MAX(L61:L67))/((COUNT(L61:L67)-1)*1000)</f>
        <v>2.9326666666666665</v>
      </c>
      <c r="M68">
        <f t="shared" ref="M68" si="153">(SUM(M61:M67) -MAX(M61:M67))/((COUNT(M61:M67)-1)*1000)</f>
        <v>4.0456666666666665</v>
      </c>
      <c r="N68">
        <f t="shared" ref="N68" si="154">(SUM(N61:N67) -MAX(N61:N67))/((COUNT(N61:N67)-1)*1000)</f>
        <v>5.1609999999999996</v>
      </c>
      <c r="P68">
        <f>(SUM(P61:P67) -MAX(P61:P67))/((COUNT(P61:P67)-1)*1000)</f>
        <v>0.53016666666666667</v>
      </c>
      <c r="Q68">
        <f t="shared" ref="Q68" si="155">(SUM(Q61:Q67) -MAX(Q61:Q67))/((COUNT(Q61:Q67)-1)*1000)</f>
        <v>8.7155000000000005</v>
      </c>
      <c r="R68">
        <f t="shared" ref="R68" si="156">(SUM(R61:R67) -MAX(R61:R67))/((COUNT(R61:R67)-1)*1000)</f>
        <v>11.325666666666667</v>
      </c>
      <c r="S68">
        <f t="shared" ref="S68" si="157">(SUM(S61:S67) -MAX(S61:S67))/((COUNT(S61:S67)-1)*1000)</f>
        <v>12.403499999999999</v>
      </c>
      <c r="T68">
        <f t="shared" ref="T68" si="158">(SUM(T61:T67) -MAX(T61:T67))/((COUNT(T61:T67)-1)*1000)</f>
        <v>12.483499999999999</v>
      </c>
      <c r="U68">
        <f t="shared" ref="U68" si="159">(SUM(U61:U67) -MAX(U61:U67))/((COUNT(U61:U67)-1)*1000)</f>
        <v>16.055333333333333</v>
      </c>
      <c r="W68">
        <f>(SUM(W61:W67) -MAX(W61:W67))/((COUNT(W61:W67)-1)*1000)</f>
        <v>4.1211666666666664</v>
      </c>
      <c r="X68">
        <f t="shared" ref="X68" si="160">(SUM(X61:X67) -MAX(X61:X67))/((COUNT(X61:X67)-1)*1000)</f>
        <v>18.067833333333333</v>
      </c>
      <c r="Y68">
        <f t="shared" ref="Y68" si="161">(SUM(Y61:Y67) -MAX(Y61:Y67))/((COUNT(Y61:Y67)-1)*1000)</f>
        <v>32.214666666666666</v>
      </c>
      <c r="Z68">
        <f t="shared" ref="Z68:AB68" si="162">(SUM(Z61:Z67) -MAX(Z61:Z67))/((COUNT(Z61:Z67)-1)*1000)</f>
        <v>47.279000000000003</v>
      </c>
      <c r="AA68">
        <f t="shared" si="162"/>
        <v>60.833166666666664</v>
      </c>
      <c r="AB68">
        <f t="shared" si="162"/>
        <v>96.558000000000007</v>
      </c>
    </row>
    <row r="69" spans="1:28">
      <c r="A69" t="s">
        <v>7</v>
      </c>
      <c r="B69">
        <f>STDEV(B62:B67)/1000</f>
        <v>6.5319726474206202E-3</v>
      </c>
      <c r="C69">
        <f t="shared" ref="C69:G69" si="163">STDEV(C62:C67)/1000</f>
        <v>7.1390242097044421E-2</v>
      </c>
      <c r="D69">
        <f t="shared" si="163"/>
        <v>0.64362338884370163</v>
      </c>
      <c r="E69">
        <f t="shared" si="163"/>
        <v>0.73913257719211012</v>
      </c>
      <c r="F69">
        <f t="shared" si="163"/>
        <v>0.54741793905570912</v>
      </c>
      <c r="G69">
        <f t="shared" si="163"/>
        <v>1.9612920911951277E-2</v>
      </c>
      <c r="I69">
        <f>STDEV(I62:I67)/1000</f>
        <v>6.4627135683601707E-3</v>
      </c>
      <c r="J69">
        <f t="shared" ref="J69:N69" si="164">STDEV(J62:J67)/1000</f>
        <v>9.8115578103984517E-3</v>
      </c>
      <c r="K69">
        <f t="shared" si="164"/>
        <v>1.1966620241321273E-2</v>
      </c>
      <c r="L69">
        <f t="shared" si="164"/>
        <v>2.0086479698223962E-2</v>
      </c>
      <c r="M69">
        <f t="shared" si="164"/>
        <v>1.3034569421350289E-2</v>
      </c>
      <c r="N69">
        <f t="shared" si="164"/>
        <v>1.5466091943344964E-2</v>
      </c>
      <c r="P69">
        <f>STDEV(P62:P67)/1000</f>
        <v>4.0824829046386303E-4</v>
      </c>
      <c r="Q69">
        <f t="shared" ref="Q69:U69" si="165">STDEV(Q62:Q67)/1000</f>
        <v>6.3736174971518345E-2</v>
      </c>
      <c r="R69">
        <f t="shared" si="165"/>
        <v>0.6350208395530611</v>
      </c>
      <c r="S69">
        <f t="shared" si="165"/>
        <v>0.7476354057961675</v>
      </c>
      <c r="T69">
        <f t="shared" si="165"/>
        <v>0.55066859362051879</v>
      </c>
      <c r="U69">
        <f t="shared" si="165"/>
        <v>1.5396969398254063E-2</v>
      </c>
      <c r="W69">
        <f>STDEV(W62:W67)/1000</f>
        <v>0.45500271061463543</v>
      </c>
      <c r="X69">
        <f t="shared" ref="X69:AB69" si="166">STDEV(X62:X67)/1000</f>
        <v>1.7322200783965067</v>
      </c>
      <c r="Y69">
        <f t="shared" si="166"/>
        <v>2.7800870969569647</v>
      </c>
      <c r="Z69">
        <f t="shared" si="166"/>
        <v>3.7229791699659027</v>
      </c>
      <c r="AA69">
        <f t="shared" si="166"/>
        <v>4.1539424165484053</v>
      </c>
      <c r="AB69">
        <f t="shared" si="166"/>
        <v>3.6737100956209345</v>
      </c>
    </row>
    <row r="70" spans="1:28">
      <c r="A70" t="s">
        <v>8</v>
      </c>
      <c r="B70">
        <f>CONFIDENCE(0.05,B69,5)/2</f>
        <v>2.8627106299469306E-3</v>
      </c>
      <c r="C70">
        <f t="shared" ref="C70" si="167">CONFIDENCE(0.05,C69,5)/2</f>
        <v>3.1287578187639296E-2</v>
      </c>
      <c r="D70">
        <f t="shared" ref="D70" si="168">CONFIDENCE(0.05,D69,5)/2</f>
        <v>0.28207520398189517</v>
      </c>
      <c r="E70">
        <f t="shared" ref="E70" si="169">CONFIDENCE(0.05,E69,5)/2</f>
        <v>0.32393318219167233</v>
      </c>
      <c r="F70">
        <f t="shared" ref="F70" si="170">CONFIDENCE(0.05,F69,5)/2</f>
        <v>0.23991208134915321</v>
      </c>
      <c r="G70">
        <f t="shared" ref="G70" si="171">CONFIDENCE(0.05,G69,5)/2</f>
        <v>8.5955836329355498E-3</v>
      </c>
      <c r="I70">
        <f>CONFIDENCE(0.05,I69,5)/2</f>
        <v>2.8323570579789005E-3</v>
      </c>
      <c r="J70">
        <f t="shared" ref="J70" si="172">CONFIDENCE(0.05,J69,5)/2</f>
        <v>4.3000257894922258E-3</v>
      </c>
      <c r="K70">
        <f t="shared" ref="K70" si="173">CONFIDENCE(0.05,K69,5)/2</f>
        <v>5.2445061880190338E-3</v>
      </c>
      <c r="L70">
        <f t="shared" ref="L70" si="174">CONFIDENCE(0.05,L69,5)/2</f>
        <v>8.8031261081635975E-3</v>
      </c>
      <c r="M70">
        <f t="shared" ref="M70" si="175">CONFIDENCE(0.05,M69,5)/2</f>
        <v>5.7125469522618889E-3</v>
      </c>
      <c r="N70">
        <f t="shared" ref="N70" si="176">CONFIDENCE(0.05,N69,5)/2</f>
        <v>6.7781891014858636E-3</v>
      </c>
      <c r="P70">
        <f>CONFIDENCE(0.05,P69,5)/2</f>
        <v>1.7891941437171572E-4</v>
      </c>
      <c r="Q70">
        <f t="shared" ref="Q70" si="177">CONFIDENCE(0.05,Q69,5)/2</f>
        <v>2.7933097006334395E-2</v>
      </c>
      <c r="R70">
        <f t="shared" ref="R70" si="178">CONFIDENCE(0.05,R69,5)/2</f>
        <v>0.27830503980206145</v>
      </c>
      <c r="S70">
        <f t="shared" ref="S70" si="179">CONFIDENCE(0.05,S69,5)/2</f>
        <v>0.32765964265673009</v>
      </c>
      <c r="T70">
        <f t="shared" ref="T70" si="180">CONFIDENCE(0.05,T69,5)/2</f>
        <v>0.24133671734799514</v>
      </c>
      <c r="U70">
        <f t="shared" ref="U70" si="181">CONFIDENCE(0.05,U69,5)/2</f>
        <v>6.7478953670687654E-3</v>
      </c>
      <c r="W70">
        <f>CONFIDENCE(0.05,W69,5)/2</f>
        <v>0.19941006593858568</v>
      </c>
      <c r="X70">
        <f t="shared" ref="X70" si="182">CONFIDENCE(0.05,X69,5)/2</f>
        <v>0.75916497197693567</v>
      </c>
      <c r="Y70">
        <f t="shared" ref="Y70" si="183">CONFIDENCE(0.05,Y69,5)/2</f>
        <v>1.2184045026244459</v>
      </c>
      <c r="Z70">
        <f t="shared" ref="Z70" si="184">CONFIDENCE(0.05,Z69,5)/2</f>
        <v>1.631637580286103</v>
      </c>
      <c r="AA70">
        <f t="shared" ref="AA70" si="185">CONFIDENCE(0.05,AA69,5)/2</f>
        <v>1.8205120801809163</v>
      </c>
      <c r="AB70">
        <f t="shared" ref="AB70" si="186">CONFIDENCE(0.05,AB69,5)/2</f>
        <v>1.6100448531777489</v>
      </c>
    </row>
    <row r="71" spans="1:28">
      <c r="A71" t="s">
        <v>87</v>
      </c>
      <c r="B71">
        <v>5</v>
      </c>
      <c r="C71">
        <v>364</v>
      </c>
      <c r="D71">
        <v>364</v>
      </c>
      <c r="E71">
        <v>364</v>
      </c>
      <c r="F71">
        <v>364</v>
      </c>
      <c r="G71">
        <v>364</v>
      </c>
    </row>
    <row r="72" spans="1:28">
      <c r="A72" t="s">
        <v>85</v>
      </c>
      <c r="B72">
        <v>270</v>
      </c>
      <c r="C72">
        <v>870</v>
      </c>
      <c r="D72">
        <v>1290</v>
      </c>
      <c r="E72">
        <v>1620</v>
      </c>
      <c r="F72">
        <v>1860</v>
      </c>
      <c r="G72">
        <v>2430</v>
      </c>
      <c r="H72" t="s">
        <v>27</v>
      </c>
    </row>
    <row r="74" spans="1:28">
      <c r="A74" s="1" t="s">
        <v>48</v>
      </c>
      <c r="B74" s="1"/>
    </row>
    <row r="75" spans="1:28">
      <c r="A75" s="1" t="s">
        <v>48</v>
      </c>
      <c r="B75" s="1"/>
    </row>
    <row r="76" spans="1:28">
      <c r="A76" t="s">
        <v>34</v>
      </c>
      <c r="B76" s="1"/>
    </row>
    <row r="77" spans="1:28">
      <c r="A77" t="s">
        <v>43</v>
      </c>
      <c r="B77" t="s">
        <v>83</v>
      </c>
      <c r="I77" t="s">
        <v>80</v>
      </c>
      <c r="P77" t="s">
        <v>81</v>
      </c>
      <c r="W77" t="s">
        <v>30</v>
      </c>
    </row>
    <row r="78" spans="1:28">
      <c r="A78" t="s">
        <v>6</v>
      </c>
      <c r="B78">
        <v>5</v>
      </c>
      <c r="C78">
        <v>10</v>
      </c>
      <c r="D78">
        <v>15</v>
      </c>
      <c r="E78">
        <v>20</v>
      </c>
      <c r="F78">
        <v>25</v>
      </c>
      <c r="G78">
        <v>30</v>
      </c>
      <c r="I78">
        <v>5</v>
      </c>
      <c r="J78">
        <v>10</v>
      </c>
      <c r="K78">
        <v>15</v>
      </c>
      <c r="L78">
        <v>20</v>
      </c>
      <c r="M78">
        <v>25</v>
      </c>
      <c r="N78">
        <v>30</v>
      </c>
      <c r="P78">
        <v>5</v>
      </c>
      <c r="Q78">
        <v>10</v>
      </c>
      <c r="R78">
        <v>15</v>
      </c>
      <c r="S78">
        <v>20</v>
      </c>
      <c r="T78">
        <v>25</v>
      </c>
      <c r="U78">
        <v>30</v>
      </c>
      <c r="W78">
        <v>5</v>
      </c>
      <c r="X78">
        <v>10</v>
      </c>
      <c r="Y78">
        <v>15</v>
      </c>
      <c r="Z78">
        <v>20</v>
      </c>
      <c r="AA78">
        <v>25</v>
      </c>
      <c r="AB78">
        <v>30</v>
      </c>
    </row>
    <row r="80" spans="1:28">
      <c r="A80" t="s">
        <v>0</v>
      </c>
      <c r="B80">
        <v>499</v>
      </c>
      <c r="C80">
        <v>35163</v>
      </c>
      <c r="D80">
        <v>103711</v>
      </c>
      <c r="E80">
        <v>178670</v>
      </c>
      <c r="F80">
        <v>1611526</v>
      </c>
      <c r="G80">
        <v>6382992</v>
      </c>
      <c r="I80">
        <v>31</v>
      </c>
      <c r="J80">
        <v>78</v>
      </c>
      <c r="K80">
        <v>172</v>
      </c>
      <c r="L80">
        <v>281</v>
      </c>
      <c r="M80">
        <v>951</v>
      </c>
      <c r="N80">
        <v>6412</v>
      </c>
      <c r="P80">
        <f>B80-I80</f>
        <v>468</v>
      </c>
      <c r="Q80">
        <f t="shared" ref="Q80:Q86" si="187">C80-J80</f>
        <v>35085</v>
      </c>
      <c r="R80">
        <f t="shared" ref="R80:R86" si="188">D80-K80</f>
        <v>103539</v>
      </c>
      <c r="S80">
        <f t="shared" ref="S80:S86" si="189">E80-L80</f>
        <v>178389</v>
      </c>
      <c r="T80">
        <f t="shared" ref="T80:T86" si="190">F80-M80</f>
        <v>1610575</v>
      </c>
      <c r="U80">
        <f>G80-N80</f>
        <v>6376580</v>
      </c>
      <c r="W80">
        <v>3338</v>
      </c>
      <c r="X80">
        <v>9735</v>
      </c>
      <c r="Y80">
        <v>15990</v>
      </c>
      <c r="Z80">
        <v>21185</v>
      </c>
      <c r="AA80">
        <v>33588</v>
      </c>
      <c r="AB80">
        <v>43556</v>
      </c>
    </row>
    <row r="81" spans="1:28">
      <c r="A81" t="s">
        <v>1</v>
      </c>
      <c r="B81">
        <v>421</v>
      </c>
      <c r="C81">
        <v>1747</v>
      </c>
      <c r="D81">
        <v>3385</v>
      </c>
      <c r="E81">
        <v>4274</v>
      </c>
      <c r="F81">
        <v>10967</v>
      </c>
      <c r="G81">
        <v>52979</v>
      </c>
      <c r="I81">
        <v>16</v>
      </c>
      <c r="J81">
        <v>47</v>
      </c>
      <c r="K81">
        <v>125</v>
      </c>
      <c r="L81">
        <v>234</v>
      </c>
      <c r="M81">
        <v>905</v>
      </c>
      <c r="N81">
        <v>6365</v>
      </c>
      <c r="P81">
        <f t="shared" ref="P81:P86" si="191">B81-I81</f>
        <v>405</v>
      </c>
      <c r="Q81">
        <f t="shared" si="187"/>
        <v>1700</v>
      </c>
      <c r="R81">
        <f t="shared" si="188"/>
        <v>3260</v>
      </c>
      <c r="S81">
        <f t="shared" si="189"/>
        <v>4040</v>
      </c>
      <c r="T81">
        <f t="shared" si="190"/>
        <v>10062</v>
      </c>
      <c r="U81">
        <f t="shared" ref="U81:U86" si="192">G81-N81</f>
        <v>46614</v>
      </c>
      <c r="W81">
        <v>3338</v>
      </c>
      <c r="X81">
        <v>9735</v>
      </c>
      <c r="Y81">
        <v>15990</v>
      </c>
      <c r="Z81">
        <v>21185</v>
      </c>
      <c r="AA81">
        <v>33588</v>
      </c>
      <c r="AB81">
        <v>43556</v>
      </c>
    </row>
    <row r="82" spans="1:28">
      <c r="A82" t="s">
        <v>2</v>
      </c>
      <c r="B82">
        <v>421</v>
      </c>
      <c r="C82">
        <v>1762</v>
      </c>
      <c r="D82">
        <v>3385</v>
      </c>
      <c r="E82">
        <v>4259</v>
      </c>
      <c r="F82">
        <v>10951</v>
      </c>
      <c r="G82">
        <v>51684</v>
      </c>
      <c r="I82">
        <v>16</v>
      </c>
      <c r="J82">
        <v>62</v>
      </c>
      <c r="K82">
        <v>125</v>
      </c>
      <c r="L82">
        <v>234</v>
      </c>
      <c r="M82">
        <v>905</v>
      </c>
      <c r="N82">
        <v>6349</v>
      </c>
      <c r="P82">
        <f t="shared" si="191"/>
        <v>405</v>
      </c>
      <c r="Q82">
        <f t="shared" si="187"/>
        <v>1700</v>
      </c>
      <c r="R82">
        <f t="shared" si="188"/>
        <v>3260</v>
      </c>
      <c r="S82">
        <f t="shared" si="189"/>
        <v>4025</v>
      </c>
      <c r="T82">
        <f t="shared" si="190"/>
        <v>10046</v>
      </c>
      <c r="U82">
        <f t="shared" si="192"/>
        <v>45335</v>
      </c>
      <c r="W82">
        <v>4212</v>
      </c>
      <c r="X82">
        <v>12293</v>
      </c>
      <c r="Y82">
        <v>20218</v>
      </c>
      <c r="Z82">
        <v>26879</v>
      </c>
      <c r="AA82">
        <v>41138</v>
      </c>
      <c r="AB82">
        <v>53212</v>
      </c>
    </row>
    <row r="83" spans="1:28">
      <c r="A83" t="s">
        <v>3</v>
      </c>
      <c r="B83">
        <v>437</v>
      </c>
      <c r="C83">
        <v>1763</v>
      </c>
      <c r="D83">
        <v>3385</v>
      </c>
      <c r="E83">
        <v>4228</v>
      </c>
      <c r="F83">
        <v>10952</v>
      </c>
      <c r="G83">
        <v>51762</v>
      </c>
      <c r="I83">
        <v>16</v>
      </c>
      <c r="J83">
        <v>47</v>
      </c>
      <c r="K83">
        <v>124</v>
      </c>
      <c r="L83">
        <v>219</v>
      </c>
      <c r="M83">
        <v>921</v>
      </c>
      <c r="N83">
        <v>6381</v>
      </c>
      <c r="P83">
        <f t="shared" si="191"/>
        <v>421</v>
      </c>
      <c r="Q83">
        <f t="shared" si="187"/>
        <v>1716</v>
      </c>
      <c r="R83">
        <f t="shared" si="188"/>
        <v>3261</v>
      </c>
      <c r="S83">
        <f t="shared" si="189"/>
        <v>4009</v>
      </c>
      <c r="T83">
        <f t="shared" si="190"/>
        <v>10031</v>
      </c>
      <c r="U83">
        <f t="shared" si="192"/>
        <v>45381</v>
      </c>
      <c r="W83">
        <v>4212</v>
      </c>
      <c r="X83">
        <v>12277</v>
      </c>
      <c r="Y83">
        <v>20140</v>
      </c>
      <c r="Z83">
        <v>26910</v>
      </c>
      <c r="AA83">
        <v>40935</v>
      </c>
      <c r="AB83">
        <v>53416</v>
      </c>
    </row>
    <row r="84" spans="1:28">
      <c r="A84" t="s">
        <v>4</v>
      </c>
      <c r="B84">
        <v>421</v>
      </c>
      <c r="C84">
        <v>1763</v>
      </c>
      <c r="D84">
        <v>3385</v>
      </c>
      <c r="E84">
        <v>4227</v>
      </c>
      <c r="F84">
        <v>10952</v>
      </c>
      <c r="G84">
        <v>51809</v>
      </c>
      <c r="I84">
        <v>0</v>
      </c>
      <c r="J84">
        <v>47</v>
      </c>
      <c r="K84">
        <v>141</v>
      </c>
      <c r="L84">
        <v>234</v>
      </c>
      <c r="M84">
        <v>921</v>
      </c>
      <c r="N84">
        <v>6396</v>
      </c>
      <c r="P84">
        <f t="shared" si="191"/>
        <v>421</v>
      </c>
      <c r="Q84">
        <f t="shared" si="187"/>
        <v>1716</v>
      </c>
      <c r="R84">
        <f t="shared" si="188"/>
        <v>3244</v>
      </c>
      <c r="S84">
        <f t="shared" si="189"/>
        <v>3993</v>
      </c>
      <c r="T84">
        <f t="shared" si="190"/>
        <v>10031</v>
      </c>
      <c r="U84">
        <f t="shared" si="192"/>
        <v>45413</v>
      </c>
      <c r="W84">
        <v>3338</v>
      </c>
      <c r="X84">
        <v>9735</v>
      </c>
      <c r="Y84">
        <v>15990</v>
      </c>
      <c r="Z84">
        <v>21185</v>
      </c>
      <c r="AA84">
        <v>33588</v>
      </c>
      <c r="AB84">
        <v>43556</v>
      </c>
    </row>
    <row r="85" spans="1:28">
      <c r="A85" t="s">
        <v>31</v>
      </c>
      <c r="B85">
        <v>421</v>
      </c>
      <c r="C85">
        <v>1747</v>
      </c>
      <c r="D85">
        <v>3370</v>
      </c>
      <c r="E85">
        <v>4243</v>
      </c>
      <c r="F85">
        <v>10936</v>
      </c>
      <c r="G85">
        <v>51933</v>
      </c>
      <c r="I85">
        <v>0</v>
      </c>
      <c r="J85">
        <v>47</v>
      </c>
      <c r="K85">
        <v>125</v>
      </c>
      <c r="L85">
        <v>234</v>
      </c>
      <c r="M85">
        <v>889</v>
      </c>
      <c r="N85">
        <v>6443</v>
      </c>
      <c r="P85">
        <f t="shared" si="191"/>
        <v>421</v>
      </c>
      <c r="Q85">
        <f t="shared" si="187"/>
        <v>1700</v>
      </c>
      <c r="R85">
        <f t="shared" si="188"/>
        <v>3245</v>
      </c>
      <c r="S85">
        <f t="shared" si="189"/>
        <v>4009</v>
      </c>
      <c r="T85">
        <f t="shared" si="190"/>
        <v>10047</v>
      </c>
      <c r="U85">
        <f t="shared" si="192"/>
        <v>45490</v>
      </c>
      <c r="W85">
        <v>4212</v>
      </c>
      <c r="X85">
        <v>12293</v>
      </c>
      <c r="Y85">
        <v>20218</v>
      </c>
      <c r="Z85">
        <v>26879</v>
      </c>
      <c r="AA85">
        <v>41138</v>
      </c>
      <c r="AB85">
        <v>53212</v>
      </c>
    </row>
    <row r="86" spans="1:28">
      <c r="A86" t="s">
        <v>32</v>
      </c>
      <c r="B86">
        <v>421</v>
      </c>
      <c r="C86">
        <v>1763</v>
      </c>
      <c r="D86">
        <v>3385</v>
      </c>
      <c r="E86">
        <v>4258</v>
      </c>
      <c r="F86">
        <v>10904</v>
      </c>
      <c r="G86">
        <v>52745</v>
      </c>
      <c r="I86">
        <v>0</v>
      </c>
      <c r="J86">
        <v>62</v>
      </c>
      <c r="K86">
        <v>140</v>
      </c>
      <c r="L86">
        <v>234</v>
      </c>
      <c r="M86">
        <v>889</v>
      </c>
      <c r="N86">
        <v>6412</v>
      </c>
      <c r="P86">
        <f t="shared" si="191"/>
        <v>421</v>
      </c>
      <c r="Q86">
        <f t="shared" si="187"/>
        <v>1701</v>
      </c>
      <c r="R86">
        <f t="shared" si="188"/>
        <v>3245</v>
      </c>
      <c r="S86">
        <f t="shared" si="189"/>
        <v>4024</v>
      </c>
      <c r="T86">
        <f t="shared" si="190"/>
        <v>10015</v>
      </c>
      <c r="U86">
        <f t="shared" si="192"/>
        <v>46333</v>
      </c>
      <c r="W86">
        <v>4212</v>
      </c>
      <c r="X86">
        <v>12277</v>
      </c>
      <c r="Y86">
        <v>20140</v>
      </c>
      <c r="Z86">
        <v>26910</v>
      </c>
      <c r="AA86">
        <v>40935</v>
      </c>
      <c r="AB86">
        <v>53416</v>
      </c>
    </row>
    <row r="87" spans="1:28">
      <c r="A87" t="s">
        <v>5</v>
      </c>
      <c r="B87">
        <f>(SUM(B80:B86) -MAX(B80:B86))/((COUNT(B80:B86)-1)*1000)</f>
        <v>0.42366666666666669</v>
      </c>
      <c r="C87">
        <f t="shared" ref="C87" si="193">(SUM(C80:C86) -MAX(C80:C86))/((COUNT(C80:C86)-1)*1000)</f>
        <v>1.7575000000000001</v>
      </c>
      <c r="D87">
        <f t="shared" ref="D87" si="194">(SUM(D80:D86) -MAX(D80:D86))/((COUNT(D80:D86)-1)*1000)</f>
        <v>3.3824999999999998</v>
      </c>
      <c r="E87">
        <f t="shared" ref="E87" si="195">(SUM(E80:E86) -MAX(E80:E86))/((COUNT(E80:E86)-1)*1000)</f>
        <v>4.2481666666666671</v>
      </c>
      <c r="F87">
        <f t="shared" ref="F87" si="196">(SUM(F80:F86) -MAX(F80:F86))/((COUNT(F80:F86)-1)*1000)</f>
        <v>10.943666666666667</v>
      </c>
      <c r="G87">
        <f t="shared" ref="G87" si="197">(SUM(G80:G86) -MAX(G80:G86))/((COUNT(G80:G86)-1)*1000)</f>
        <v>52.152000000000001</v>
      </c>
      <c r="I87">
        <f>(SUM(I80:I86) -MAX(I80:I86))/((COUNT(I80:I86)-1)*1000)</f>
        <v>8.0000000000000002E-3</v>
      </c>
      <c r="J87">
        <f t="shared" ref="J87" si="198">(SUM(J80:J86) -MAX(J80:J86))/((COUNT(J80:J86)-1)*1000)</f>
        <v>5.1999999999999998E-2</v>
      </c>
      <c r="K87">
        <f t="shared" ref="K87" si="199">(SUM(K80:K86) -MAX(K80:K86))/((COUNT(K80:K86)-1)*1000)</f>
        <v>0.13</v>
      </c>
      <c r="L87">
        <f t="shared" ref="L87" si="200">(SUM(L80:L86) -MAX(L80:L86))/((COUNT(L80:L86)-1)*1000)</f>
        <v>0.23150000000000001</v>
      </c>
      <c r="M87">
        <f t="shared" ref="M87" si="201">(SUM(M80:M86) -MAX(M80:M86))/((COUNT(M80:M86)-1)*1000)</f>
        <v>0.90500000000000003</v>
      </c>
      <c r="N87">
        <f t="shared" ref="N87" si="202">(SUM(N80:N86) -MAX(N80:N86))/((COUNT(N80:N86)-1)*1000)</f>
        <v>6.3858333333333333</v>
      </c>
      <c r="P87">
        <f>(SUM(P80:P86) -MAX(P80:P86))/((COUNT(P80:P86)-1)*1000)</f>
        <v>0.41566666666666668</v>
      </c>
      <c r="Q87">
        <f t="shared" ref="Q87" si="203">(SUM(Q80:Q86) -MAX(Q80:Q86))/((COUNT(Q80:Q86)-1)*1000)</f>
        <v>1.7055</v>
      </c>
      <c r="R87">
        <f t="shared" ref="R87" si="204">(SUM(R80:R86) -MAX(R80:R86))/((COUNT(R80:R86)-1)*1000)</f>
        <v>3.2524999999999999</v>
      </c>
      <c r="S87">
        <f t="shared" ref="S87" si="205">(SUM(S80:S86) -MAX(S80:S86))/((COUNT(S80:S86)-1)*1000)</f>
        <v>4.0166666666666666</v>
      </c>
      <c r="T87">
        <f t="shared" ref="T87" si="206">(SUM(T80:T86) -MAX(T80:T86))/((COUNT(T80:T86)-1)*1000)</f>
        <v>10.038666666666666</v>
      </c>
      <c r="U87">
        <f t="shared" ref="U87" si="207">(SUM(U80:U86) -MAX(U80:U86))/((COUNT(U80:U86)-1)*1000)</f>
        <v>45.761000000000003</v>
      </c>
      <c r="W87">
        <f>(SUM(W80:W86) -MAX(W80:W86))/((COUNT(W80:W86)-1)*1000)</f>
        <v>3.7749999999999999</v>
      </c>
      <c r="X87">
        <f t="shared" ref="X87" si="208">(SUM(X80:X86) -MAX(X80:X86))/((COUNT(X80:X86)-1)*1000)</f>
        <v>11.008666666666667</v>
      </c>
      <c r="Y87">
        <f t="shared" ref="Y87" si="209">(SUM(Y80:Y86) -MAX(Y80:Y86))/((COUNT(Y80:Y86)-1)*1000)</f>
        <v>18.077999999999999</v>
      </c>
      <c r="Z87">
        <f t="shared" ref="Z87" si="210">(SUM(Z80:Z86) -MAX(Z80:Z86))/((COUNT(Z80:Z86)-1)*1000)</f>
        <v>24.037166666666668</v>
      </c>
      <c r="AA87">
        <f t="shared" ref="AA87" si="211">(SUM(AA80:AA86) -MAX(AA80:AA86))/((COUNT(AA80:AA86)-1)*1000)</f>
        <v>37.295333333333332</v>
      </c>
      <c r="AB87">
        <f t="shared" ref="AB87" si="212">(SUM(AB80:AB86) -MAX(AB80:AB86))/((COUNT(AB80:AB86)-1)*1000)</f>
        <v>48.417999999999999</v>
      </c>
    </row>
    <row r="88" spans="1:28">
      <c r="A88" t="s">
        <v>7</v>
      </c>
      <c r="B88">
        <f>STDEV(B81:B86)/1000</f>
        <v>6.5319726474206202E-3</v>
      </c>
      <c r="C88">
        <f t="shared" ref="C88:G88" si="213">STDEV(C81:C86)/1000</f>
        <v>8.1424811943289124E-3</v>
      </c>
      <c r="D88">
        <f t="shared" si="213"/>
        <v>6.1237243569579455E-3</v>
      </c>
      <c r="E88">
        <f t="shared" si="213"/>
        <v>1.8776758683693873E-2</v>
      </c>
      <c r="F88">
        <f t="shared" si="213"/>
        <v>2.176847874047734E-2</v>
      </c>
      <c r="G88">
        <f t="shared" si="213"/>
        <v>0.56076947135164201</v>
      </c>
      <c r="I88">
        <f>STDEV(I81:I86)/1000</f>
        <v>8.7635609200826577E-3</v>
      </c>
      <c r="J88">
        <f t="shared" ref="J88:N88" si="214">STDEV(J81:J86)/1000</f>
        <v>7.7459666924148338E-3</v>
      </c>
      <c r="K88">
        <f t="shared" si="214"/>
        <v>8.1486195149853453E-3</v>
      </c>
      <c r="L88">
        <f t="shared" si="214"/>
        <v>6.1237243569579455E-3</v>
      </c>
      <c r="M88">
        <f t="shared" si="214"/>
        <v>1.4310835055998655E-2</v>
      </c>
      <c r="N88">
        <f t="shared" si="214"/>
        <v>3.3793490497431605E-2</v>
      </c>
      <c r="P88">
        <f>STDEV(P81:P86)/1000</f>
        <v>8.2623644719096254E-3</v>
      </c>
      <c r="Q88">
        <f t="shared" ref="Q88:U88" si="215">STDEV(Q81:Q86)/1000</f>
        <v>8.1424811943289124E-3</v>
      </c>
      <c r="R88">
        <f t="shared" si="215"/>
        <v>8.596510920134982E-3</v>
      </c>
      <c r="S88">
        <f t="shared" si="215"/>
        <v>1.6403251710123613E-2</v>
      </c>
      <c r="T88">
        <f t="shared" si="215"/>
        <v>1.6403251710396142E-2</v>
      </c>
      <c r="U88">
        <f t="shared" si="215"/>
        <v>0.56128673599150725</v>
      </c>
      <c r="W88">
        <f>STDEV(W81:W86)/1000</f>
        <v>0.45133165927803659</v>
      </c>
      <c r="X88">
        <f t="shared" ref="X88:AB88" si="216">STDEV(X81:X86)/1000</f>
        <v>1.3168337784245969</v>
      </c>
      <c r="Y88">
        <f t="shared" si="216"/>
        <v>2.1634715312817616</v>
      </c>
      <c r="Z88">
        <f t="shared" si="216"/>
        <v>2.9484057160890695</v>
      </c>
      <c r="AA88">
        <f t="shared" si="216"/>
        <v>3.8474600799315377</v>
      </c>
      <c r="AB88">
        <f t="shared" si="216"/>
        <v>5.0398353412256229</v>
      </c>
    </row>
    <row r="89" spans="1:28">
      <c r="A89" t="s">
        <v>8</v>
      </c>
      <c r="B89">
        <f>CONFIDENCE(0.05,B88,5)/2</f>
        <v>2.8627106299469306E-3</v>
      </c>
      <c r="C89">
        <f t="shared" ref="C89" si="217">CONFIDENCE(0.05,C88,5)/2</f>
        <v>3.5685341515251079E-3</v>
      </c>
      <c r="D89">
        <f t="shared" ref="D89" si="218">CONFIDENCE(0.05,D88,5)/2</f>
        <v>2.6837912155757357E-3</v>
      </c>
      <c r="E89">
        <f t="shared" ref="E89" si="219">CONFIDENCE(0.05,E88,5)/2</f>
        <v>8.2291261126123706E-3</v>
      </c>
      <c r="F89">
        <f t="shared" ref="F89" si="220">CONFIDENCE(0.05,F88,5)/2</f>
        <v>9.5402811450452495E-3</v>
      </c>
      <c r="G89">
        <f t="shared" ref="G89" si="221">CONFIDENCE(0.05,G88,5)/2</f>
        <v>0.24576354085346389</v>
      </c>
      <c r="I89">
        <f>CONFIDENCE(0.05,I88,5)/2</f>
        <v>3.8407293410842474E-3</v>
      </c>
      <c r="J89">
        <f t="shared" ref="J89" si="222">CONFIDENCE(0.05,J88,5)/2</f>
        <v>3.3947572022285147E-3</v>
      </c>
      <c r="K89">
        <f t="shared" ref="K89" si="223">CONFIDENCE(0.05,K88,5)/2</f>
        <v>3.5712243397334332E-3</v>
      </c>
      <c r="L89">
        <f t="shared" ref="L89" si="224">CONFIDENCE(0.05,L88,5)/2</f>
        <v>2.6837912155757357E-3</v>
      </c>
      <c r="M89">
        <f t="shared" ref="M89" si="225">CONFIDENCE(0.05,M88,5)/2</f>
        <v>6.2718847505281736E-3</v>
      </c>
      <c r="N89">
        <f t="shared" ref="N89" si="226">CONFIDENCE(0.05,N88,5)/2</f>
        <v>1.4810378072879658E-2</v>
      </c>
      <c r="P89">
        <f>CONFIDENCE(0.05,P88,5)/2</f>
        <v>3.6210743490439549E-3</v>
      </c>
      <c r="Q89">
        <f t="shared" ref="Q89" si="227">CONFIDENCE(0.05,Q88,5)/2</f>
        <v>3.5685341515251079E-3</v>
      </c>
      <c r="R89">
        <f t="shared" ref="R89" si="228">CONFIDENCE(0.05,R88,5)/2</f>
        <v>3.7675177959055205E-3</v>
      </c>
      <c r="S89">
        <f t="shared" ref="S89" si="229">CONFIDENCE(0.05,S88,5)/2</f>
        <v>7.1889099313373521E-3</v>
      </c>
      <c r="T89">
        <f t="shared" ref="T89" si="230">CONFIDENCE(0.05,T88,5)/2</f>
        <v>7.1889099314567913E-3</v>
      </c>
      <c r="U89">
        <f t="shared" ref="U89" si="231">CONFIDENCE(0.05,U88,5)/2</f>
        <v>0.24599023791160646</v>
      </c>
      <c r="W89">
        <f>CONFIDENCE(0.05,W88,5)/2</f>
        <v>0.19780118631651433</v>
      </c>
      <c r="X89">
        <f t="shared" ref="X89" si="232">CONFIDENCE(0.05,X88,5)/2</f>
        <v>0.57711724449089341</v>
      </c>
      <c r="Y89">
        <f t="shared" ref="Y89" si="233">CONFIDENCE(0.05,Y88,5)/2</f>
        <v>0.94816578153209841</v>
      </c>
      <c r="Z89">
        <f t="shared" ref="Z89" si="234">CONFIDENCE(0.05,Z88,5)/2</f>
        <v>1.2921720344584531</v>
      </c>
      <c r="AA89">
        <f t="shared" ref="AA89" si="235">CONFIDENCE(0.05,AA88,5)/2</f>
        <v>1.6861927420142844</v>
      </c>
      <c r="AB89">
        <f t="shared" ref="AB89" si="236">CONFIDENCE(0.05,AB88,5)/2</f>
        <v>2.2087646386893627</v>
      </c>
    </row>
    <row r="90" spans="1:28">
      <c r="A90" t="s">
        <v>86</v>
      </c>
      <c r="B90">
        <v>4</v>
      </c>
      <c r="C90">
        <v>20</v>
      </c>
      <c r="D90">
        <v>42</v>
      </c>
      <c r="E90">
        <v>57</v>
      </c>
      <c r="F90">
        <v>237</v>
      </c>
      <c r="G90">
        <v>1177</v>
      </c>
    </row>
    <row r="91" spans="1:28">
      <c r="A91" t="s">
        <v>89</v>
      </c>
      <c r="B91">
        <v>280</v>
      </c>
      <c r="C91">
        <v>710</v>
      </c>
      <c r="D91">
        <v>1140</v>
      </c>
      <c r="E91">
        <v>1500</v>
      </c>
      <c r="F91">
        <v>2050</v>
      </c>
      <c r="G91">
        <v>2600</v>
      </c>
      <c r="H91" t="s">
        <v>27</v>
      </c>
    </row>
    <row r="93" spans="1:28">
      <c r="A93" s="1" t="s">
        <v>42</v>
      </c>
      <c r="B93" s="1"/>
    </row>
    <row r="94" spans="1:28">
      <c r="A94" t="s">
        <v>33</v>
      </c>
    </row>
    <row r="95" spans="1:28">
      <c r="A95" t="s">
        <v>43</v>
      </c>
      <c r="B95" t="s">
        <v>84</v>
      </c>
      <c r="I95" t="s">
        <v>79</v>
      </c>
      <c r="P95" t="s">
        <v>82</v>
      </c>
      <c r="W95" t="s">
        <v>30</v>
      </c>
    </row>
    <row r="96" spans="1:28">
      <c r="A96" t="s">
        <v>6</v>
      </c>
      <c r="B96">
        <v>5</v>
      </c>
      <c r="C96">
        <v>10</v>
      </c>
      <c r="D96">
        <v>15</v>
      </c>
      <c r="E96">
        <v>20</v>
      </c>
      <c r="F96">
        <v>25</v>
      </c>
      <c r="G96">
        <v>30</v>
      </c>
      <c r="I96">
        <v>5</v>
      </c>
      <c r="J96">
        <v>10</v>
      </c>
      <c r="K96">
        <v>15</v>
      </c>
      <c r="L96">
        <v>20</v>
      </c>
      <c r="M96">
        <v>25</v>
      </c>
      <c r="N96">
        <v>30</v>
      </c>
      <c r="P96">
        <v>5</v>
      </c>
      <c r="Q96">
        <v>10</v>
      </c>
      <c r="R96">
        <v>15</v>
      </c>
      <c r="S96">
        <v>20</v>
      </c>
      <c r="T96">
        <v>25</v>
      </c>
      <c r="U96">
        <v>30</v>
      </c>
      <c r="W96">
        <v>5</v>
      </c>
      <c r="X96">
        <v>10</v>
      </c>
      <c r="Y96">
        <v>15</v>
      </c>
      <c r="Z96">
        <v>20</v>
      </c>
      <c r="AA96">
        <v>25</v>
      </c>
      <c r="AB96">
        <v>30</v>
      </c>
    </row>
    <row r="98" spans="1:28">
      <c r="A98" t="s">
        <v>0</v>
      </c>
      <c r="B98">
        <v>499</v>
      </c>
      <c r="C98">
        <v>34617</v>
      </c>
      <c r="D98">
        <v>103883</v>
      </c>
      <c r="E98">
        <v>181494</v>
      </c>
      <c r="F98">
        <v>2742517</v>
      </c>
      <c r="G98">
        <v>8855355</v>
      </c>
      <c r="I98">
        <v>31</v>
      </c>
      <c r="J98">
        <v>78</v>
      </c>
      <c r="K98">
        <v>156</v>
      </c>
      <c r="L98">
        <v>265</v>
      </c>
      <c r="M98">
        <v>1092</v>
      </c>
      <c r="N98">
        <v>7036</v>
      </c>
      <c r="P98">
        <f>B98-I98</f>
        <v>468</v>
      </c>
      <c r="Q98">
        <f t="shared" ref="Q98:Q104" si="237">C98-J98</f>
        <v>34539</v>
      </c>
      <c r="R98">
        <f t="shared" ref="R98:R104" si="238">D98-K98</f>
        <v>103727</v>
      </c>
      <c r="S98">
        <f t="shared" ref="S98:S104" si="239">E98-L98</f>
        <v>181229</v>
      </c>
      <c r="T98">
        <f t="shared" ref="T98:T104" si="240">F98-M98</f>
        <v>2741425</v>
      </c>
      <c r="U98">
        <f>G98-N98</f>
        <v>8848319</v>
      </c>
      <c r="W98">
        <v>3323</v>
      </c>
      <c r="X98">
        <v>10140</v>
      </c>
      <c r="Y98">
        <v>16255</v>
      </c>
      <c r="Z98">
        <v>22885</v>
      </c>
      <c r="AA98">
        <v>36473</v>
      </c>
      <c r="AB98">
        <v>48018</v>
      </c>
    </row>
    <row r="99" spans="1:28">
      <c r="A99" t="s">
        <v>1</v>
      </c>
      <c r="B99">
        <v>436</v>
      </c>
      <c r="C99">
        <v>1810</v>
      </c>
      <c r="D99">
        <v>3432</v>
      </c>
      <c r="E99">
        <v>4836</v>
      </c>
      <c r="F99">
        <v>14961</v>
      </c>
      <c r="G99">
        <v>63415</v>
      </c>
      <c r="I99">
        <v>15</v>
      </c>
      <c r="J99">
        <v>63</v>
      </c>
      <c r="K99">
        <v>124</v>
      </c>
      <c r="L99">
        <v>249</v>
      </c>
      <c r="M99">
        <v>1014</v>
      </c>
      <c r="N99">
        <v>6989</v>
      </c>
      <c r="P99">
        <f t="shared" ref="P99:P104" si="241">B99-I99</f>
        <v>421</v>
      </c>
      <c r="Q99">
        <f t="shared" si="237"/>
        <v>1747</v>
      </c>
      <c r="R99">
        <f t="shared" si="238"/>
        <v>3308</v>
      </c>
      <c r="S99">
        <f t="shared" si="239"/>
        <v>4587</v>
      </c>
      <c r="T99">
        <f t="shared" si="240"/>
        <v>13947</v>
      </c>
      <c r="U99">
        <f t="shared" ref="U99:U104" si="242">G99-N99</f>
        <v>56426</v>
      </c>
      <c r="W99">
        <v>3323</v>
      </c>
      <c r="X99">
        <v>10140</v>
      </c>
      <c r="Y99">
        <v>16255</v>
      </c>
      <c r="Z99">
        <v>22885</v>
      </c>
      <c r="AA99">
        <v>36473</v>
      </c>
      <c r="AB99">
        <v>48018</v>
      </c>
    </row>
    <row r="100" spans="1:28">
      <c r="A100" t="s">
        <v>2</v>
      </c>
      <c r="B100">
        <v>436</v>
      </c>
      <c r="C100">
        <v>1794</v>
      </c>
      <c r="D100">
        <v>3416</v>
      </c>
      <c r="E100">
        <v>4836</v>
      </c>
      <c r="F100">
        <v>14961</v>
      </c>
      <c r="G100">
        <v>64367</v>
      </c>
      <c r="I100">
        <v>15</v>
      </c>
      <c r="J100">
        <v>63</v>
      </c>
      <c r="K100">
        <v>140</v>
      </c>
      <c r="L100">
        <v>250</v>
      </c>
      <c r="M100">
        <v>1014</v>
      </c>
      <c r="N100">
        <v>6973</v>
      </c>
      <c r="P100">
        <f t="shared" si="241"/>
        <v>421</v>
      </c>
      <c r="Q100">
        <f t="shared" si="237"/>
        <v>1731</v>
      </c>
      <c r="R100">
        <f t="shared" si="238"/>
        <v>3276</v>
      </c>
      <c r="S100">
        <f t="shared" si="239"/>
        <v>4586</v>
      </c>
      <c r="T100">
        <f t="shared" si="240"/>
        <v>13947</v>
      </c>
      <c r="U100">
        <f t="shared" si="242"/>
        <v>57394</v>
      </c>
      <c r="W100">
        <v>4228</v>
      </c>
      <c r="X100">
        <v>12776</v>
      </c>
      <c r="Y100">
        <v>20593</v>
      </c>
      <c r="Z100">
        <v>28721</v>
      </c>
      <c r="AA100">
        <v>45023</v>
      </c>
      <c r="AB100">
        <v>58204</v>
      </c>
    </row>
    <row r="101" spans="1:28">
      <c r="A101" t="s">
        <v>3</v>
      </c>
      <c r="B101">
        <v>436</v>
      </c>
      <c r="C101">
        <v>1794</v>
      </c>
      <c r="D101">
        <v>3401</v>
      </c>
      <c r="E101">
        <v>4836</v>
      </c>
      <c r="F101">
        <v>14960</v>
      </c>
      <c r="G101">
        <v>61980</v>
      </c>
      <c r="I101">
        <v>15</v>
      </c>
      <c r="J101">
        <v>62</v>
      </c>
      <c r="K101">
        <v>125</v>
      </c>
      <c r="L101">
        <v>249</v>
      </c>
      <c r="M101">
        <v>1014</v>
      </c>
      <c r="N101">
        <v>6942</v>
      </c>
      <c r="P101">
        <f t="shared" si="241"/>
        <v>421</v>
      </c>
      <c r="Q101">
        <f t="shared" si="237"/>
        <v>1732</v>
      </c>
      <c r="R101">
        <f t="shared" si="238"/>
        <v>3276</v>
      </c>
      <c r="S101">
        <f t="shared" si="239"/>
        <v>4587</v>
      </c>
      <c r="T101">
        <f t="shared" si="240"/>
        <v>13946</v>
      </c>
      <c r="U101">
        <f t="shared" si="242"/>
        <v>55038</v>
      </c>
      <c r="W101">
        <v>4196</v>
      </c>
      <c r="X101">
        <v>12793</v>
      </c>
      <c r="Y101">
        <v>20670</v>
      </c>
      <c r="Z101">
        <v>28814</v>
      </c>
      <c r="AA101">
        <v>45147</v>
      </c>
      <c r="AB101">
        <v>57955</v>
      </c>
    </row>
    <row r="102" spans="1:28">
      <c r="A102" t="s">
        <v>4</v>
      </c>
      <c r="B102">
        <v>421</v>
      </c>
      <c r="C102">
        <v>1794</v>
      </c>
      <c r="D102">
        <v>3401</v>
      </c>
      <c r="E102">
        <v>4821</v>
      </c>
      <c r="F102">
        <v>14961</v>
      </c>
      <c r="G102">
        <v>64008</v>
      </c>
      <c r="I102">
        <v>0</v>
      </c>
      <c r="J102">
        <v>47</v>
      </c>
      <c r="K102">
        <v>125</v>
      </c>
      <c r="L102">
        <v>234</v>
      </c>
      <c r="M102">
        <v>1030</v>
      </c>
      <c r="N102">
        <v>6911</v>
      </c>
      <c r="P102">
        <f t="shared" si="241"/>
        <v>421</v>
      </c>
      <c r="Q102">
        <f t="shared" si="237"/>
        <v>1747</v>
      </c>
      <c r="R102">
        <f t="shared" si="238"/>
        <v>3276</v>
      </c>
      <c r="S102">
        <f t="shared" si="239"/>
        <v>4587</v>
      </c>
      <c r="T102">
        <f t="shared" si="240"/>
        <v>13931</v>
      </c>
      <c r="U102">
        <f t="shared" si="242"/>
        <v>57097</v>
      </c>
      <c r="W102">
        <v>3323</v>
      </c>
      <c r="X102">
        <v>10140</v>
      </c>
      <c r="Y102">
        <v>16255</v>
      </c>
      <c r="Z102">
        <v>22885</v>
      </c>
      <c r="AA102">
        <v>36473</v>
      </c>
      <c r="AB102">
        <v>48018</v>
      </c>
    </row>
    <row r="103" spans="1:28">
      <c r="A103" t="s">
        <v>31</v>
      </c>
      <c r="B103">
        <v>421</v>
      </c>
      <c r="C103">
        <v>1809</v>
      </c>
      <c r="D103">
        <v>3416</v>
      </c>
      <c r="E103">
        <v>4820</v>
      </c>
      <c r="F103">
        <v>14960</v>
      </c>
      <c r="G103">
        <v>62292</v>
      </c>
      <c r="I103">
        <v>0</v>
      </c>
      <c r="J103">
        <v>62</v>
      </c>
      <c r="K103">
        <v>140</v>
      </c>
      <c r="L103">
        <v>234</v>
      </c>
      <c r="M103">
        <v>1029</v>
      </c>
      <c r="N103">
        <v>6927</v>
      </c>
      <c r="P103">
        <f t="shared" si="241"/>
        <v>421</v>
      </c>
      <c r="Q103">
        <f t="shared" si="237"/>
        <v>1747</v>
      </c>
      <c r="R103">
        <f t="shared" si="238"/>
        <v>3276</v>
      </c>
      <c r="S103">
        <f t="shared" si="239"/>
        <v>4586</v>
      </c>
      <c r="T103">
        <f t="shared" si="240"/>
        <v>13931</v>
      </c>
      <c r="U103">
        <f t="shared" si="242"/>
        <v>55365</v>
      </c>
      <c r="W103">
        <v>4228</v>
      </c>
      <c r="X103">
        <v>12776</v>
      </c>
      <c r="Y103">
        <v>20593</v>
      </c>
      <c r="Z103">
        <v>28721</v>
      </c>
      <c r="AA103">
        <v>45023</v>
      </c>
      <c r="AB103">
        <v>58204</v>
      </c>
    </row>
    <row r="104" spans="1:28">
      <c r="A104" t="s">
        <v>32</v>
      </c>
      <c r="B104">
        <v>422</v>
      </c>
      <c r="C104">
        <v>1794</v>
      </c>
      <c r="D104">
        <v>3401</v>
      </c>
      <c r="E104">
        <v>4821</v>
      </c>
      <c r="F104">
        <v>14929</v>
      </c>
      <c r="G104">
        <v>64102</v>
      </c>
      <c r="I104">
        <v>0</v>
      </c>
      <c r="J104">
        <v>46</v>
      </c>
      <c r="K104">
        <v>125</v>
      </c>
      <c r="L104">
        <v>234</v>
      </c>
      <c r="M104">
        <v>1014</v>
      </c>
      <c r="N104">
        <v>6927</v>
      </c>
      <c r="P104">
        <f t="shared" si="241"/>
        <v>422</v>
      </c>
      <c r="Q104">
        <f t="shared" si="237"/>
        <v>1748</v>
      </c>
      <c r="R104">
        <f t="shared" si="238"/>
        <v>3276</v>
      </c>
      <c r="S104">
        <f t="shared" si="239"/>
        <v>4587</v>
      </c>
      <c r="T104">
        <f t="shared" si="240"/>
        <v>13915</v>
      </c>
      <c r="U104">
        <f t="shared" si="242"/>
        <v>57175</v>
      </c>
      <c r="W104">
        <v>4196</v>
      </c>
      <c r="X104">
        <v>12793</v>
      </c>
      <c r="Y104">
        <v>20670</v>
      </c>
      <c r="Z104">
        <v>28814</v>
      </c>
      <c r="AA104">
        <v>45147</v>
      </c>
      <c r="AB104">
        <v>57955</v>
      </c>
    </row>
    <row r="105" spans="1:28">
      <c r="A105" t="s">
        <v>5</v>
      </c>
      <c r="B105">
        <f>(SUM(B98:B104) -MAX(B98:B104))/((COUNT(B98:B104)-1)*1000)</f>
        <v>0.42866666666666664</v>
      </c>
      <c r="C105">
        <f t="shared" ref="C105" si="243">(SUM(C98:C104) -MAX(C98:C104))/((COUNT(C98:C104)-1)*1000)</f>
        <v>1.7991666666666666</v>
      </c>
      <c r="D105">
        <f t="shared" ref="D105" si="244">(SUM(D98:D104) -MAX(D98:D104))/((COUNT(D98:D104)-1)*1000)</f>
        <v>3.4111666666666665</v>
      </c>
      <c r="E105">
        <f t="shared" ref="E105" si="245">(SUM(E98:E104) -MAX(E98:E104))/((COUNT(E98:E104)-1)*1000)</f>
        <v>4.8283333333333331</v>
      </c>
      <c r="F105">
        <f t="shared" ref="F105" si="246">(SUM(F98:F104) -MAX(F98:F104))/((COUNT(F98:F104)-1)*1000)</f>
        <v>14.955333333333334</v>
      </c>
      <c r="G105">
        <f t="shared" ref="G105" si="247">(SUM(G98:G104) -MAX(G98:G104))/((COUNT(G98:G104)-1)*1000)</f>
        <v>63.360666666666667</v>
      </c>
      <c r="I105">
        <f>(SUM(I98:I104) -MAX(I98:I104))/((COUNT(I98:I104)-1)*1000)</f>
        <v>7.4999999999999997E-3</v>
      </c>
      <c r="J105">
        <f t="shared" ref="J105" si="248">(SUM(J98:J104) -MAX(J98:J104))/((COUNT(J98:J104)-1)*1000)</f>
        <v>5.7166666666666664E-2</v>
      </c>
      <c r="K105">
        <f t="shared" ref="K105" si="249">(SUM(K98:K104) -MAX(K98:K104))/((COUNT(K98:K104)-1)*1000)</f>
        <v>0.12983333333333333</v>
      </c>
      <c r="L105">
        <f t="shared" ref="L105" si="250">(SUM(L98:L104) -MAX(L98:L104))/((COUNT(L98:L104)-1)*1000)</f>
        <v>0.24166666666666667</v>
      </c>
      <c r="M105">
        <f t="shared" ref="M105" si="251">(SUM(M98:M104) -MAX(M98:M104))/((COUNT(M98:M104)-1)*1000)</f>
        <v>1.0191666666666668</v>
      </c>
      <c r="N105">
        <f t="shared" ref="N105" si="252">(SUM(N98:N104) -MAX(N98:N104))/((COUNT(N98:N104)-1)*1000)</f>
        <v>6.9448333333333334</v>
      </c>
      <c r="P105">
        <f>(SUM(P98:P104) -MAX(P98:P104))/((COUNT(P98:P104)-1)*1000)</f>
        <v>0.42116666666666669</v>
      </c>
      <c r="Q105">
        <f t="shared" ref="Q105" si="253">(SUM(Q98:Q104) -MAX(Q98:Q104))/((COUNT(Q98:Q104)-1)*1000)</f>
        <v>1.742</v>
      </c>
      <c r="R105">
        <f t="shared" ref="R105" si="254">(SUM(R98:R104) -MAX(R98:R104))/((COUNT(R98:R104)-1)*1000)</f>
        <v>3.2813333333333334</v>
      </c>
      <c r="S105">
        <f t="shared" ref="S105" si="255">(SUM(S98:S104) -MAX(S98:S104))/((COUNT(S98:S104)-1)*1000)</f>
        <v>4.5866666666666669</v>
      </c>
      <c r="T105">
        <f t="shared" ref="T105" si="256">(SUM(T98:T104) -MAX(T98:T104))/((COUNT(T98:T104)-1)*1000)</f>
        <v>13.936166666666667</v>
      </c>
      <c r="U105">
        <f t="shared" ref="U105" si="257">(SUM(U98:U104) -MAX(U98:U104))/((COUNT(U98:U104)-1)*1000)</f>
        <v>56.415833333333332</v>
      </c>
      <c r="W105">
        <f>(SUM(W98:W104) -MAX(W98:W104))/((COUNT(W98:W104)-1)*1000)</f>
        <v>3.7648333333333333</v>
      </c>
      <c r="X105">
        <f t="shared" ref="X105" si="258">(SUM(X98:X104) -MAX(X98:X104))/((COUNT(X98:X104)-1)*1000)</f>
        <v>11.460833333333333</v>
      </c>
      <c r="Y105">
        <f t="shared" ref="Y105" si="259">(SUM(Y98:Y104) -MAX(Y98:Y104))/((COUNT(Y98:Y104)-1)*1000)</f>
        <v>18.436833333333333</v>
      </c>
      <c r="Z105">
        <f t="shared" ref="Z105" si="260">(SUM(Z98:Z104) -MAX(Z98:Z104))/((COUNT(Z98:Z104)-1)*1000)</f>
        <v>25.8185</v>
      </c>
      <c r="AA105">
        <f t="shared" ref="AA105" si="261">(SUM(AA98:AA104) -MAX(AA98:AA104))/((COUNT(AA98:AA104)-1)*1000)</f>
        <v>40.768666666666668</v>
      </c>
      <c r="AB105">
        <f t="shared" ref="AB105" si="262">(SUM(AB98:AB104) -MAX(AB98:AB104))/((COUNT(AB98:AB104)-1)*1000)</f>
        <v>53.027999999999999</v>
      </c>
    </row>
    <row r="106" spans="1:28">
      <c r="A106" t="s">
        <v>7</v>
      </c>
      <c r="B106">
        <f>STDEV(B99:B104)/1000</f>
        <v>8.0415587212089128E-3</v>
      </c>
      <c r="C106">
        <f t="shared" ref="C106:G106" si="263">STDEV(C99:C104)/1000</f>
        <v>8.0104098937831096E-3</v>
      </c>
      <c r="D106">
        <f t="shared" si="263"/>
        <v>1.2576432986569493E-2</v>
      </c>
      <c r="E106">
        <f t="shared" si="263"/>
        <v>8.406346808730503E-3</v>
      </c>
      <c r="F106">
        <f t="shared" si="263"/>
        <v>1.2909944486742462E-2</v>
      </c>
      <c r="G106">
        <f t="shared" si="263"/>
        <v>1.0032510486744644</v>
      </c>
      <c r="I106">
        <f>STDEV(I99:I104)/1000</f>
        <v>8.2158383625774919E-3</v>
      </c>
      <c r="J106">
        <f t="shared" ref="J106:N106" si="264">STDEV(J99:J104)/1000</f>
        <v>8.2804991797998748E-3</v>
      </c>
      <c r="K106">
        <f t="shared" si="264"/>
        <v>7.8845841150098524E-3</v>
      </c>
      <c r="L106">
        <f t="shared" si="264"/>
        <v>8.4063468086120977E-3</v>
      </c>
      <c r="M106">
        <f t="shared" si="264"/>
        <v>8.0104098937947357E-3</v>
      </c>
      <c r="N106">
        <f t="shared" si="264"/>
        <v>3.0109245534597727E-2</v>
      </c>
      <c r="P106">
        <f>STDEV(P99:P104)/1000</f>
        <v>4.0824829046386303E-4</v>
      </c>
      <c r="Q106">
        <f t="shared" ref="Q106:U106" si="265">STDEV(Q99:Q104)/1000</f>
        <v>8.1486195149853453E-3</v>
      </c>
      <c r="R106">
        <f t="shared" si="265"/>
        <v>1.3063945294862628E-2</v>
      </c>
      <c r="S106">
        <f t="shared" si="265"/>
        <v>5.1639777949432232E-4</v>
      </c>
      <c r="T106">
        <f t="shared" si="265"/>
        <v>1.2906070922274219E-2</v>
      </c>
      <c r="U106">
        <f t="shared" si="265"/>
        <v>0.99999108329345232</v>
      </c>
      <c r="W106">
        <f>STDEV(W99:W104)/1000</f>
        <v>0.45930062776646158</v>
      </c>
      <c r="X106">
        <f t="shared" ref="X106:AB106" si="266">STDEV(X99:X104)/1000</f>
        <v>1.3656350903517382</v>
      </c>
      <c r="Y106">
        <f t="shared" si="266"/>
        <v>2.260277210137442</v>
      </c>
      <c r="Z106">
        <f t="shared" si="266"/>
        <v>3.0379946455954467</v>
      </c>
      <c r="AA106">
        <f t="shared" si="266"/>
        <v>4.4475634078298194</v>
      </c>
      <c r="AB106">
        <f t="shared" si="266"/>
        <v>5.1969294267544575</v>
      </c>
    </row>
    <row r="107" spans="1:28">
      <c r="A107" t="s">
        <v>8</v>
      </c>
      <c r="B107">
        <f>CONFIDENCE(0.05,B106,5)/2</f>
        <v>3.5243037402549007E-3</v>
      </c>
      <c r="C107">
        <f t="shared" ref="C107" si="267">CONFIDENCE(0.05,C106,5)/2</f>
        <v>3.5106524155792775E-3</v>
      </c>
      <c r="D107">
        <f t="shared" ref="D107" si="268">CONFIDENCE(0.05,D106,5)/2</f>
        <v>5.5117634963895079E-3</v>
      </c>
      <c r="E107">
        <f t="shared" ref="E107" si="269">CONFIDENCE(0.05,E106,5)/2</f>
        <v>3.6841762308781494E-3</v>
      </c>
      <c r="F107">
        <f t="shared" ref="F107" si="270">CONFIDENCE(0.05,F106,5)/2</f>
        <v>5.6579286701110669E-3</v>
      </c>
      <c r="G107">
        <f t="shared" ref="G107" si="271">CONFIDENCE(0.05,G106,5)/2</f>
        <v>0.43968607901013057</v>
      </c>
      <c r="I107">
        <f>CONFIDENCE(0.05,I106,5)/2</f>
        <v>3.6006837572664825E-3</v>
      </c>
      <c r="J107">
        <f t="shared" ref="J107" si="272">CONFIDENCE(0.05,J106,5)/2</f>
        <v>3.6290220891602425E-3</v>
      </c>
      <c r="K107">
        <f t="shared" ref="K107" si="273">CONFIDENCE(0.05,K106,5)/2</f>
        <v>3.455507849939097E-3</v>
      </c>
      <c r="L107">
        <f t="shared" ref="L107" si="274">CONFIDENCE(0.05,L106,5)/2</f>
        <v>3.6841762308262569E-3</v>
      </c>
      <c r="M107">
        <f t="shared" ref="M107" si="275">CONFIDENCE(0.05,M106,5)/2</f>
        <v>3.5106524155843729E-3</v>
      </c>
      <c r="N107">
        <f t="shared" ref="N107" si="276">CONFIDENCE(0.05,N106,5)/2</f>
        <v>1.3195716195414845E-2</v>
      </c>
      <c r="P107">
        <f>CONFIDENCE(0.05,P106,5)/2</f>
        <v>1.7891941437171572E-4</v>
      </c>
      <c r="Q107">
        <f t="shared" ref="Q107" si="277">CONFIDENCE(0.05,Q106,5)/2</f>
        <v>3.5712243397334332E-3</v>
      </c>
      <c r="R107">
        <f t="shared" ref="R107" si="278">CONFIDENCE(0.05,R106,5)/2</f>
        <v>5.725421259903234E-3</v>
      </c>
      <c r="S107">
        <f t="shared" ref="S107" si="279">CONFIDENCE(0.05,S106,5)/2</f>
        <v>2.2631714681523436E-4</v>
      </c>
      <c r="T107">
        <f t="shared" ref="T107" si="280">CONFIDENCE(0.05,T106,5)/2</f>
        <v>5.6562310368266713E-3</v>
      </c>
      <c r="U107">
        <f t="shared" ref="U107" si="281">CONFIDENCE(0.05,U106,5)/2</f>
        <v>0.43825736244115238</v>
      </c>
      <c r="W107">
        <f>CONFIDENCE(0.05,W106,5)/2</f>
        <v>0.20129367656913885</v>
      </c>
      <c r="X107">
        <f t="shared" ref="X107" si="282">CONFIDENCE(0.05,X106,5)/2</f>
        <v>0.59850496944781761</v>
      </c>
      <c r="Y107">
        <f t="shared" ref="Y107" si="283">CONFIDENCE(0.05,Y106,5)/2</f>
        <v>0.99059196131850924</v>
      </c>
      <c r="Z107">
        <f t="shared" ref="Z107" si="284">CONFIDENCE(0.05,Z106,5)/2</f>
        <v>1.3314353925076863</v>
      </c>
      <c r="AA107">
        <f t="shared" ref="AA107" si="285">CONFIDENCE(0.05,AA106,5)/2</f>
        <v>1.9491947888032159</v>
      </c>
      <c r="AB107">
        <f t="shared" ref="AB107" si="286">CONFIDENCE(0.05,AB106,5)/2</f>
        <v>2.277612892168007</v>
      </c>
    </row>
    <row r="108" spans="1:28">
      <c r="A108" t="s">
        <v>87</v>
      </c>
      <c r="B108">
        <v>4</v>
      </c>
      <c r="C108">
        <v>21</v>
      </c>
      <c r="D108">
        <v>43</v>
      </c>
      <c r="E108">
        <v>65</v>
      </c>
      <c r="F108">
        <v>290</v>
      </c>
      <c r="G108">
        <v>1270</v>
      </c>
    </row>
    <row r="109" spans="1:28">
      <c r="A109" t="s">
        <v>85</v>
      </c>
      <c r="B109">
        <v>280</v>
      </c>
      <c r="C109">
        <v>750</v>
      </c>
      <c r="D109">
        <v>1180</v>
      </c>
      <c r="E109">
        <v>1610</v>
      </c>
      <c r="F109">
        <v>2230</v>
      </c>
      <c r="G109">
        <v>2780</v>
      </c>
      <c r="H109" t="s">
        <v>27</v>
      </c>
    </row>
    <row r="111" spans="1:28">
      <c r="A111" s="1" t="s">
        <v>48</v>
      </c>
      <c r="B111" s="1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X37"/>
  <sheetViews>
    <sheetView zoomScale="85" zoomScaleNormal="85" workbookViewId="0">
      <selection activeCell="O39" sqref="O39"/>
    </sheetView>
  </sheetViews>
  <sheetFormatPr defaultRowHeight="14.4"/>
  <cols>
    <col min="1" max="1" width="12.6640625" customWidth="1"/>
    <col min="2" max="6" width="8.6640625" customWidth="1"/>
    <col min="7" max="7" width="4.6640625" customWidth="1"/>
    <col min="8" max="12" width="8.6640625" customWidth="1"/>
    <col min="13" max="13" width="4.6640625" customWidth="1"/>
    <col min="14" max="18" width="8.6640625" customWidth="1"/>
    <col min="19" max="19" width="4.6640625" customWidth="1"/>
    <col min="20" max="24" width="8.6640625" customWidth="1"/>
  </cols>
  <sheetData>
    <row r="1" spans="1:24">
      <c r="A1" s="1" t="s">
        <v>48</v>
      </c>
      <c r="B1" s="1"/>
    </row>
    <row r="2" spans="1:24">
      <c r="A2" t="s">
        <v>72</v>
      </c>
      <c r="B2" s="1"/>
    </row>
    <row r="3" spans="1:24">
      <c r="A3" t="s">
        <v>43</v>
      </c>
      <c r="B3" t="s">
        <v>92</v>
      </c>
      <c r="H3" t="s">
        <v>80</v>
      </c>
      <c r="N3" t="s">
        <v>81</v>
      </c>
      <c r="T3" t="s">
        <v>30</v>
      </c>
    </row>
    <row r="4" spans="1:24">
      <c r="A4" t="s">
        <v>6</v>
      </c>
      <c r="B4" t="s">
        <v>74</v>
      </c>
      <c r="C4" t="s">
        <v>75</v>
      </c>
      <c r="D4" t="s">
        <v>76</v>
      </c>
      <c r="E4" t="s">
        <v>77</v>
      </c>
      <c r="F4" t="s">
        <v>78</v>
      </c>
      <c r="H4" t="s">
        <v>74</v>
      </c>
      <c r="I4" t="s">
        <v>75</v>
      </c>
      <c r="J4" t="s">
        <v>76</v>
      </c>
      <c r="K4" t="s">
        <v>77</v>
      </c>
      <c r="L4" t="s">
        <v>78</v>
      </c>
      <c r="N4" t="s">
        <v>74</v>
      </c>
      <c r="O4" t="s">
        <v>75</v>
      </c>
      <c r="P4" t="s">
        <v>76</v>
      </c>
      <c r="Q4" t="s">
        <v>77</v>
      </c>
      <c r="R4" t="s">
        <v>78</v>
      </c>
      <c r="T4" t="s">
        <v>74</v>
      </c>
      <c r="U4" t="s">
        <v>75</v>
      </c>
      <c r="V4" t="s">
        <v>76</v>
      </c>
      <c r="W4" t="s">
        <v>77</v>
      </c>
      <c r="X4" t="s">
        <v>78</v>
      </c>
    </row>
    <row r="6" spans="1:24">
      <c r="A6" t="s">
        <v>0</v>
      </c>
      <c r="B6">
        <v>260698</v>
      </c>
      <c r="C6">
        <v>265049</v>
      </c>
      <c r="D6">
        <v>271040</v>
      </c>
      <c r="E6">
        <v>279838</v>
      </c>
      <c r="F6">
        <v>287591</v>
      </c>
      <c r="H6">
        <v>390</v>
      </c>
      <c r="I6">
        <v>390</v>
      </c>
      <c r="J6">
        <v>390</v>
      </c>
      <c r="K6">
        <v>390</v>
      </c>
      <c r="L6">
        <v>390</v>
      </c>
      <c r="N6">
        <f t="shared" ref="N6:R12" si="0">B6-H6</f>
        <v>260308</v>
      </c>
      <c r="O6">
        <f t="shared" si="0"/>
        <v>264659</v>
      </c>
      <c r="P6">
        <f t="shared" si="0"/>
        <v>270650</v>
      </c>
      <c r="Q6">
        <f t="shared" si="0"/>
        <v>279448</v>
      </c>
      <c r="R6">
        <f t="shared" si="0"/>
        <v>287201</v>
      </c>
      <c r="T6">
        <v>9984</v>
      </c>
      <c r="U6">
        <v>18034</v>
      </c>
      <c r="V6">
        <v>25459</v>
      </c>
      <c r="W6">
        <v>33509</v>
      </c>
      <c r="X6">
        <v>41903</v>
      </c>
    </row>
    <row r="7" spans="1:24">
      <c r="A7" t="s">
        <v>1</v>
      </c>
      <c r="B7">
        <v>670</v>
      </c>
      <c r="C7">
        <v>983</v>
      </c>
      <c r="D7">
        <v>1232</v>
      </c>
      <c r="E7">
        <v>1529</v>
      </c>
      <c r="F7">
        <v>1810</v>
      </c>
      <c r="H7">
        <v>374</v>
      </c>
      <c r="I7">
        <v>374</v>
      </c>
      <c r="J7">
        <v>374</v>
      </c>
      <c r="K7">
        <v>374</v>
      </c>
      <c r="L7">
        <v>374</v>
      </c>
      <c r="N7">
        <f t="shared" si="0"/>
        <v>296</v>
      </c>
      <c r="O7">
        <f t="shared" si="0"/>
        <v>609</v>
      </c>
      <c r="P7">
        <f t="shared" si="0"/>
        <v>858</v>
      </c>
      <c r="Q7">
        <f t="shared" si="0"/>
        <v>1155</v>
      </c>
      <c r="R7">
        <f t="shared" si="0"/>
        <v>1436</v>
      </c>
      <c r="T7">
        <v>9984</v>
      </c>
      <c r="U7">
        <v>18034</v>
      </c>
      <c r="V7">
        <v>25459</v>
      </c>
      <c r="W7">
        <v>33509</v>
      </c>
      <c r="X7">
        <v>41903</v>
      </c>
    </row>
    <row r="8" spans="1:24">
      <c r="A8" t="s">
        <v>2</v>
      </c>
      <c r="B8">
        <v>671</v>
      </c>
      <c r="C8">
        <v>982</v>
      </c>
      <c r="D8">
        <v>1232</v>
      </c>
      <c r="E8">
        <v>1529</v>
      </c>
      <c r="F8">
        <v>1826</v>
      </c>
      <c r="H8">
        <v>375</v>
      </c>
      <c r="I8">
        <v>375</v>
      </c>
      <c r="J8">
        <v>375</v>
      </c>
      <c r="K8">
        <v>375</v>
      </c>
      <c r="L8">
        <v>375</v>
      </c>
      <c r="N8">
        <f t="shared" si="0"/>
        <v>296</v>
      </c>
      <c r="O8">
        <f t="shared" si="0"/>
        <v>607</v>
      </c>
      <c r="P8">
        <f t="shared" si="0"/>
        <v>857</v>
      </c>
      <c r="Q8">
        <f t="shared" si="0"/>
        <v>1154</v>
      </c>
      <c r="R8">
        <f t="shared" si="0"/>
        <v>1451</v>
      </c>
      <c r="T8">
        <v>10109</v>
      </c>
      <c r="U8">
        <v>19173</v>
      </c>
      <c r="V8">
        <v>27425</v>
      </c>
      <c r="W8">
        <v>36349</v>
      </c>
      <c r="X8">
        <v>45490</v>
      </c>
    </row>
    <row r="9" spans="1:24">
      <c r="A9" t="s">
        <v>3</v>
      </c>
      <c r="B9">
        <v>671</v>
      </c>
      <c r="C9">
        <v>967</v>
      </c>
      <c r="D9">
        <v>1248</v>
      </c>
      <c r="E9">
        <v>1544</v>
      </c>
      <c r="F9">
        <v>1794</v>
      </c>
      <c r="H9">
        <v>375</v>
      </c>
      <c r="I9">
        <v>375</v>
      </c>
      <c r="J9">
        <v>375</v>
      </c>
      <c r="K9">
        <v>375</v>
      </c>
      <c r="L9">
        <v>375</v>
      </c>
      <c r="N9">
        <f t="shared" si="0"/>
        <v>296</v>
      </c>
      <c r="O9">
        <f t="shared" si="0"/>
        <v>592</v>
      </c>
      <c r="P9">
        <f t="shared" si="0"/>
        <v>873</v>
      </c>
      <c r="Q9">
        <f t="shared" si="0"/>
        <v>1169</v>
      </c>
      <c r="R9">
        <f t="shared" si="0"/>
        <v>1419</v>
      </c>
      <c r="T9">
        <v>10250</v>
      </c>
      <c r="U9">
        <v>19235</v>
      </c>
      <c r="V9">
        <v>27456</v>
      </c>
      <c r="W9">
        <v>36474</v>
      </c>
      <c r="X9">
        <v>45646</v>
      </c>
    </row>
    <row r="10" spans="1:24">
      <c r="A10" t="s">
        <v>4</v>
      </c>
      <c r="B10">
        <v>670</v>
      </c>
      <c r="C10">
        <v>983</v>
      </c>
      <c r="D10">
        <v>1248</v>
      </c>
      <c r="E10">
        <v>1529</v>
      </c>
      <c r="F10">
        <v>1794</v>
      </c>
      <c r="H10">
        <v>374</v>
      </c>
      <c r="I10">
        <v>374</v>
      </c>
      <c r="J10">
        <v>374</v>
      </c>
      <c r="K10">
        <v>374</v>
      </c>
      <c r="L10">
        <v>374</v>
      </c>
      <c r="N10">
        <f t="shared" si="0"/>
        <v>296</v>
      </c>
      <c r="O10">
        <f t="shared" si="0"/>
        <v>609</v>
      </c>
      <c r="P10">
        <f t="shared" si="0"/>
        <v>874</v>
      </c>
      <c r="Q10">
        <f t="shared" si="0"/>
        <v>1155</v>
      </c>
      <c r="R10">
        <f t="shared" si="0"/>
        <v>1420</v>
      </c>
      <c r="T10">
        <v>9984</v>
      </c>
      <c r="U10">
        <v>18034</v>
      </c>
      <c r="V10">
        <v>25459</v>
      </c>
      <c r="W10">
        <v>33509</v>
      </c>
      <c r="X10">
        <v>41903</v>
      </c>
    </row>
    <row r="11" spans="1:24">
      <c r="A11" t="s">
        <v>31</v>
      </c>
      <c r="B11">
        <v>671</v>
      </c>
      <c r="C11">
        <v>968</v>
      </c>
      <c r="D11">
        <v>1233</v>
      </c>
      <c r="E11">
        <v>1544</v>
      </c>
      <c r="F11">
        <v>1794</v>
      </c>
      <c r="H11">
        <v>359</v>
      </c>
      <c r="I11">
        <v>359</v>
      </c>
      <c r="J11">
        <v>359</v>
      </c>
      <c r="K11">
        <v>359</v>
      </c>
      <c r="L11">
        <v>359</v>
      </c>
      <c r="N11">
        <f t="shared" si="0"/>
        <v>312</v>
      </c>
      <c r="O11">
        <f t="shared" si="0"/>
        <v>609</v>
      </c>
      <c r="P11">
        <f t="shared" si="0"/>
        <v>874</v>
      </c>
      <c r="Q11">
        <f t="shared" si="0"/>
        <v>1185</v>
      </c>
      <c r="R11">
        <f t="shared" si="0"/>
        <v>1435</v>
      </c>
      <c r="T11">
        <v>10109</v>
      </c>
      <c r="U11">
        <v>19173</v>
      </c>
      <c r="V11">
        <v>27425</v>
      </c>
      <c r="W11">
        <v>36349</v>
      </c>
      <c r="X11">
        <v>45490</v>
      </c>
    </row>
    <row r="12" spans="1:24">
      <c r="A12" t="s">
        <v>32</v>
      </c>
      <c r="B12">
        <v>671</v>
      </c>
      <c r="C12">
        <v>983</v>
      </c>
      <c r="D12">
        <v>1248</v>
      </c>
      <c r="E12">
        <v>1529</v>
      </c>
      <c r="F12">
        <v>1809</v>
      </c>
      <c r="H12">
        <v>359</v>
      </c>
      <c r="I12">
        <v>359</v>
      </c>
      <c r="J12">
        <v>359</v>
      </c>
      <c r="K12">
        <v>359</v>
      </c>
      <c r="L12">
        <v>359</v>
      </c>
      <c r="N12">
        <f t="shared" si="0"/>
        <v>312</v>
      </c>
      <c r="O12">
        <f t="shared" si="0"/>
        <v>624</v>
      </c>
      <c r="P12">
        <f t="shared" si="0"/>
        <v>889</v>
      </c>
      <c r="Q12">
        <f t="shared" si="0"/>
        <v>1170</v>
      </c>
      <c r="R12">
        <f t="shared" si="0"/>
        <v>1450</v>
      </c>
      <c r="T12">
        <v>10250</v>
      </c>
      <c r="U12">
        <v>19235</v>
      </c>
      <c r="V12">
        <v>27456</v>
      </c>
      <c r="W12">
        <v>36474</v>
      </c>
      <c r="X12">
        <v>45646</v>
      </c>
    </row>
    <row r="13" spans="1:24">
      <c r="A13" t="s">
        <v>5</v>
      </c>
      <c r="B13">
        <f>(SUM(B6:B12) -MAX(B6:B12))/((COUNT(B6:B12)-1)*1000)</f>
        <v>0.67066666666666663</v>
      </c>
      <c r="C13">
        <f t="shared" ref="C13:F13" si="1">(SUM(C6:C12) -MAX(C6:C12))/((COUNT(C6:C12)-1)*1000)</f>
        <v>0.97766666666666668</v>
      </c>
      <c r="D13">
        <f t="shared" si="1"/>
        <v>1.2401666666666666</v>
      </c>
      <c r="E13">
        <f t="shared" si="1"/>
        <v>1.534</v>
      </c>
      <c r="F13">
        <f t="shared" si="1"/>
        <v>1.8045</v>
      </c>
      <c r="H13">
        <f>(SUM(H6:H12) -MAX(H6:H12))/((COUNT(H6:H12)-1)*1000)</f>
        <v>0.36933333333333335</v>
      </c>
      <c r="I13">
        <f t="shared" ref="I13:L13" si="2">(SUM(I6:I12) -MAX(I6:I12))/((COUNT(I6:I12)-1)*1000)</f>
        <v>0.36933333333333335</v>
      </c>
      <c r="J13">
        <f t="shared" si="2"/>
        <v>0.36933333333333335</v>
      </c>
      <c r="K13">
        <f t="shared" si="2"/>
        <v>0.36933333333333335</v>
      </c>
      <c r="L13">
        <f t="shared" si="2"/>
        <v>0.36933333333333335</v>
      </c>
      <c r="N13">
        <f>(SUM(N6:N12) -MAX(N6:N12))/((COUNT(N6:N12)-1)*1000)</f>
        <v>0.30133333333333334</v>
      </c>
      <c r="O13">
        <f t="shared" ref="O13" si="3">(SUM(O6:O12) -MAX(O6:O12))/((COUNT(O6:O12)-1)*1000)</f>
        <v>0.60833333333333328</v>
      </c>
      <c r="P13">
        <f t="shared" ref="P13" si="4">(SUM(P6:P12) -MAX(P6:P12))/((COUNT(P6:P12)-1)*1000)</f>
        <v>0.87083333333333335</v>
      </c>
      <c r="Q13">
        <f t="shared" ref="Q13:R13" si="5">(SUM(Q6:Q12) -MAX(Q6:Q12))/((COUNT(Q6:Q12)-1)*1000)</f>
        <v>1.1646666666666667</v>
      </c>
      <c r="R13">
        <f t="shared" si="5"/>
        <v>1.4351666666666667</v>
      </c>
      <c r="T13">
        <f>(SUM(T6:T12) -MAX(T6:T12))/((COUNT(T6:T12)-1)*1000)</f>
        <v>10.07</v>
      </c>
      <c r="U13">
        <f t="shared" ref="U13" si="6">(SUM(U6:U12) -MAX(U6:U12))/((COUNT(U6:U12)-1)*1000)</f>
        <v>18.613833333333332</v>
      </c>
      <c r="V13">
        <f t="shared" ref="V13" si="7">(SUM(V6:V12) -MAX(V6:V12))/((COUNT(V6:V12)-1)*1000)</f>
        <v>26.447166666666668</v>
      </c>
      <c r="W13">
        <f t="shared" ref="W13:X13" si="8">(SUM(W6:W12) -MAX(W6:W12))/((COUNT(W6:W12)-1)*1000)</f>
        <v>34.949833333333331</v>
      </c>
      <c r="X13">
        <f t="shared" si="8"/>
        <v>43.722499999999997</v>
      </c>
    </row>
    <row r="14" spans="1:24">
      <c r="A14" t="s">
        <v>7</v>
      </c>
      <c r="B14">
        <f>STDEV(B7:B12)/1000</f>
        <v>5.1639777949432232E-4</v>
      </c>
      <c r="C14">
        <f t="shared" ref="C14:F14" si="9">STDEV(C7:C12)/1000</f>
        <v>7.890923055422893E-3</v>
      </c>
      <c r="D14">
        <f t="shared" si="9"/>
        <v>8.5887523346986107E-3</v>
      </c>
      <c r="E14">
        <f t="shared" si="9"/>
        <v>7.7459666924148338E-3</v>
      </c>
      <c r="F14">
        <f t="shared" si="9"/>
        <v>1.2988456413292536E-2</v>
      </c>
      <c r="H14">
        <f>STDEV(H7:H12)/1000</f>
        <v>8.0166493416311043E-3</v>
      </c>
      <c r="I14">
        <f t="shared" ref="I14:L14" si="10">STDEV(I7:I12)/1000</f>
        <v>8.0166493416311043E-3</v>
      </c>
      <c r="J14">
        <f t="shared" si="10"/>
        <v>8.0166493416311043E-3</v>
      </c>
      <c r="K14">
        <f t="shared" si="10"/>
        <v>8.0166493416311043E-3</v>
      </c>
      <c r="L14">
        <f t="shared" si="10"/>
        <v>8.0166493416311043E-3</v>
      </c>
      <c r="N14">
        <f>STDEV(N7:N12)/1000</f>
        <v>8.2623644719096254E-3</v>
      </c>
      <c r="O14">
        <f t="shared" ref="O14:R14" si="11">STDEV(O7:O12)/1000</f>
        <v>1.0152175464731572E-2</v>
      </c>
      <c r="P14">
        <f t="shared" si="11"/>
        <v>1.1923366415010678E-2</v>
      </c>
      <c r="Q14">
        <f t="shared" si="11"/>
        <v>1.2339638028183995E-2</v>
      </c>
      <c r="R14">
        <f t="shared" si="11"/>
        <v>1.3876839217443966E-2</v>
      </c>
      <c r="T14">
        <f>STDEV(T7:T12)/1000</f>
        <v>0.11903052829704913</v>
      </c>
      <c r="U14">
        <f t="shared" ref="U14:X14" si="12">STDEV(U7:U12)/1000</f>
        <v>0.60482129592136546</v>
      </c>
      <c r="V14">
        <f t="shared" si="12"/>
        <v>1.0233361129169634</v>
      </c>
      <c r="W14">
        <f t="shared" si="12"/>
        <v>1.4998866623848617</v>
      </c>
      <c r="X14">
        <f t="shared" si="12"/>
        <v>1.8938832769383636</v>
      </c>
    </row>
    <row r="15" spans="1:24">
      <c r="A15" t="s">
        <v>8</v>
      </c>
      <c r="B15">
        <f>CONFIDENCE(0.05,B14,5)/2</f>
        <v>2.2631714681523436E-4</v>
      </c>
      <c r="C15">
        <f t="shared" ref="C15:F15" si="13">CONFIDENCE(0.05,C14,5)/2</f>
        <v>3.4582859620167976E-3</v>
      </c>
      <c r="D15">
        <f t="shared" si="13"/>
        <v>3.7641175083965362E-3</v>
      </c>
      <c r="E15">
        <f t="shared" si="13"/>
        <v>3.3947572022285147E-3</v>
      </c>
      <c r="F15">
        <f t="shared" si="13"/>
        <v>5.6923374067736829E-3</v>
      </c>
      <c r="H15">
        <f>CONFIDENCE(0.05,H14,5)/2</f>
        <v>3.5133869239190375E-3</v>
      </c>
      <c r="I15">
        <f t="shared" ref="I15:L15" si="14">CONFIDENCE(0.05,I14,5)/2</f>
        <v>3.5133869239190375E-3</v>
      </c>
      <c r="J15">
        <f t="shared" si="14"/>
        <v>3.5133869239190375E-3</v>
      </c>
      <c r="K15">
        <f t="shared" si="14"/>
        <v>3.5133869239190375E-3</v>
      </c>
      <c r="L15">
        <f t="shared" si="14"/>
        <v>3.5133869239190375E-3</v>
      </c>
      <c r="N15">
        <f>CONFIDENCE(0.05,N14,5)/2</f>
        <v>3.6210743490439549E-3</v>
      </c>
      <c r="O15">
        <f t="shared" ref="O15:R15" si="15">CONFIDENCE(0.05,O14,5)/2</f>
        <v>4.4493053153628771E-3</v>
      </c>
      <c r="P15">
        <f t="shared" si="15"/>
        <v>5.2255497111553233E-3</v>
      </c>
      <c r="Q15">
        <f t="shared" si="15"/>
        <v>5.4079854371296169E-3</v>
      </c>
      <c r="R15">
        <f t="shared" si="15"/>
        <v>6.0816811830233632E-3</v>
      </c>
      <c r="T15">
        <f>CONFIDENCE(0.05,T14,5)/2</f>
        <v>5.216647053455109E-2</v>
      </c>
      <c r="U15">
        <f t="shared" ref="U15:X15" si="16">CONFIDENCE(0.05,U14,5)/2</f>
        <v>0.26506974944790784</v>
      </c>
      <c r="V15">
        <f t="shared" si="16"/>
        <v>0.4484885847788701</v>
      </c>
      <c r="W15">
        <f t="shared" si="16"/>
        <v>0.65734223394525415</v>
      </c>
      <c r="X15">
        <f t="shared" si="16"/>
        <v>0.83001569072875803</v>
      </c>
    </row>
    <row r="16" spans="1:24">
      <c r="A16" t="s">
        <v>13</v>
      </c>
      <c r="B16">
        <v>1</v>
      </c>
      <c r="C16">
        <v>1</v>
      </c>
      <c r="D16">
        <v>1</v>
      </c>
      <c r="E16">
        <v>1</v>
      </c>
      <c r="F16">
        <v>1</v>
      </c>
    </row>
    <row r="17" spans="1:24">
      <c r="A17" t="s">
        <v>88</v>
      </c>
      <c r="B17">
        <v>182</v>
      </c>
      <c r="C17">
        <v>364</v>
      </c>
      <c r="D17">
        <v>546</v>
      </c>
      <c r="E17">
        <v>728</v>
      </c>
      <c r="F17">
        <v>910</v>
      </c>
      <c r="G17" t="s">
        <v>27</v>
      </c>
    </row>
    <row r="19" spans="1:24">
      <c r="A19" s="1" t="s">
        <v>42</v>
      </c>
      <c r="B19" s="1"/>
    </row>
    <row r="20" spans="1:24">
      <c r="A20" t="s">
        <v>73</v>
      </c>
    </row>
    <row r="21" spans="1:24">
      <c r="A21" t="s">
        <v>43</v>
      </c>
      <c r="B21" t="s">
        <v>92</v>
      </c>
      <c r="H21" t="s">
        <v>79</v>
      </c>
      <c r="N21" t="s">
        <v>82</v>
      </c>
      <c r="T21" t="s">
        <v>30</v>
      </c>
    </row>
    <row r="22" spans="1:24">
      <c r="A22" t="s">
        <v>6</v>
      </c>
      <c r="B22" t="s">
        <v>74</v>
      </c>
      <c r="C22" t="s">
        <v>75</v>
      </c>
      <c r="D22" t="s">
        <v>76</v>
      </c>
      <c r="E22" t="s">
        <v>77</v>
      </c>
      <c r="F22" t="s">
        <v>78</v>
      </c>
      <c r="H22" t="s">
        <v>74</v>
      </c>
      <c r="I22" t="s">
        <v>75</v>
      </c>
      <c r="J22" t="s">
        <v>76</v>
      </c>
      <c r="K22" t="s">
        <v>77</v>
      </c>
      <c r="L22" t="s">
        <v>78</v>
      </c>
      <c r="N22" t="s">
        <v>74</v>
      </c>
      <c r="O22" t="s">
        <v>75</v>
      </c>
      <c r="P22" t="s">
        <v>76</v>
      </c>
      <c r="Q22" t="s">
        <v>77</v>
      </c>
      <c r="R22" t="s">
        <v>78</v>
      </c>
      <c r="T22" t="s">
        <v>74</v>
      </c>
      <c r="U22" t="s">
        <v>75</v>
      </c>
      <c r="V22" t="s">
        <v>76</v>
      </c>
      <c r="W22" t="s">
        <v>77</v>
      </c>
      <c r="X22" t="s">
        <v>78</v>
      </c>
    </row>
    <row r="24" spans="1:24">
      <c r="A24" t="s">
        <v>0</v>
      </c>
      <c r="B24">
        <v>615495</v>
      </c>
      <c r="C24">
        <v>594387</v>
      </c>
      <c r="D24">
        <v>674073</v>
      </c>
      <c r="E24">
        <v>669737</v>
      </c>
      <c r="F24">
        <v>630345</v>
      </c>
      <c r="H24">
        <v>468</v>
      </c>
      <c r="I24">
        <v>468</v>
      </c>
      <c r="J24">
        <v>468</v>
      </c>
      <c r="K24">
        <v>468</v>
      </c>
      <c r="L24">
        <v>468</v>
      </c>
      <c r="N24">
        <f t="shared" ref="N24:R30" si="17">B24-H24</f>
        <v>615027</v>
      </c>
      <c r="O24">
        <f t="shared" si="17"/>
        <v>593919</v>
      </c>
      <c r="P24">
        <f t="shared" si="17"/>
        <v>673605</v>
      </c>
      <c r="Q24">
        <f t="shared" si="17"/>
        <v>669269</v>
      </c>
      <c r="R24">
        <f t="shared" si="17"/>
        <v>629877</v>
      </c>
      <c r="T24">
        <v>15257</v>
      </c>
      <c r="U24">
        <v>29235</v>
      </c>
      <c r="V24">
        <v>41481</v>
      </c>
      <c r="W24">
        <v>55163</v>
      </c>
      <c r="X24">
        <v>70027</v>
      </c>
    </row>
    <row r="25" spans="1:24">
      <c r="A25" t="s">
        <v>1</v>
      </c>
      <c r="B25">
        <v>982</v>
      </c>
      <c r="C25">
        <v>1887</v>
      </c>
      <c r="D25">
        <v>2013</v>
      </c>
      <c r="E25">
        <v>2480</v>
      </c>
      <c r="F25">
        <v>3011</v>
      </c>
      <c r="H25">
        <v>452</v>
      </c>
      <c r="I25">
        <v>452</v>
      </c>
      <c r="J25">
        <v>452</v>
      </c>
      <c r="K25">
        <v>452</v>
      </c>
      <c r="L25">
        <v>452</v>
      </c>
      <c r="N25">
        <f t="shared" si="17"/>
        <v>530</v>
      </c>
      <c r="O25">
        <f t="shared" si="17"/>
        <v>1435</v>
      </c>
      <c r="P25">
        <f t="shared" si="17"/>
        <v>1561</v>
      </c>
      <c r="Q25">
        <f t="shared" si="17"/>
        <v>2028</v>
      </c>
      <c r="R25">
        <f t="shared" si="17"/>
        <v>2559</v>
      </c>
      <c r="T25">
        <v>15257</v>
      </c>
      <c r="U25">
        <v>29235</v>
      </c>
      <c r="V25">
        <v>41481</v>
      </c>
      <c r="W25">
        <v>55163</v>
      </c>
      <c r="X25">
        <v>70027</v>
      </c>
    </row>
    <row r="26" spans="1:24">
      <c r="A26" t="s">
        <v>2</v>
      </c>
      <c r="B26">
        <v>968</v>
      </c>
      <c r="C26">
        <v>1903</v>
      </c>
      <c r="D26">
        <v>2013</v>
      </c>
      <c r="E26">
        <v>2480</v>
      </c>
      <c r="F26">
        <v>3010</v>
      </c>
      <c r="H26">
        <v>437</v>
      </c>
      <c r="I26">
        <v>437</v>
      </c>
      <c r="J26">
        <v>437</v>
      </c>
      <c r="K26">
        <v>437</v>
      </c>
      <c r="L26">
        <v>437</v>
      </c>
      <c r="N26">
        <f t="shared" si="17"/>
        <v>531</v>
      </c>
      <c r="O26">
        <f t="shared" si="17"/>
        <v>1466</v>
      </c>
      <c r="P26">
        <f t="shared" si="17"/>
        <v>1576</v>
      </c>
      <c r="Q26">
        <f t="shared" si="17"/>
        <v>2043</v>
      </c>
      <c r="R26">
        <f t="shared" si="17"/>
        <v>2573</v>
      </c>
      <c r="T26">
        <v>15928</v>
      </c>
      <c r="U26">
        <v>31075</v>
      </c>
      <c r="V26">
        <v>44711</v>
      </c>
      <c r="W26">
        <v>59530</v>
      </c>
      <c r="X26">
        <v>75552</v>
      </c>
    </row>
    <row r="27" spans="1:24">
      <c r="A27" t="s">
        <v>3</v>
      </c>
      <c r="B27">
        <v>967</v>
      </c>
      <c r="C27">
        <v>1888</v>
      </c>
      <c r="D27">
        <v>1997</v>
      </c>
      <c r="E27">
        <v>2496</v>
      </c>
      <c r="F27">
        <v>3011</v>
      </c>
      <c r="H27">
        <v>421</v>
      </c>
      <c r="I27">
        <v>421</v>
      </c>
      <c r="J27">
        <v>421</v>
      </c>
      <c r="K27">
        <v>421</v>
      </c>
      <c r="L27">
        <v>421</v>
      </c>
      <c r="N27">
        <f t="shared" si="17"/>
        <v>546</v>
      </c>
      <c r="O27">
        <f t="shared" si="17"/>
        <v>1467</v>
      </c>
      <c r="P27">
        <f t="shared" si="17"/>
        <v>1576</v>
      </c>
      <c r="Q27">
        <f t="shared" si="17"/>
        <v>2075</v>
      </c>
      <c r="R27">
        <f t="shared" si="17"/>
        <v>2590</v>
      </c>
      <c r="T27">
        <v>15974</v>
      </c>
      <c r="U27">
        <v>31029</v>
      </c>
      <c r="V27">
        <v>44788</v>
      </c>
      <c r="W27">
        <v>59468</v>
      </c>
      <c r="X27">
        <v>75395</v>
      </c>
    </row>
    <row r="28" spans="1:24">
      <c r="A28" t="s">
        <v>4</v>
      </c>
      <c r="B28">
        <v>967</v>
      </c>
      <c r="C28">
        <v>1872</v>
      </c>
      <c r="D28">
        <v>1997</v>
      </c>
      <c r="E28">
        <v>2496</v>
      </c>
      <c r="F28">
        <v>3011</v>
      </c>
      <c r="H28">
        <v>421</v>
      </c>
      <c r="I28">
        <v>421</v>
      </c>
      <c r="J28">
        <v>421</v>
      </c>
      <c r="K28">
        <v>421</v>
      </c>
      <c r="L28">
        <v>421</v>
      </c>
      <c r="N28">
        <f t="shared" si="17"/>
        <v>546</v>
      </c>
      <c r="O28">
        <f t="shared" si="17"/>
        <v>1451</v>
      </c>
      <c r="P28">
        <f t="shared" si="17"/>
        <v>1576</v>
      </c>
      <c r="Q28">
        <f t="shared" si="17"/>
        <v>2075</v>
      </c>
      <c r="R28">
        <f t="shared" si="17"/>
        <v>2590</v>
      </c>
      <c r="T28">
        <v>15257</v>
      </c>
      <c r="U28">
        <v>29235</v>
      </c>
      <c r="V28">
        <v>41481</v>
      </c>
      <c r="W28">
        <v>55163</v>
      </c>
      <c r="X28">
        <v>70027</v>
      </c>
    </row>
    <row r="29" spans="1:24">
      <c r="A29" t="s">
        <v>31</v>
      </c>
      <c r="B29">
        <v>967</v>
      </c>
      <c r="C29">
        <v>1887</v>
      </c>
      <c r="D29">
        <v>1997</v>
      </c>
      <c r="E29">
        <v>2481</v>
      </c>
      <c r="F29">
        <v>3011</v>
      </c>
      <c r="H29">
        <v>421</v>
      </c>
      <c r="I29">
        <v>421</v>
      </c>
      <c r="J29">
        <v>421</v>
      </c>
      <c r="K29">
        <v>421</v>
      </c>
      <c r="L29">
        <v>421</v>
      </c>
      <c r="N29">
        <f t="shared" si="17"/>
        <v>546</v>
      </c>
      <c r="O29">
        <f t="shared" si="17"/>
        <v>1466</v>
      </c>
      <c r="P29">
        <f t="shared" si="17"/>
        <v>1576</v>
      </c>
      <c r="Q29">
        <f t="shared" si="17"/>
        <v>2060</v>
      </c>
      <c r="R29">
        <f t="shared" si="17"/>
        <v>2590</v>
      </c>
      <c r="T29">
        <v>15928</v>
      </c>
      <c r="U29">
        <v>31075</v>
      </c>
      <c r="V29">
        <v>44711</v>
      </c>
      <c r="W29">
        <v>59530</v>
      </c>
      <c r="X29">
        <v>75552</v>
      </c>
    </row>
    <row r="30" spans="1:24">
      <c r="A30" t="s">
        <v>32</v>
      </c>
      <c r="B30">
        <v>968</v>
      </c>
      <c r="C30">
        <v>1872</v>
      </c>
      <c r="D30">
        <v>1996</v>
      </c>
      <c r="E30">
        <v>2480</v>
      </c>
      <c r="F30">
        <v>3011</v>
      </c>
      <c r="H30">
        <v>422</v>
      </c>
      <c r="I30">
        <v>422</v>
      </c>
      <c r="J30">
        <v>422</v>
      </c>
      <c r="K30">
        <v>422</v>
      </c>
      <c r="L30">
        <v>422</v>
      </c>
      <c r="N30">
        <f t="shared" si="17"/>
        <v>546</v>
      </c>
      <c r="O30">
        <f t="shared" si="17"/>
        <v>1450</v>
      </c>
      <c r="P30">
        <f t="shared" si="17"/>
        <v>1574</v>
      </c>
      <c r="Q30">
        <f t="shared" si="17"/>
        <v>2058</v>
      </c>
      <c r="R30">
        <f t="shared" si="17"/>
        <v>2589</v>
      </c>
      <c r="T30">
        <v>15974</v>
      </c>
      <c r="U30">
        <v>31029</v>
      </c>
      <c r="V30">
        <v>44788</v>
      </c>
      <c r="W30">
        <v>59468</v>
      </c>
      <c r="X30">
        <v>75395</v>
      </c>
    </row>
    <row r="31" spans="1:24">
      <c r="A31" t="s">
        <v>5</v>
      </c>
      <c r="B31">
        <f>(SUM(B24:B30) -MAX(B24:B30))/((COUNT(B24:B30)-1)*1000)</f>
        <v>0.96983333333333333</v>
      </c>
      <c r="C31">
        <f t="shared" ref="C31" si="18">(SUM(C24:C30) -MAX(C24:C30))/((COUNT(C24:C30)-1)*1000)</f>
        <v>1.8848333333333334</v>
      </c>
      <c r="D31">
        <f t="shared" ref="D31" si="19">(SUM(D24:D30) -MAX(D24:D30))/((COUNT(D24:D30)-1)*1000)</f>
        <v>2.0021666666666667</v>
      </c>
      <c r="E31">
        <f t="shared" ref="E31:F31" si="20">(SUM(E24:E30) -MAX(E24:E30))/((COUNT(E24:E30)-1)*1000)</f>
        <v>2.4855</v>
      </c>
      <c r="F31">
        <f t="shared" si="20"/>
        <v>3.0108333333333333</v>
      </c>
      <c r="H31">
        <f>(SUM(H24:H30) -MAX(H24:H30))/((COUNT(H24:H30)-1)*1000)</f>
        <v>0.42899999999999999</v>
      </c>
      <c r="I31">
        <f t="shared" ref="I31" si="21">(SUM(I24:I30) -MAX(I24:I30))/((COUNT(I24:I30)-1)*1000)</f>
        <v>0.42899999999999999</v>
      </c>
      <c r="J31">
        <f t="shared" ref="J31" si="22">(SUM(J24:J30) -MAX(J24:J30))/((COUNT(J24:J30)-1)*1000)</f>
        <v>0.42899999999999999</v>
      </c>
      <c r="K31">
        <f t="shared" ref="K31:L31" si="23">(SUM(K24:K30) -MAX(K24:K30))/((COUNT(K24:K30)-1)*1000)</f>
        <v>0.42899999999999999</v>
      </c>
      <c r="L31">
        <f t="shared" si="23"/>
        <v>0.42899999999999999</v>
      </c>
      <c r="N31">
        <f>(SUM(N24:N30) -MAX(N24:N30))/((COUNT(N24:N30)-1)*1000)</f>
        <v>0.54083333333333339</v>
      </c>
      <c r="O31">
        <f t="shared" ref="O31" si="24">(SUM(O24:O30) -MAX(O24:O30))/((COUNT(O24:O30)-1)*1000)</f>
        <v>1.4558333333333333</v>
      </c>
      <c r="P31">
        <f t="shared" ref="P31" si="25">(SUM(P24:P30) -MAX(P24:P30))/((COUNT(P24:P30)-1)*1000)</f>
        <v>1.5731666666666666</v>
      </c>
      <c r="Q31">
        <f t="shared" ref="Q31:R31" si="26">(SUM(Q24:Q30) -MAX(Q24:Q30))/((COUNT(Q24:Q30)-1)*1000)</f>
        <v>2.0565000000000002</v>
      </c>
      <c r="R31">
        <f t="shared" si="26"/>
        <v>2.5818333333333334</v>
      </c>
      <c r="T31">
        <f>(SUM(T24:T30) -MAX(T24:T30))/((COUNT(T24:T30)-1)*1000)</f>
        <v>15.600166666666667</v>
      </c>
      <c r="U31">
        <f t="shared" ref="U31" si="27">(SUM(U24:U30) -MAX(U24:U30))/((COUNT(U24:U30)-1)*1000)</f>
        <v>30.139666666666667</v>
      </c>
      <c r="V31">
        <f t="shared" ref="V31" si="28">(SUM(V24:V30) -MAX(V24:V30))/((COUNT(V24:V30)-1)*1000)</f>
        <v>43.108833333333337</v>
      </c>
      <c r="W31">
        <f t="shared" ref="W31:X31" si="29">(SUM(W24:W30) -MAX(W24:W30))/((COUNT(W24:W30)-1)*1000)</f>
        <v>57.325833333333335</v>
      </c>
      <c r="X31">
        <f t="shared" si="29"/>
        <v>72.737166666666667</v>
      </c>
    </row>
    <row r="32" spans="1:24">
      <c r="A32" t="s">
        <v>7</v>
      </c>
      <c r="B32">
        <f>STDEV(B25:B30)/1000</f>
        <v>5.980523945826534E-3</v>
      </c>
      <c r="C32">
        <f t="shared" ref="C32:F32" si="30">STDEV(C25:C30)/1000</f>
        <v>1.1651895410894243E-2</v>
      </c>
      <c r="D32">
        <f t="shared" si="30"/>
        <v>8.400396816009249E-3</v>
      </c>
      <c r="E32">
        <f t="shared" si="30"/>
        <v>8.1424811943289124E-3</v>
      </c>
      <c r="F32">
        <f t="shared" si="30"/>
        <v>4.0824829046386303E-4</v>
      </c>
      <c r="H32">
        <f>STDEV(H25:H30)/1000</f>
        <v>1.2915107432770351E-2</v>
      </c>
      <c r="I32">
        <f t="shared" ref="I32:L32" si="31">STDEV(I25:I30)/1000</f>
        <v>1.2915107432770351E-2</v>
      </c>
      <c r="J32">
        <f t="shared" si="31"/>
        <v>1.2915107432770351E-2</v>
      </c>
      <c r="K32">
        <f t="shared" si="31"/>
        <v>1.2915107432770351E-2</v>
      </c>
      <c r="L32">
        <f t="shared" si="31"/>
        <v>1.2915107432770351E-2</v>
      </c>
      <c r="N32">
        <f>STDEV(N25:N30)/1000</f>
        <v>8.0104098937976414E-3</v>
      </c>
      <c r="O32">
        <f t="shared" ref="O32:R32" si="32">STDEV(O25:O30)/1000</f>
        <v>1.2828354012373949E-2</v>
      </c>
      <c r="P32">
        <f t="shared" si="32"/>
        <v>6.0138728508998965E-3</v>
      </c>
      <c r="Q32">
        <f t="shared" si="32"/>
        <v>1.8403803954617645E-2</v>
      </c>
      <c r="R32">
        <f t="shared" si="32"/>
        <v>1.3044794619585369E-2</v>
      </c>
      <c r="T32">
        <f>STDEV(T25:T30)/1000</f>
        <v>0.35897000803221818</v>
      </c>
      <c r="U32">
        <f t="shared" ref="U32:X32" si="33">STDEV(U25:U30)/1000</f>
        <v>0.93852025373275938</v>
      </c>
      <c r="V32">
        <f t="shared" si="33"/>
        <v>1.6881973818247675</v>
      </c>
      <c r="W32">
        <f t="shared" si="33"/>
        <v>2.2392724413671536</v>
      </c>
      <c r="X32">
        <f t="shared" si="33"/>
        <v>2.8134367595522738</v>
      </c>
    </row>
    <row r="33" spans="1:24">
      <c r="A33" t="s">
        <v>8</v>
      </c>
      <c r="B33">
        <f>CONFIDENCE(0.05,B32,5)/2</f>
        <v>2.6210320214874777E-3</v>
      </c>
      <c r="C33">
        <f t="shared" ref="C33:F33" si="34">CONFIDENCE(0.05,C32,5)/2</f>
        <v>5.1065744840448164E-3</v>
      </c>
      <c r="D33">
        <f t="shared" si="34"/>
        <v>3.6815685795099262E-3</v>
      </c>
      <c r="E33">
        <f t="shared" si="34"/>
        <v>3.5685341515251079E-3</v>
      </c>
      <c r="F33">
        <f t="shared" si="34"/>
        <v>1.7891941437171572E-4</v>
      </c>
      <c r="H33">
        <f>CONFIDENCE(0.05,H32,5)/2</f>
        <v>5.6601913893956799E-3</v>
      </c>
      <c r="I33">
        <f t="shared" ref="I33:L33" si="35">CONFIDENCE(0.05,I32,5)/2</f>
        <v>5.6601913893956799E-3</v>
      </c>
      <c r="J33">
        <f t="shared" si="35"/>
        <v>5.6601913893956799E-3</v>
      </c>
      <c r="K33">
        <f t="shared" si="35"/>
        <v>5.6601913893956799E-3</v>
      </c>
      <c r="L33">
        <f t="shared" si="35"/>
        <v>5.6601913893956799E-3</v>
      </c>
      <c r="N33">
        <f>CONFIDENCE(0.05,N32,5)/2</f>
        <v>3.5106524155856466E-3</v>
      </c>
      <c r="O33">
        <f t="shared" ref="O33:R33" si="36">CONFIDENCE(0.05,O32,5)/2</f>
        <v>5.6221707251708983E-3</v>
      </c>
      <c r="P33">
        <f t="shared" si="36"/>
        <v>2.6356475549876536E-3</v>
      </c>
      <c r="Q33">
        <f t="shared" si="36"/>
        <v>8.065674499287398E-3</v>
      </c>
      <c r="R33">
        <f t="shared" si="36"/>
        <v>5.7170282606293444E-3</v>
      </c>
      <c r="T33">
        <f>CONFIDENCE(0.05,T32,5)/2</f>
        <v>0.15732265171559789</v>
      </c>
      <c r="U33">
        <f t="shared" ref="U33:X33" si="37">CONFIDENCE(0.05,U32,5)/2</f>
        <v>0.41131707859220806</v>
      </c>
      <c r="V33">
        <f t="shared" si="37"/>
        <v>0.73987152905588927</v>
      </c>
      <c r="W33">
        <f t="shared" si="37"/>
        <v>0.98138638467513084</v>
      </c>
      <c r="X33">
        <f t="shared" si="37"/>
        <v>1.2330203681171519</v>
      </c>
    </row>
    <row r="34" spans="1:24">
      <c r="A34" t="s">
        <v>13</v>
      </c>
      <c r="B34">
        <v>4</v>
      </c>
      <c r="C34">
        <v>4</v>
      </c>
      <c r="D34">
        <v>4</v>
      </c>
      <c r="E34">
        <v>4</v>
      </c>
      <c r="F34">
        <v>4</v>
      </c>
    </row>
    <row r="35" spans="1:24">
      <c r="A35" t="s">
        <v>85</v>
      </c>
      <c r="B35">
        <v>274</v>
      </c>
      <c r="C35">
        <v>548</v>
      </c>
      <c r="D35">
        <v>822</v>
      </c>
      <c r="E35">
        <v>1096</v>
      </c>
      <c r="F35">
        <v>1370</v>
      </c>
      <c r="G35" t="s">
        <v>27</v>
      </c>
    </row>
    <row r="37" spans="1:24">
      <c r="A37" s="1" t="s">
        <v>48</v>
      </c>
      <c r="B37" s="1"/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X108"/>
  <sheetViews>
    <sheetView topLeftCell="A33" zoomScale="85" zoomScaleNormal="85" workbookViewId="0">
      <selection activeCell="N54" sqref="N54"/>
    </sheetView>
  </sheetViews>
  <sheetFormatPr defaultRowHeight="14.4"/>
  <cols>
    <col min="1" max="1" width="12.6640625" customWidth="1"/>
    <col min="2" max="6" width="8.6640625" customWidth="1"/>
    <col min="7" max="7" width="4.6640625" customWidth="1"/>
    <col min="8" max="12" width="8.6640625" customWidth="1"/>
    <col min="13" max="13" width="4.6640625" customWidth="1"/>
    <col min="14" max="18" width="8.6640625" customWidth="1"/>
    <col min="19" max="19" width="4.6640625" customWidth="1"/>
    <col min="20" max="24" width="8.6640625" customWidth="1"/>
  </cols>
  <sheetData>
    <row r="1" spans="1:24">
      <c r="A1" s="1" t="s">
        <v>48</v>
      </c>
      <c r="B1" s="1"/>
    </row>
    <row r="2" spans="1:24">
      <c r="A2" t="s">
        <v>49</v>
      </c>
      <c r="B2" s="1"/>
    </row>
    <row r="3" spans="1:24">
      <c r="A3" t="s">
        <v>43</v>
      </c>
      <c r="B3" t="s">
        <v>92</v>
      </c>
      <c r="H3" t="s">
        <v>28</v>
      </c>
      <c r="N3" t="s">
        <v>60</v>
      </c>
      <c r="T3" t="s">
        <v>30</v>
      </c>
    </row>
    <row r="4" spans="1:24">
      <c r="A4" t="s">
        <v>6</v>
      </c>
      <c r="B4">
        <v>1</v>
      </c>
      <c r="C4">
        <v>3</v>
      </c>
      <c r="D4">
        <v>5</v>
      </c>
      <c r="E4">
        <v>10</v>
      </c>
      <c r="F4">
        <v>15</v>
      </c>
      <c r="H4" t="s">
        <v>35</v>
      </c>
      <c r="I4">
        <v>3</v>
      </c>
      <c r="J4">
        <v>5</v>
      </c>
      <c r="K4">
        <v>10</v>
      </c>
      <c r="L4">
        <v>15</v>
      </c>
      <c r="N4" t="s">
        <v>35</v>
      </c>
      <c r="O4">
        <v>3</v>
      </c>
      <c r="P4">
        <v>5</v>
      </c>
      <c r="Q4">
        <v>10</v>
      </c>
      <c r="R4">
        <v>15</v>
      </c>
      <c r="T4" t="s">
        <v>35</v>
      </c>
      <c r="U4">
        <v>3</v>
      </c>
      <c r="V4">
        <v>5</v>
      </c>
      <c r="W4">
        <v>10</v>
      </c>
      <c r="X4">
        <v>15</v>
      </c>
    </row>
    <row r="6" spans="1:24">
      <c r="A6" t="s">
        <v>0</v>
      </c>
      <c r="B6">
        <v>287591</v>
      </c>
      <c r="C6">
        <v>2683</v>
      </c>
      <c r="D6">
        <v>32433</v>
      </c>
      <c r="E6">
        <v>952</v>
      </c>
      <c r="F6">
        <v>639</v>
      </c>
      <c r="H6">
        <v>390</v>
      </c>
      <c r="I6">
        <v>437</v>
      </c>
      <c r="J6">
        <v>437</v>
      </c>
      <c r="K6">
        <v>452</v>
      </c>
      <c r="L6">
        <v>452</v>
      </c>
      <c r="N6">
        <f t="shared" ref="N6:R12" si="0">B6-H6</f>
        <v>287201</v>
      </c>
      <c r="O6">
        <f t="shared" si="0"/>
        <v>2246</v>
      </c>
      <c r="P6">
        <f t="shared" si="0"/>
        <v>31996</v>
      </c>
      <c r="Q6">
        <f t="shared" si="0"/>
        <v>500</v>
      </c>
      <c r="R6">
        <f t="shared" si="0"/>
        <v>187</v>
      </c>
      <c r="T6">
        <v>41903</v>
      </c>
      <c r="U6">
        <v>48361</v>
      </c>
      <c r="V6">
        <v>48392</v>
      </c>
      <c r="W6">
        <v>61372</v>
      </c>
      <c r="X6">
        <v>45756</v>
      </c>
    </row>
    <row r="7" spans="1:24">
      <c r="A7" t="s">
        <v>1</v>
      </c>
      <c r="B7">
        <v>1810</v>
      </c>
      <c r="C7">
        <v>858</v>
      </c>
      <c r="D7">
        <v>686</v>
      </c>
      <c r="E7">
        <v>593</v>
      </c>
      <c r="F7">
        <v>530</v>
      </c>
      <c r="H7">
        <v>375</v>
      </c>
      <c r="I7">
        <v>406</v>
      </c>
      <c r="J7">
        <v>406</v>
      </c>
      <c r="K7">
        <v>421</v>
      </c>
      <c r="L7">
        <v>421</v>
      </c>
      <c r="N7">
        <f t="shared" si="0"/>
        <v>1435</v>
      </c>
      <c r="O7">
        <f t="shared" si="0"/>
        <v>452</v>
      </c>
      <c r="P7">
        <f t="shared" si="0"/>
        <v>280</v>
      </c>
      <c r="Q7">
        <f t="shared" si="0"/>
        <v>172</v>
      </c>
      <c r="R7">
        <f t="shared" si="0"/>
        <v>109</v>
      </c>
      <c r="T7">
        <v>41903</v>
      </c>
      <c r="U7">
        <v>48361</v>
      </c>
      <c r="V7">
        <v>48392</v>
      </c>
      <c r="W7">
        <v>49156</v>
      </c>
      <c r="X7">
        <v>45756</v>
      </c>
    </row>
    <row r="8" spans="1:24">
      <c r="A8" t="s">
        <v>2</v>
      </c>
      <c r="B8">
        <v>1826</v>
      </c>
      <c r="C8">
        <v>858</v>
      </c>
      <c r="D8">
        <v>687</v>
      </c>
      <c r="E8">
        <v>577</v>
      </c>
      <c r="F8">
        <v>531</v>
      </c>
      <c r="H8">
        <v>375</v>
      </c>
      <c r="I8">
        <v>406</v>
      </c>
      <c r="J8">
        <v>406</v>
      </c>
      <c r="K8">
        <v>421</v>
      </c>
      <c r="L8">
        <v>406</v>
      </c>
      <c r="N8">
        <f t="shared" si="0"/>
        <v>1451</v>
      </c>
      <c r="O8">
        <f t="shared" si="0"/>
        <v>452</v>
      </c>
      <c r="P8">
        <f t="shared" si="0"/>
        <v>281</v>
      </c>
      <c r="Q8">
        <f t="shared" si="0"/>
        <v>156</v>
      </c>
      <c r="R8">
        <f t="shared" si="0"/>
        <v>125</v>
      </c>
      <c r="T8">
        <v>45490</v>
      </c>
      <c r="U8">
        <v>52386</v>
      </c>
      <c r="V8">
        <v>51574</v>
      </c>
      <c r="W8">
        <v>49375</v>
      </c>
      <c r="X8">
        <v>48236</v>
      </c>
    </row>
    <row r="9" spans="1:24">
      <c r="A9" t="s">
        <v>3</v>
      </c>
      <c r="B9">
        <v>1794</v>
      </c>
      <c r="C9">
        <v>858</v>
      </c>
      <c r="D9">
        <v>687</v>
      </c>
      <c r="E9">
        <v>578</v>
      </c>
      <c r="F9">
        <v>546</v>
      </c>
      <c r="H9">
        <v>358</v>
      </c>
      <c r="I9">
        <v>406</v>
      </c>
      <c r="J9">
        <v>406</v>
      </c>
      <c r="K9">
        <v>422</v>
      </c>
      <c r="L9">
        <v>422</v>
      </c>
      <c r="N9">
        <f t="shared" si="0"/>
        <v>1436</v>
      </c>
      <c r="O9">
        <f t="shared" si="0"/>
        <v>452</v>
      </c>
      <c r="P9">
        <f t="shared" si="0"/>
        <v>281</v>
      </c>
      <c r="Q9">
        <f t="shared" si="0"/>
        <v>156</v>
      </c>
      <c r="R9">
        <f t="shared" si="0"/>
        <v>124</v>
      </c>
      <c r="T9">
        <v>45646</v>
      </c>
      <c r="U9">
        <v>52308</v>
      </c>
      <c r="V9">
        <v>50810</v>
      </c>
      <c r="W9">
        <v>49156</v>
      </c>
      <c r="X9">
        <v>48548</v>
      </c>
    </row>
    <row r="10" spans="1:24">
      <c r="A10" t="s">
        <v>4</v>
      </c>
      <c r="B10">
        <v>1794</v>
      </c>
      <c r="C10">
        <v>858</v>
      </c>
      <c r="D10">
        <v>686</v>
      </c>
      <c r="E10">
        <v>593</v>
      </c>
      <c r="F10">
        <v>530</v>
      </c>
      <c r="H10">
        <v>359</v>
      </c>
      <c r="I10">
        <v>405</v>
      </c>
      <c r="J10">
        <v>405</v>
      </c>
      <c r="K10">
        <v>421</v>
      </c>
      <c r="L10">
        <v>421</v>
      </c>
      <c r="N10">
        <f t="shared" si="0"/>
        <v>1435</v>
      </c>
      <c r="O10">
        <f t="shared" si="0"/>
        <v>453</v>
      </c>
      <c r="P10">
        <f t="shared" si="0"/>
        <v>281</v>
      </c>
      <c r="Q10">
        <f t="shared" si="0"/>
        <v>172</v>
      </c>
      <c r="R10">
        <f t="shared" si="0"/>
        <v>109</v>
      </c>
      <c r="T10">
        <v>41903</v>
      </c>
      <c r="U10">
        <v>48361</v>
      </c>
      <c r="V10">
        <v>48392</v>
      </c>
      <c r="W10">
        <v>49375</v>
      </c>
      <c r="X10">
        <v>45756</v>
      </c>
    </row>
    <row r="11" spans="1:24">
      <c r="A11" t="s">
        <v>31</v>
      </c>
      <c r="B11">
        <v>1794</v>
      </c>
      <c r="C11">
        <v>858</v>
      </c>
      <c r="D11">
        <v>686</v>
      </c>
      <c r="E11">
        <v>593</v>
      </c>
      <c r="F11">
        <v>546</v>
      </c>
      <c r="H11">
        <v>359</v>
      </c>
      <c r="I11">
        <v>406</v>
      </c>
      <c r="J11">
        <v>406</v>
      </c>
      <c r="K11">
        <v>421</v>
      </c>
      <c r="L11">
        <v>421</v>
      </c>
      <c r="N11">
        <f t="shared" si="0"/>
        <v>1435</v>
      </c>
      <c r="O11">
        <f t="shared" si="0"/>
        <v>452</v>
      </c>
      <c r="P11">
        <f t="shared" si="0"/>
        <v>280</v>
      </c>
      <c r="Q11">
        <f t="shared" si="0"/>
        <v>172</v>
      </c>
      <c r="R11">
        <f t="shared" si="0"/>
        <v>125</v>
      </c>
      <c r="T11">
        <v>45490</v>
      </c>
      <c r="U11">
        <v>52386</v>
      </c>
      <c r="V11">
        <v>51574</v>
      </c>
      <c r="W11">
        <v>49156</v>
      </c>
      <c r="X11">
        <v>48236</v>
      </c>
    </row>
    <row r="12" spans="1:24">
      <c r="A12" t="s">
        <v>32</v>
      </c>
      <c r="B12">
        <v>1809</v>
      </c>
      <c r="C12">
        <v>857</v>
      </c>
      <c r="D12">
        <v>686</v>
      </c>
      <c r="E12">
        <v>592</v>
      </c>
      <c r="F12">
        <v>531</v>
      </c>
      <c r="H12">
        <v>374</v>
      </c>
      <c r="I12">
        <v>421</v>
      </c>
      <c r="J12">
        <v>406</v>
      </c>
      <c r="K12">
        <v>421</v>
      </c>
      <c r="L12">
        <v>406</v>
      </c>
      <c r="N12">
        <f t="shared" si="0"/>
        <v>1435</v>
      </c>
      <c r="O12">
        <f t="shared" si="0"/>
        <v>436</v>
      </c>
      <c r="P12">
        <f t="shared" si="0"/>
        <v>280</v>
      </c>
      <c r="Q12">
        <f t="shared" si="0"/>
        <v>171</v>
      </c>
      <c r="R12">
        <f t="shared" si="0"/>
        <v>125</v>
      </c>
      <c r="T12">
        <v>45646</v>
      </c>
      <c r="U12">
        <v>52308</v>
      </c>
      <c r="V12">
        <v>50810</v>
      </c>
      <c r="W12">
        <v>49375</v>
      </c>
      <c r="X12">
        <v>48548</v>
      </c>
    </row>
    <row r="13" spans="1:24">
      <c r="A13" t="s">
        <v>5</v>
      </c>
      <c r="B13">
        <f>(SUM(B6:B12) -MAX(B6:B12))/((COUNT(B6:B12)-1)*1000)</f>
        <v>1.8045</v>
      </c>
      <c r="C13">
        <f t="shared" ref="C13:F13" si="1">(SUM(C6:C12) -MAX(C6:C12))/((COUNT(C6:C12)-1)*1000)</f>
        <v>0.85783333333333334</v>
      </c>
      <c r="D13">
        <f t="shared" si="1"/>
        <v>0.68633333333333335</v>
      </c>
      <c r="E13">
        <f t="shared" si="1"/>
        <v>0.58766666666666667</v>
      </c>
      <c r="F13">
        <f t="shared" si="1"/>
        <v>0.53566666666666662</v>
      </c>
      <c r="H13">
        <f>(SUM(H6:H12) -MAX(H6:H12))/((COUNT(H6:H12)-1)*1000)</f>
        <v>0.36666666666666664</v>
      </c>
      <c r="I13">
        <f t="shared" ref="I13:L13" si="2">(SUM(I6:I12) -MAX(I6:I12))/((COUNT(I6:I12)-1)*1000)</f>
        <v>0.40833333333333333</v>
      </c>
      <c r="J13">
        <f t="shared" si="2"/>
        <v>0.40583333333333332</v>
      </c>
      <c r="K13">
        <f t="shared" si="2"/>
        <v>0.42116666666666669</v>
      </c>
      <c r="L13">
        <f t="shared" si="2"/>
        <v>0.41616666666666668</v>
      </c>
      <c r="N13">
        <f>(SUM(N6:N12) -MAX(N6:N12))/((COUNT(N6:N12)-1)*1000)</f>
        <v>1.4378333333333333</v>
      </c>
      <c r="O13">
        <f t="shared" ref="O13:R13" si="3">(SUM(O6:O12) -MAX(O6:O12))/((COUNT(O6:O12)-1)*1000)</f>
        <v>0.44950000000000001</v>
      </c>
      <c r="P13">
        <f t="shared" si="3"/>
        <v>0.28050000000000003</v>
      </c>
      <c r="Q13">
        <f t="shared" si="3"/>
        <v>0.16650000000000001</v>
      </c>
      <c r="R13">
        <f t="shared" si="3"/>
        <v>0.1195</v>
      </c>
      <c r="T13">
        <f>(SUM(T6:T12) -MAX(T6:T12))/((COUNT(T6:T12)-1)*1000)</f>
        <v>43.722499999999997</v>
      </c>
      <c r="U13">
        <f t="shared" ref="U13:X13" si="4">(SUM(U6:U12) -MAX(U6:U12))/((COUNT(U6:U12)-1)*1000)</f>
        <v>50.347499999999997</v>
      </c>
      <c r="V13">
        <f t="shared" si="4"/>
        <v>49.728333333333332</v>
      </c>
      <c r="W13">
        <f t="shared" si="4"/>
        <v>49.265500000000003</v>
      </c>
      <c r="X13">
        <f t="shared" si="4"/>
        <v>47.048000000000002</v>
      </c>
    </row>
    <row r="14" spans="1:24">
      <c r="A14" t="s">
        <v>7</v>
      </c>
      <c r="B14">
        <f>STDEV(B7:B12)/1000</f>
        <v>1.2988456413292536E-2</v>
      </c>
      <c r="C14">
        <f t="shared" ref="C14:F14" si="5">STDEV(C7:C12)/1000</f>
        <v>4.0824829046386303E-4</v>
      </c>
      <c r="D14">
        <f t="shared" si="5"/>
        <v>5.1639777949432232E-4</v>
      </c>
      <c r="E14">
        <f t="shared" si="5"/>
        <v>7.8909230554258438E-3</v>
      </c>
      <c r="F14">
        <f t="shared" si="5"/>
        <v>8.0166493416296541E-3</v>
      </c>
      <c r="H14">
        <f>STDEV(H7:H12)/1000</f>
        <v>8.778762251403921E-3</v>
      </c>
      <c r="I14">
        <f t="shared" ref="I14:L14" si="6">STDEV(I7:I12)/1000</f>
        <v>6.2182527020598335E-3</v>
      </c>
      <c r="J14">
        <f t="shared" si="6"/>
        <v>4.0824829046386303E-4</v>
      </c>
      <c r="K14">
        <f t="shared" si="6"/>
        <v>4.0824829046386303E-4</v>
      </c>
      <c r="L14">
        <f t="shared" si="6"/>
        <v>7.8845841150104057E-3</v>
      </c>
      <c r="N14">
        <f>STDEV(N7:N12)/1000</f>
        <v>6.4627135683697785E-3</v>
      </c>
      <c r="O14">
        <f t="shared" ref="O14:R14" si="7">STDEV(O7:O12)/1000</f>
        <v>6.6257075093909788E-3</v>
      </c>
      <c r="P14">
        <f t="shared" si="7"/>
        <v>5.4772255750516611E-4</v>
      </c>
      <c r="Q14">
        <f t="shared" si="7"/>
        <v>8.1424811943289124E-3</v>
      </c>
      <c r="R14">
        <f t="shared" si="7"/>
        <v>8.1424811943289124E-3</v>
      </c>
      <c r="T14">
        <f>STDEV(T7:T12)/1000</f>
        <v>1.8938832769383636</v>
      </c>
      <c r="U14">
        <f t="shared" ref="U14:X14" si="8">STDEV(U7:U12)/1000</f>
        <v>2.0586571027412006</v>
      </c>
      <c r="V14">
        <f t="shared" si="8"/>
        <v>1.4857341170838052</v>
      </c>
      <c r="W14">
        <f t="shared" si="8"/>
        <v>0.11995124009363137</v>
      </c>
      <c r="X14">
        <f t="shared" si="8"/>
        <v>1.3683570684097019</v>
      </c>
    </row>
    <row r="15" spans="1:24">
      <c r="A15" t="s">
        <v>8</v>
      </c>
      <c r="B15">
        <f>CONFIDENCE(0.05,B14,5)/2</f>
        <v>5.6923374067736829E-3</v>
      </c>
      <c r="C15">
        <f t="shared" ref="C15:F15" si="9">CONFIDENCE(0.05,C14,5)/2</f>
        <v>1.7891941437171572E-4</v>
      </c>
      <c r="D15">
        <f t="shared" si="9"/>
        <v>2.2631714681523436E-4</v>
      </c>
      <c r="E15">
        <f t="shared" si="9"/>
        <v>3.4582859620180908E-3</v>
      </c>
      <c r="F15">
        <f t="shared" si="9"/>
        <v>3.5133869239184021E-3</v>
      </c>
      <c r="H15">
        <f>CONFIDENCE(0.05,H14,5)/2</f>
        <v>3.8473914958591779E-3</v>
      </c>
      <c r="I15">
        <f t="shared" ref="I15:L15" si="10">CONFIDENCE(0.05,I14,5)/2</f>
        <v>2.7252193281783392E-3</v>
      </c>
      <c r="J15">
        <f t="shared" si="10"/>
        <v>1.7891941437171572E-4</v>
      </c>
      <c r="K15">
        <f t="shared" si="10"/>
        <v>1.7891941437171572E-4</v>
      </c>
      <c r="L15">
        <f t="shared" si="10"/>
        <v>3.455507849939339E-3</v>
      </c>
      <c r="N15">
        <f>CONFIDENCE(0.05,N14,5)/2</f>
        <v>2.8323570579831116E-3</v>
      </c>
      <c r="O15">
        <f t="shared" ref="O15:R15" si="11">CONFIDENCE(0.05,O14,5)/2</f>
        <v>2.9037909896243576E-3</v>
      </c>
      <c r="P15">
        <f t="shared" si="11"/>
        <v>2.4004558381776546E-4</v>
      </c>
      <c r="Q15">
        <f t="shared" si="11"/>
        <v>3.5685341515251079E-3</v>
      </c>
      <c r="R15">
        <f t="shared" si="11"/>
        <v>3.5685341515251079E-3</v>
      </c>
      <c r="T15">
        <f>CONFIDENCE(0.05,T14,5)/2</f>
        <v>0.83001569072875803</v>
      </c>
      <c r="U15">
        <f t="shared" ref="U15:X15" si="12">CONFIDENCE(0.05,U14,5)/2</f>
        <v>0.90222967693537082</v>
      </c>
      <c r="V15">
        <f t="shared" si="12"/>
        <v>0.6511397214638005</v>
      </c>
      <c r="W15">
        <f t="shared" si="12"/>
        <v>5.2569982856090637E-2</v>
      </c>
      <c r="X15">
        <f t="shared" si="12"/>
        <v>0.59969790700919756</v>
      </c>
    </row>
    <row r="16" spans="1:24">
      <c r="A16" t="s">
        <v>13</v>
      </c>
      <c r="B16">
        <v>1</v>
      </c>
      <c r="C16">
        <v>1</v>
      </c>
      <c r="D16">
        <v>1</v>
      </c>
      <c r="E16">
        <v>1</v>
      </c>
      <c r="F16">
        <v>1</v>
      </c>
    </row>
    <row r="17" spans="1:18">
      <c r="A17" t="s">
        <v>10</v>
      </c>
      <c r="B17">
        <v>910</v>
      </c>
      <c r="C17">
        <v>1010</v>
      </c>
      <c r="D17">
        <v>970</v>
      </c>
      <c r="E17">
        <v>940</v>
      </c>
      <c r="F17">
        <v>930</v>
      </c>
      <c r="G17" t="s">
        <v>27</v>
      </c>
    </row>
    <row r="19" spans="1:18">
      <c r="A19" s="1" t="s">
        <v>42</v>
      </c>
      <c r="B19" s="1"/>
    </row>
    <row r="20" spans="1:18">
      <c r="A20" t="s">
        <v>50</v>
      </c>
    </row>
    <row r="21" spans="1:18">
      <c r="A21" t="s">
        <v>43</v>
      </c>
      <c r="B21" t="s">
        <v>92</v>
      </c>
      <c r="H21" t="s">
        <v>28</v>
      </c>
      <c r="N21" t="s">
        <v>60</v>
      </c>
    </row>
    <row r="22" spans="1:18">
      <c r="A22" t="s">
        <v>6</v>
      </c>
      <c r="B22">
        <v>1</v>
      </c>
      <c r="C22">
        <v>3</v>
      </c>
      <c r="D22">
        <v>5</v>
      </c>
      <c r="E22">
        <v>10</v>
      </c>
      <c r="F22">
        <v>15</v>
      </c>
      <c r="H22" t="s">
        <v>35</v>
      </c>
      <c r="I22">
        <v>3</v>
      </c>
      <c r="J22">
        <v>5</v>
      </c>
      <c r="K22">
        <v>10</v>
      </c>
      <c r="L22">
        <v>15</v>
      </c>
      <c r="N22" t="s">
        <v>35</v>
      </c>
      <c r="O22">
        <v>3</v>
      </c>
      <c r="P22">
        <v>5</v>
      </c>
      <c r="Q22">
        <v>10</v>
      </c>
      <c r="R22">
        <v>15</v>
      </c>
    </row>
    <row r="24" spans="1:18">
      <c r="A24" t="s">
        <v>0</v>
      </c>
      <c r="B24">
        <v>7410</v>
      </c>
      <c r="C24">
        <v>32277</v>
      </c>
      <c r="D24">
        <v>32230</v>
      </c>
      <c r="E24">
        <v>8081</v>
      </c>
      <c r="F24">
        <v>7457</v>
      </c>
      <c r="H24">
        <v>171</v>
      </c>
      <c r="I24">
        <v>202</v>
      </c>
      <c r="J24">
        <v>187</v>
      </c>
      <c r="K24">
        <v>219</v>
      </c>
      <c r="L24">
        <v>203</v>
      </c>
      <c r="N24">
        <f t="shared" ref="N24:R30" si="13">B24-H24</f>
        <v>7239</v>
      </c>
      <c r="O24">
        <f t="shared" si="13"/>
        <v>32075</v>
      </c>
      <c r="P24">
        <f t="shared" si="13"/>
        <v>32043</v>
      </c>
      <c r="Q24">
        <f t="shared" si="13"/>
        <v>7862</v>
      </c>
      <c r="R24">
        <f t="shared" si="13"/>
        <v>7254</v>
      </c>
    </row>
    <row r="25" spans="1:18">
      <c r="A25" t="s">
        <v>1</v>
      </c>
      <c r="B25">
        <v>811</v>
      </c>
      <c r="C25">
        <v>468</v>
      </c>
      <c r="D25">
        <v>468</v>
      </c>
      <c r="E25">
        <v>437</v>
      </c>
      <c r="F25">
        <v>843</v>
      </c>
      <c r="H25">
        <v>171</v>
      </c>
      <c r="I25">
        <v>203</v>
      </c>
      <c r="J25">
        <v>203</v>
      </c>
      <c r="K25">
        <v>203</v>
      </c>
      <c r="L25">
        <v>219</v>
      </c>
      <c r="N25">
        <f t="shared" si="13"/>
        <v>640</v>
      </c>
      <c r="O25">
        <f t="shared" si="13"/>
        <v>265</v>
      </c>
      <c r="P25">
        <f t="shared" si="13"/>
        <v>265</v>
      </c>
      <c r="Q25">
        <f t="shared" si="13"/>
        <v>234</v>
      </c>
      <c r="R25">
        <f t="shared" si="13"/>
        <v>624</v>
      </c>
    </row>
    <row r="26" spans="1:18">
      <c r="A26" t="s">
        <v>2</v>
      </c>
      <c r="B26">
        <v>811</v>
      </c>
      <c r="C26">
        <v>468</v>
      </c>
      <c r="D26">
        <v>483</v>
      </c>
      <c r="E26">
        <v>437</v>
      </c>
      <c r="F26">
        <v>842</v>
      </c>
      <c r="H26">
        <v>172</v>
      </c>
      <c r="I26">
        <v>187</v>
      </c>
      <c r="J26">
        <v>202</v>
      </c>
      <c r="K26">
        <v>203</v>
      </c>
      <c r="L26">
        <v>202</v>
      </c>
      <c r="N26">
        <f t="shared" si="13"/>
        <v>639</v>
      </c>
      <c r="O26">
        <f t="shared" si="13"/>
        <v>281</v>
      </c>
      <c r="P26">
        <f t="shared" si="13"/>
        <v>281</v>
      </c>
      <c r="Q26">
        <f t="shared" si="13"/>
        <v>234</v>
      </c>
      <c r="R26">
        <f t="shared" si="13"/>
        <v>640</v>
      </c>
    </row>
    <row r="27" spans="1:18">
      <c r="A27" t="s">
        <v>3</v>
      </c>
      <c r="B27">
        <v>796</v>
      </c>
      <c r="C27">
        <v>468</v>
      </c>
      <c r="D27">
        <v>468</v>
      </c>
      <c r="E27">
        <v>453</v>
      </c>
      <c r="F27">
        <v>842</v>
      </c>
      <c r="H27">
        <v>172</v>
      </c>
      <c r="I27">
        <v>188</v>
      </c>
      <c r="J27">
        <v>203</v>
      </c>
      <c r="K27">
        <v>219</v>
      </c>
      <c r="L27">
        <v>203</v>
      </c>
      <c r="N27">
        <f t="shared" si="13"/>
        <v>624</v>
      </c>
      <c r="O27">
        <f t="shared" si="13"/>
        <v>280</v>
      </c>
      <c r="P27">
        <f t="shared" si="13"/>
        <v>265</v>
      </c>
      <c r="Q27">
        <f t="shared" si="13"/>
        <v>234</v>
      </c>
      <c r="R27">
        <f t="shared" si="13"/>
        <v>639</v>
      </c>
    </row>
    <row r="28" spans="1:18">
      <c r="A28" t="s">
        <v>4</v>
      </c>
      <c r="B28">
        <v>795</v>
      </c>
      <c r="C28">
        <v>468</v>
      </c>
      <c r="D28">
        <v>484</v>
      </c>
      <c r="E28">
        <v>437</v>
      </c>
      <c r="F28">
        <v>843</v>
      </c>
      <c r="H28">
        <v>156</v>
      </c>
      <c r="I28">
        <v>187</v>
      </c>
      <c r="J28">
        <v>203</v>
      </c>
      <c r="K28">
        <v>204</v>
      </c>
      <c r="L28">
        <v>203</v>
      </c>
      <c r="N28">
        <f t="shared" si="13"/>
        <v>639</v>
      </c>
      <c r="O28">
        <f t="shared" si="13"/>
        <v>281</v>
      </c>
      <c r="P28">
        <f t="shared" si="13"/>
        <v>281</v>
      </c>
      <c r="Q28">
        <f t="shared" si="13"/>
        <v>233</v>
      </c>
      <c r="R28">
        <f t="shared" si="13"/>
        <v>640</v>
      </c>
    </row>
    <row r="29" spans="1:18">
      <c r="A29" t="s">
        <v>31</v>
      </c>
      <c r="B29">
        <v>795</v>
      </c>
      <c r="C29">
        <v>468</v>
      </c>
      <c r="D29">
        <v>483</v>
      </c>
      <c r="E29">
        <v>437</v>
      </c>
      <c r="F29">
        <v>842</v>
      </c>
      <c r="H29">
        <v>156</v>
      </c>
      <c r="I29">
        <v>187</v>
      </c>
      <c r="J29">
        <v>202</v>
      </c>
      <c r="K29">
        <v>203</v>
      </c>
      <c r="L29">
        <v>203</v>
      </c>
      <c r="N29">
        <f t="shared" si="13"/>
        <v>639</v>
      </c>
      <c r="O29">
        <f t="shared" si="13"/>
        <v>281</v>
      </c>
      <c r="P29">
        <f t="shared" si="13"/>
        <v>281</v>
      </c>
      <c r="Q29">
        <f t="shared" si="13"/>
        <v>234</v>
      </c>
      <c r="R29">
        <f t="shared" si="13"/>
        <v>639</v>
      </c>
    </row>
    <row r="30" spans="1:18">
      <c r="A30" t="s">
        <v>32</v>
      </c>
      <c r="B30">
        <v>812</v>
      </c>
      <c r="C30">
        <v>484</v>
      </c>
      <c r="D30">
        <v>468</v>
      </c>
      <c r="E30">
        <v>437</v>
      </c>
      <c r="F30">
        <v>843</v>
      </c>
      <c r="H30">
        <v>172</v>
      </c>
      <c r="I30">
        <v>203</v>
      </c>
      <c r="J30">
        <v>203</v>
      </c>
      <c r="K30">
        <v>203</v>
      </c>
      <c r="L30">
        <v>203</v>
      </c>
      <c r="N30">
        <f t="shared" si="13"/>
        <v>640</v>
      </c>
      <c r="O30">
        <f t="shared" si="13"/>
        <v>281</v>
      </c>
      <c r="P30">
        <f t="shared" si="13"/>
        <v>265</v>
      </c>
      <c r="Q30">
        <f t="shared" si="13"/>
        <v>234</v>
      </c>
      <c r="R30">
        <f t="shared" si="13"/>
        <v>640</v>
      </c>
    </row>
    <row r="31" spans="1:18">
      <c r="A31" t="s">
        <v>5</v>
      </c>
      <c r="B31">
        <f>(SUM(B24:B30) -MAX(B24:B30))/((COUNT(B24:B30)-1)*1000)</f>
        <v>0.80333333333333334</v>
      </c>
      <c r="C31">
        <f t="shared" ref="C31" si="14">(SUM(C24:C30) -MAX(C24:C30))/((COUNT(C24:C30)-1)*1000)</f>
        <v>0.47066666666666668</v>
      </c>
      <c r="D31">
        <f t="shared" ref="D31" si="15">(SUM(D24:D30) -MAX(D24:D30))/((COUNT(D24:D30)-1)*1000)</f>
        <v>0.47566666666666668</v>
      </c>
      <c r="E31">
        <f t="shared" ref="E31" si="16">(SUM(E24:E30) -MAX(E24:E30))/((COUNT(E24:E30)-1)*1000)</f>
        <v>0.43966666666666665</v>
      </c>
      <c r="F31">
        <f t="shared" ref="F31" si="17">(SUM(F24:F30) -MAX(F24:F30))/((COUNT(F24:F30)-1)*1000)</f>
        <v>0.84250000000000003</v>
      </c>
      <c r="H31">
        <f>(SUM(H24:H30) -MAX(H24:H30))/((COUNT(H24:H30)-1)*1000)</f>
        <v>0.16633333333333333</v>
      </c>
      <c r="I31">
        <f t="shared" ref="I31" si="18">(SUM(I24:I30) -MAX(I24:I30))/((COUNT(I24:I30)-1)*1000)</f>
        <v>0.19233333333333333</v>
      </c>
      <c r="J31">
        <f t="shared" ref="J31" si="19">(SUM(J24:J30) -MAX(J24:J30))/((COUNT(J24:J30)-1)*1000)</f>
        <v>0.2</v>
      </c>
      <c r="K31">
        <f t="shared" ref="K31" si="20">(SUM(K24:K30) -MAX(K24:K30))/((COUNT(K24:K30)-1)*1000)</f>
        <v>0.20583333333333334</v>
      </c>
      <c r="L31">
        <f t="shared" ref="L31" si="21">(SUM(L24:L30) -MAX(L24:L30))/((COUNT(L24:L30)-1)*1000)</f>
        <v>0.20283333333333334</v>
      </c>
      <c r="N31">
        <f>(SUM(N24:N30) -MAX(N24:N30))/((COUNT(N24:N30)-1)*1000)</f>
        <v>0.63683333333333336</v>
      </c>
      <c r="O31">
        <f t="shared" ref="O31" si="22">(SUM(O24:O30) -MAX(O24:O30))/((COUNT(O24:O30)-1)*1000)</f>
        <v>0.27816666666666667</v>
      </c>
      <c r="P31">
        <f t="shared" ref="P31" si="23">(SUM(P24:P30) -MAX(P24:P30))/((COUNT(P24:P30)-1)*1000)</f>
        <v>0.27300000000000002</v>
      </c>
      <c r="Q31">
        <f t="shared" ref="Q31" si="24">(SUM(Q24:Q30) -MAX(Q24:Q30))/((COUNT(Q24:Q30)-1)*1000)</f>
        <v>0.23383333333333334</v>
      </c>
      <c r="R31">
        <f t="shared" ref="R31" si="25">(SUM(R24:R30) -MAX(R24:R30))/((COUNT(R24:R30)-1)*1000)</f>
        <v>0.63700000000000001</v>
      </c>
    </row>
    <row r="32" spans="1:18">
      <c r="A32" t="s">
        <v>7</v>
      </c>
      <c r="B32">
        <f>STDEV(B25:B30)/1000</f>
        <v>8.778762251405248E-3</v>
      </c>
      <c r="C32">
        <f t="shared" ref="C32:F32" si="26">STDEV(C25:C30)/1000</f>
        <v>6.5319726474206202E-3</v>
      </c>
      <c r="D32">
        <f t="shared" si="26"/>
        <v>8.4063468086114038E-3</v>
      </c>
      <c r="E32">
        <f t="shared" si="26"/>
        <v>6.5319726474206202E-3</v>
      </c>
      <c r="F32">
        <f t="shared" si="26"/>
        <v>5.4772255750516611E-4</v>
      </c>
      <c r="H32">
        <f>STDEV(H25:H30)/1000</f>
        <v>8.1424811943289124E-3</v>
      </c>
      <c r="I32">
        <f t="shared" ref="I32:L32" si="27">STDEV(I25:I30)/1000</f>
        <v>8.1424811943289124E-3</v>
      </c>
      <c r="J32">
        <f t="shared" si="27"/>
        <v>5.1639777949620091E-4</v>
      </c>
      <c r="K32">
        <f t="shared" si="27"/>
        <v>6.4627135683603225E-3</v>
      </c>
      <c r="L32">
        <f t="shared" si="27"/>
        <v>6.6257075093909788E-3</v>
      </c>
      <c r="N32">
        <f>STDEV(N25:N30)/1000</f>
        <v>6.306081720585114E-3</v>
      </c>
      <c r="O32">
        <f t="shared" ref="O32:R32" si="28">STDEV(O25:O30)/1000</f>
        <v>6.4627135683598723E-3</v>
      </c>
      <c r="P32">
        <f t="shared" si="28"/>
        <v>8.7635609200826577E-3</v>
      </c>
      <c r="Q32">
        <f t="shared" si="28"/>
        <v>4.0824829046386298E-4</v>
      </c>
      <c r="R32">
        <f t="shared" si="28"/>
        <v>6.3874877690685249E-3</v>
      </c>
    </row>
    <row r="33" spans="1:24">
      <c r="A33" t="s">
        <v>8</v>
      </c>
      <c r="B33">
        <f>CONFIDENCE(0.05,B32,5)/2</f>
        <v>3.847391495859759E-3</v>
      </c>
      <c r="C33">
        <f t="shared" ref="C33" si="29">CONFIDENCE(0.05,C32,5)/2</f>
        <v>2.8627106299469306E-3</v>
      </c>
      <c r="D33">
        <f t="shared" ref="D33" si="30">CONFIDENCE(0.05,D32,5)/2</f>
        <v>3.6841762308259525E-3</v>
      </c>
      <c r="E33">
        <f t="shared" ref="E33" si="31">CONFIDENCE(0.05,E32,5)/2</f>
        <v>2.8627106299469306E-3</v>
      </c>
      <c r="F33">
        <f t="shared" ref="F33" si="32">CONFIDENCE(0.05,F32,5)/2</f>
        <v>2.4004558381776546E-4</v>
      </c>
      <c r="H33">
        <f>CONFIDENCE(0.05,H32,5)/2</f>
        <v>3.5685341515251079E-3</v>
      </c>
      <c r="I33">
        <f t="shared" ref="I33" si="33">CONFIDENCE(0.05,I32,5)/2</f>
        <v>3.5685341515251079E-3</v>
      </c>
      <c r="J33">
        <f t="shared" ref="J33" si="34">CONFIDENCE(0.05,J32,5)/2</f>
        <v>2.2631714681605768E-4</v>
      </c>
      <c r="K33">
        <f t="shared" ref="K33" si="35">CONFIDENCE(0.05,K32,5)/2</f>
        <v>2.8323570579789673E-3</v>
      </c>
      <c r="L33">
        <f t="shared" ref="L33" si="36">CONFIDENCE(0.05,L32,5)/2</f>
        <v>2.9037909896243576E-3</v>
      </c>
      <c r="N33">
        <f>CONFIDENCE(0.05,N32,5)/2</f>
        <v>2.7637113854054019E-3</v>
      </c>
      <c r="O33">
        <f t="shared" ref="O33" si="37">CONFIDENCE(0.05,O32,5)/2</f>
        <v>2.8323570579787704E-3</v>
      </c>
      <c r="P33">
        <f t="shared" ref="P33" si="38">CONFIDENCE(0.05,P32,5)/2</f>
        <v>3.8407293410842474E-3</v>
      </c>
      <c r="Q33">
        <f t="shared" ref="Q33" si="39">CONFIDENCE(0.05,Q32,5)/2</f>
        <v>1.7891941437171569E-4</v>
      </c>
      <c r="R33">
        <f t="shared" ref="R33" si="40">CONFIDENCE(0.05,R32,5)/2</f>
        <v>2.799388503622892E-3</v>
      </c>
    </row>
    <row r="34" spans="1:24">
      <c r="A34" t="s">
        <v>13</v>
      </c>
      <c r="B34">
        <v>1</v>
      </c>
      <c r="C34">
        <v>1</v>
      </c>
      <c r="D34">
        <v>1</v>
      </c>
      <c r="E34">
        <v>1</v>
      </c>
      <c r="F34">
        <v>1</v>
      </c>
    </row>
    <row r="35" spans="1:24">
      <c r="A35" s="1" t="s">
        <v>48</v>
      </c>
      <c r="B35" s="1"/>
    </row>
    <row r="36" spans="1:24">
      <c r="A36" t="s">
        <v>53</v>
      </c>
    </row>
    <row r="37" spans="1:24">
      <c r="A37" t="s">
        <v>43</v>
      </c>
      <c r="B37" t="s">
        <v>92</v>
      </c>
      <c r="H37" t="s">
        <v>28</v>
      </c>
      <c r="N37" t="s">
        <v>60</v>
      </c>
      <c r="T37" t="s">
        <v>30</v>
      </c>
    </row>
    <row r="38" spans="1:24">
      <c r="A38" t="s">
        <v>6</v>
      </c>
      <c r="B38">
        <v>1</v>
      </c>
      <c r="C38">
        <v>3</v>
      </c>
      <c r="D38">
        <v>5</v>
      </c>
      <c r="E38">
        <v>10</v>
      </c>
      <c r="F38">
        <v>15</v>
      </c>
      <c r="H38" t="s">
        <v>35</v>
      </c>
      <c r="I38">
        <v>3</v>
      </c>
      <c r="J38">
        <v>5</v>
      </c>
      <c r="K38">
        <v>10</v>
      </c>
      <c r="L38">
        <v>15</v>
      </c>
      <c r="N38" t="s">
        <v>35</v>
      </c>
      <c r="O38">
        <v>3</v>
      </c>
      <c r="P38">
        <v>5</v>
      </c>
      <c r="Q38">
        <v>10</v>
      </c>
      <c r="R38">
        <v>15</v>
      </c>
      <c r="T38" t="s">
        <v>35</v>
      </c>
      <c r="U38">
        <v>3</v>
      </c>
      <c r="V38">
        <v>5</v>
      </c>
      <c r="W38">
        <v>10</v>
      </c>
      <c r="X38">
        <v>15</v>
      </c>
    </row>
    <row r="40" spans="1:24">
      <c r="A40" t="s">
        <v>0</v>
      </c>
      <c r="B40">
        <v>630345</v>
      </c>
      <c r="C40">
        <v>12855</v>
      </c>
      <c r="D40">
        <v>145535</v>
      </c>
      <c r="E40">
        <v>34679</v>
      </c>
      <c r="F40">
        <v>1123</v>
      </c>
      <c r="H40">
        <v>468</v>
      </c>
      <c r="I40">
        <v>500</v>
      </c>
      <c r="J40">
        <v>499</v>
      </c>
      <c r="K40">
        <v>499</v>
      </c>
      <c r="L40">
        <v>515</v>
      </c>
      <c r="N40">
        <f t="shared" ref="N40:R46" si="41">B40-H40</f>
        <v>629877</v>
      </c>
      <c r="O40">
        <f t="shared" si="41"/>
        <v>12355</v>
      </c>
      <c r="P40">
        <f t="shared" si="41"/>
        <v>145036</v>
      </c>
      <c r="Q40">
        <f t="shared" si="41"/>
        <v>34180</v>
      </c>
      <c r="R40">
        <f t="shared" si="41"/>
        <v>608</v>
      </c>
      <c r="T40">
        <v>70027</v>
      </c>
      <c r="U40">
        <v>79374</v>
      </c>
      <c r="V40">
        <v>76863</v>
      </c>
      <c r="W40">
        <v>79920</v>
      </c>
      <c r="X40">
        <v>75287</v>
      </c>
    </row>
    <row r="41" spans="1:24">
      <c r="A41" t="s">
        <v>1</v>
      </c>
      <c r="B41">
        <v>3011</v>
      </c>
      <c r="C41">
        <v>1263</v>
      </c>
      <c r="D41">
        <v>1061</v>
      </c>
      <c r="E41">
        <v>1029</v>
      </c>
      <c r="F41">
        <v>795</v>
      </c>
      <c r="H41">
        <v>421</v>
      </c>
      <c r="I41">
        <v>468</v>
      </c>
      <c r="J41">
        <v>483</v>
      </c>
      <c r="K41">
        <v>468</v>
      </c>
      <c r="L41">
        <v>468</v>
      </c>
      <c r="N41">
        <f t="shared" si="41"/>
        <v>2590</v>
      </c>
      <c r="O41">
        <f t="shared" si="41"/>
        <v>795</v>
      </c>
      <c r="P41">
        <f t="shared" si="41"/>
        <v>578</v>
      </c>
      <c r="Q41">
        <f t="shared" si="41"/>
        <v>561</v>
      </c>
      <c r="R41">
        <f t="shared" si="41"/>
        <v>327</v>
      </c>
      <c r="T41">
        <v>70027</v>
      </c>
      <c r="U41">
        <v>79374</v>
      </c>
      <c r="V41">
        <v>82463</v>
      </c>
      <c r="W41">
        <v>79920</v>
      </c>
      <c r="X41">
        <v>75287</v>
      </c>
    </row>
    <row r="42" spans="1:24">
      <c r="A42" t="s">
        <v>2</v>
      </c>
      <c r="B42">
        <v>3010</v>
      </c>
      <c r="C42">
        <v>1264</v>
      </c>
      <c r="D42">
        <v>1045</v>
      </c>
      <c r="E42">
        <v>1014</v>
      </c>
      <c r="F42">
        <v>795</v>
      </c>
      <c r="H42">
        <v>436</v>
      </c>
      <c r="I42">
        <v>468</v>
      </c>
      <c r="J42">
        <v>483</v>
      </c>
      <c r="K42">
        <v>468</v>
      </c>
      <c r="L42">
        <v>483</v>
      </c>
      <c r="N42">
        <f t="shared" si="41"/>
        <v>2574</v>
      </c>
      <c r="O42">
        <f t="shared" si="41"/>
        <v>796</v>
      </c>
      <c r="P42">
        <f t="shared" si="41"/>
        <v>562</v>
      </c>
      <c r="Q42">
        <f t="shared" si="41"/>
        <v>546</v>
      </c>
      <c r="R42">
        <f t="shared" si="41"/>
        <v>312</v>
      </c>
      <c r="T42">
        <v>75552</v>
      </c>
      <c r="U42">
        <v>85739</v>
      </c>
      <c r="V42">
        <v>82682</v>
      </c>
      <c r="W42">
        <v>79920</v>
      </c>
      <c r="X42">
        <v>80030</v>
      </c>
    </row>
    <row r="43" spans="1:24">
      <c r="A43" t="s">
        <v>3</v>
      </c>
      <c r="B43">
        <v>3011</v>
      </c>
      <c r="C43">
        <v>1264</v>
      </c>
      <c r="D43">
        <v>1046</v>
      </c>
      <c r="E43">
        <v>1014</v>
      </c>
      <c r="F43">
        <v>796</v>
      </c>
      <c r="H43">
        <v>421</v>
      </c>
      <c r="I43">
        <v>468</v>
      </c>
      <c r="J43">
        <v>468</v>
      </c>
      <c r="K43">
        <v>468</v>
      </c>
      <c r="L43">
        <v>468</v>
      </c>
      <c r="N43">
        <f t="shared" si="41"/>
        <v>2590</v>
      </c>
      <c r="O43">
        <f t="shared" si="41"/>
        <v>796</v>
      </c>
      <c r="P43">
        <f t="shared" si="41"/>
        <v>578</v>
      </c>
      <c r="Q43">
        <f t="shared" si="41"/>
        <v>546</v>
      </c>
      <c r="R43">
        <f t="shared" si="41"/>
        <v>328</v>
      </c>
      <c r="T43">
        <v>75395</v>
      </c>
      <c r="U43">
        <v>85849</v>
      </c>
      <c r="V43">
        <v>82463</v>
      </c>
      <c r="W43">
        <v>80014</v>
      </c>
      <c r="X43">
        <v>80341</v>
      </c>
    </row>
    <row r="44" spans="1:24">
      <c r="A44" t="s">
        <v>4</v>
      </c>
      <c r="B44">
        <v>3011</v>
      </c>
      <c r="C44">
        <v>1248</v>
      </c>
      <c r="D44">
        <v>1061</v>
      </c>
      <c r="E44">
        <v>1014</v>
      </c>
      <c r="F44">
        <v>796</v>
      </c>
      <c r="H44">
        <v>421</v>
      </c>
      <c r="I44">
        <v>452</v>
      </c>
      <c r="J44">
        <v>484</v>
      </c>
      <c r="K44">
        <v>468</v>
      </c>
      <c r="L44">
        <v>484</v>
      </c>
      <c r="N44">
        <f t="shared" si="41"/>
        <v>2590</v>
      </c>
      <c r="O44">
        <f t="shared" si="41"/>
        <v>796</v>
      </c>
      <c r="P44">
        <f t="shared" si="41"/>
        <v>577</v>
      </c>
      <c r="Q44">
        <f t="shared" si="41"/>
        <v>546</v>
      </c>
      <c r="R44">
        <f t="shared" si="41"/>
        <v>312</v>
      </c>
      <c r="T44">
        <v>70027</v>
      </c>
      <c r="U44">
        <v>79374</v>
      </c>
      <c r="V44">
        <v>76863</v>
      </c>
      <c r="W44">
        <v>89920</v>
      </c>
      <c r="X44">
        <v>75287</v>
      </c>
    </row>
    <row r="45" spans="1:24">
      <c r="A45" t="s">
        <v>31</v>
      </c>
      <c r="B45">
        <v>3011</v>
      </c>
      <c r="C45">
        <v>1248</v>
      </c>
      <c r="D45">
        <v>1030</v>
      </c>
      <c r="E45">
        <v>1014</v>
      </c>
      <c r="F45">
        <v>796</v>
      </c>
      <c r="H45">
        <v>421</v>
      </c>
      <c r="I45">
        <v>452</v>
      </c>
      <c r="J45">
        <v>468</v>
      </c>
      <c r="K45">
        <v>468</v>
      </c>
      <c r="L45">
        <v>484</v>
      </c>
      <c r="N45">
        <f t="shared" si="41"/>
        <v>2590</v>
      </c>
      <c r="O45">
        <f t="shared" si="41"/>
        <v>796</v>
      </c>
      <c r="P45">
        <f t="shared" si="41"/>
        <v>562</v>
      </c>
      <c r="Q45">
        <f t="shared" si="41"/>
        <v>546</v>
      </c>
      <c r="R45">
        <f t="shared" si="41"/>
        <v>312</v>
      </c>
      <c r="T45">
        <v>75552</v>
      </c>
      <c r="U45">
        <v>85739</v>
      </c>
      <c r="V45">
        <v>82463</v>
      </c>
      <c r="W45">
        <v>79920</v>
      </c>
      <c r="X45">
        <v>80030</v>
      </c>
    </row>
    <row r="46" spans="1:24">
      <c r="A46" t="s">
        <v>32</v>
      </c>
      <c r="B46">
        <v>3011</v>
      </c>
      <c r="C46">
        <v>1248</v>
      </c>
      <c r="D46">
        <v>1045</v>
      </c>
      <c r="E46">
        <v>1030</v>
      </c>
      <c r="F46">
        <v>795</v>
      </c>
      <c r="H46">
        <v>421</v>
      </c>
      <c r="I46">
        <v>468</v>
      </c>
      <c r="J46">
        <v>468</v>
      </c>
      <c r="K46">
        <v>484</v>
      </c>
      <c r="L46">
        <v>468</v>
      </c>
      <c r="N46">
        <f t="shared" si="41"/>
        <v>2590</v>
      </c>
      <c r="O46">
        <f t="shared" si="41"/>
        <v>780</v>
      </c>
      <c r="P46">
        <f t="shared" si="41"/>
        <v>577</v>
      </c>
      <c r="Q46">
        <f t="shared" si="41"/>
        <v>546</v>
      </c>
      <c r="R46">
        <f t="shared" si="41"/>
        <v>327</v>
      </c>
      <c r="T46">
        <v>75395</v>
      </c>
      <c r="U46">
        <v>85849</v>
      </c>
      <c r="V46">
        <v>82682</v>
      </c>
      <c r="W46">
        <v>80014</v>
      </c>
      <c r="X46">
        <v>80341</v>
      </c>
    </row>
    <row r="47" spans="1:24">
      <c r="A47" t="s">
        <v>5</v>
      </c>
      <c r="B47">
        <f>(SUM(B40:B46) -MAX(B40:B46))/((COUNT(B40:B46)-1)*1000)</f>
        <v>3.0108333333333333</v>
      </c>
      <c r="C47">
        <f t="shared" ref="C47:F47" si="42">(SUM(C40:C46) -MAX(C40:C46))/((COUNT(C40:C46)-1)*1000)</f>
        <v>1.2558333333333334</v>
      </c>
      <c r="D47">
        <f t="shared" si="42"/>
        <v>1.048</v>
      </c>
      <c r="E47">
        <f t="shared" si="42"/>
        <v>1.0191666666666668</v>
      </c>
      <c r="F47">
        <f t="shared" si="42"/>
        <v>0.79549999999999998</v>
      </c>
      <c r="H47">
        <f>(SUM(H40:H46) -MAX(H40:H46))/((COUNT(H40:H46)-1)*1000)</f>
        <v>0.42349999999999999</v>
      </c>
      <c r="I47">
        <f t="shared" ref="I47:L47" si="43">(SUM(I40:I46) -MAX(I40:I46))/((COUNT(I40:I46)-1)*1000)</f>
        <v>0.46266666666666667</v>
      </c>
      <c r="J47">
        <f t="shared" si="43"/>
        <v>0.47566666666666668</v>
      </c>
      <c r="K47">
        <f t="shared" si="43"/>
        <v>0.47066666666666668</v>
      </c>
      <c r="L47">
        <f t="shared" si="43"/>
        <v>0.47583333333333333</v>
      </c>
      <c r="N47">
        <f>(SUM(N40:N46) -MAX(N40:N46))/((COUNT(N40:N46)-1)*1000)</f>
        <v>2.5873333333333335</v>
      </c>
      <c r="O47">
        <f t="shared" ref="O47:R47" si="44">(SUM(O40:O46) -MAX(O40:O46))/((COUNT(O40:O46)-1)*1000)</f>
        <v>0.79316666666666669</v>
      </c>
      <c r="P47">
        <f t="shared" si="44"/>
        <v>0.57233333333333336</v>
      </c>
      <c r="Q47">
        <f t="shared" si="44"/>
        <v>0.54849999999999999</v>
      </c>
      <c r="R47">
        <f t="shared" si="44"/>
        <v>0.31966666666666665</v>
      </c>
      <c r="T47">
        <f>(SUM(T40:T46) -MAX(T40:T46))/((COUNT(T40:T46)-1)*1000)</f>
        <v>72.737166666666667</v>
      </c>
      <c r="U47">
        <f t="shared" ref="U47:X47" si="45">(SUM(U40:U46) -MAX(U40:U46))/((COUNT(U40:U46)-1)*1000)</f>
        <v>82.574833333333331</v>
      </c>
      <c r="V47">
        <f t="shared" si="45"/>
        <v>80.632833333333338</v>
      </c>
      <c r="W47">
        <f t="shared" si="45"/>
        <v>79.951333333333338</v>
      </c>
      <c r="X47">
        <f t="shared" si="45"/>
        <v>77.710333333333338</v>
      </c>
    </row>
    <row r="48" spans="1:24">
      <c r="A48" t="s">
        <v>7</v>
      </c>
      <c r="B48">
        <f>STDEV(B41:B46)/1000</f>
        <v>4.0824829046386303E-4</v>
      </c>
      <c r="C48">
        <f t="shared" ref="C48:F48" si="46">STDEV(C41:C46)/1000</f>
        <v>8.5887523346986107E-3</v>
      </c>
      <c r="D48">
        <f t="shared" si="46"/>
        <v>1.1696153213770757E-2</v>
      </c>
      <c r="E48">
        <f t="shared" si="46"/>
        <v>8.0104098937947357E-3</v>
      </c>
      <c r="F48">
        <f t="shared" si="46"/>
        <v>5.4772255750516611E-4</v>
      </c>
      <c r="H48">
        <f>STDEV(H41:H46)/1000</f>
        <v>6.1237243569579455E-3</v>
      </c>
      <c r="I48">
        <f t="shared" ref="I48:L48" si="47">STDEV(I41:I46)/1000</f>
        <v>8.2623644719082168E-3</v>
      </c>
      <c r="J48">
        <f t="shared" si="47"/>
        <v>8.4063468086114038E-3</v>
      </c>
      <c r="K48">
        <f t="shared" si="47"/>
        <v>6.5319726474206202E-3</v>
      </c>
      <c r="L48">
        <f t="shared" si="47"/>
        <v>8.58875233469048E-3</v>
      </c>
      <c r="N48">
        <f>STDEV(N41:N46)/1000</f>
        <v>6.5319726474598293E-3</v>
      </c>
      <c r="O48">
        <f t="shared" ref="O48:R48" si="48">STDEV(O41:O46)/1000</f>
        <v>6.4627135683625742E-3</v>
      </c>
      <c r="P48">
        <f t="shared" si="48"/>
        <v>8.0166493416296541E-3</v>
      </c>
      <c r="Q48">
        <f t="shared" si="48"/>
        <v>6.1237243569579455E-3</v>
      </c>
      <c r="R48">
        <f t="shared" si="48"/>
        <v>8.4063468086127899E-3</v>
      </c>
      <c r="T48">
        <f>STDEV(T41:T46)/1000</f>
        <v>2.8134367595522738</v>
      </c>
      <c r="U48">
        <f t="shared" ref="U48:X48" si="49">STDEV(U41:U46)/1000</f>
        <v>3.3156387016682021</v>
      </c>
      <c r="V48">
        <f t="shared" si="49"/>
        <v>2.3244303101334691</v>
      </c>
      <c r="W48">
        <f t="shared" si="49"/>
        <v>4.0673934651075987</v>
      </c>
      <c r="X48">
        <f t="shared" si="49"/>
        <v>2.5333952448576151</v>
      </c>
    </row>
    <row r="49" spans="1:24">
      <c r="A49" t="s">
        <v>8</v>
      </c>
      <c r="B49">
        <f>CONFIDENCE(0.05,B48,5)/2</f>
        <v>1.7891941437171572E-4</v>
      </c>
      <c r="C49">
        <f t="shared" ref="C49:F49" si="50">CONFIDENCE(0.05,C48,5)/2</f>
        <v>3.7641175083965362E-3</v>
      </c>
      <c r="D49">
        <f t="shared" si="50"/>
        <v>5.1259709649536462E-3</v>
      </c>
      <c r="E49">
        <f t="shared" si="50"/>
        <v>3.5106524155843729E-3</v>
      </c>
      <c r="F49">
        <f t="shared" si="50"/>
        <v>2.4004558381776546E-4</v>
      </c>
      <c r="H49">
        <f>CONFIDENCE(0.05,H48,5)/2</f>
        <v>2.6837912155757357E-3</v>
      </c>
      <c r="I49">
        <f t="shared" ref="I49:L49" si="51">CONFIDENCE(0.05,I48,5)/2</f>
        <v>3.6210743490433378E-3</v>
      </c>
      <c r="J49">
        <f t="shared" si="51"/>
        <v>3.6841762308259525E-3</v>
      </c>
      <c r="K49">
        <f t="shared" si="51"/>
        <v>2.8627106299469306E-3</v>
      </c>
      <c r="L49">
        <f t="shared" si="51"/>
        <v>3.7641175083929731E-3</v>
      </c>
      <c r="N49">
        <f>CONFIDENCE(0.05,N48,5)/2</f>
        <v>2.8627106299641144E-3</v>
      </c>
      <c r="O49">
        <f t="shared" ref="O49:R49" si="52">CONFIDENCE(0.05,O48,5)/2</f>
        <v>2.8323570579799544E-3</v>
      </c>
      <c r="P49">
        <f t="shared" si="52"/>
        <v>3.5133869239184021E-3</v>
      </c>
      <c r="Q49">
        <f t="shared" si="52"/>
        <v>2.6837912155757357E-3</v>
      </c>
      <c r="R49">
        <f t="shared" si="52"/>
        <v>3.6841762308265605E-3</v>
      </c>
      <c r="T49">
        <f>CONFIDENCE(0.05,T48,5)/2</f>
        <v>1.2330203681171519</v>
      </c>
      <c r="U49">
        <f t="shared" ref="U49:X49" si="53">CONFIDENCE(0.05,U48,5)/2</f>
        <v>1.4531160292101253</v>
      </c>
      <c r="V49">
        <f t="shared" si="53"/>
        <v>1.0187077804156999</v>
      </c>
      <c r="W49">
        <f t="shared" si="53"/>
        <v>1.7825810267803488</v>
      </c>
      <c r="X49">
        <f t="shared" si="53"/>
        <v>1.1102890181536138</v>
      </c>
    </row>
    <row r="50" spans="1:24">
      <c r="A50" t="s">
        <v>13</v>
      </c>
      <c r="B50">
        <v>4</v>
      </c>
      <c r="C50">
        <v>4</v>
      </c>
      <c r="D50">
        <v>4</v>
      </c>
      <c r="E50">
        <v>4</v>
      </c>
      <c r="F50">
        <v>4</v>
      </c>
    </row>
    <row r="51" spans="1:24">
      <c r="A51" t="s">
        <v>10</v>
      </c>
      <c r="B51">
        <v>1370</v>
      </c>
      <c r="C51">
        <v>1520</v>
      </c>
      <c r="D51">
        <v>1460</v>
      </c>
      <c r="E51">
        <v>1410</v>
      </c>
      <c r="F51">
        <v>1400</v>
      </c>
      <c r="G51" t="s">
        <v>27</v>
      </c>
    </row>
    <row r="52" spans="1:24">
      <c r="A52" s="1" t="s">
        <v>42</v>
      </c>
      <c r="B52" s="1"/>
    </row>
    <row r="53" spans="1:24">
      <c r="A53" t="s">
        <v>51</v>
      </c>
    </row>
    <row r="54" spans="1:24">
      <c r="A54" t="s">
        <v>43</v>
      </c>
      <c r="B54" t="s">
        <v>92</v>
      </c>
      <c r="H54" t="s">
        <v>28</v>
      </c>
      <c r="N54" t="s">
        <v>60</v>
      </c>
    </row>
    <row r="55" spans="1:24">
      <c r="A55" t="s">
        <v>6</v>
      </c>
      <c r="B55">
        <v>1</v>
      </c>
      <c r="C55">
        <v>3</v>
      </c>
      <c r="D55">
        <v>5</v>
      </c>
      <c r="E55">
        <v>10</v>
      </c>
      <c r="F55">
        <v>15</v>
      </c>
      <c r="H55" t="s">
        <v>35</v>
      </c>
      <c r="I55">
        <v>3</v>
      </c>
      <c r="J55">
        <v>5</v>
      </c>
      <c r="K55">
        <v>10</v>
      </c>
      <c r="L55">
        <v>15</v>
      </c>
      <c r="N55" t="s">
        <v>35</v>
      </c>
      <c r="O55">
        <v>3</v>
      </c>
      <c r="P55">
        <v>5</v>
      </c>
      <c r="Q55">
        <v>10</v>
      </c>
      <c r="R55">
        <v>15</v>
      </c>
    </row>
    <row r="57" spans="1:24">
      <c r="A57" t="s">
        <v>0</v>
      </c>
      <c r="B57">
        <v>7410</v>
      </c>
      <c r="C57">
        <v>32277</v>
      </c>
      <c r="D57">
        <v>33011</v>
      </c>
      <c r="E57">
        <v>8190</v>
      </c>
      <c r="F57">
        <v>7457</v>
      </c>
      <c r="H57">
        <v>171</v>
      </c>
      <c r="I57">
        <v>187</v>
      </c>
      <c r="J57">
        <v>203</v>
      </c>
      <c r="K57">
        <v>218</v>
      </c>
      <c r="L57">
        <v>219</v>
      </c>
      <c r="N57">
        <f t="shared" ref="N57:R63" si="54">B57-H57</f>
        <v>7239</v>
      </c>
      <c r="O57">
        <f t="shared" si="54"/>
        <v>32090</v>
      </c>
      <c r="P57">
        <f t="shared" si="54"/>
        <v>32808</v>
      </c>
      <c r="Q57">
        <f t="shared" si="54"/>
        <v>7972</v>
      </c>
      <c r="R57">
        <f t="shared" si="54"/>
        <v>7238</v>
      </c>
    </row>
    <row r="58" spans="1:24">
      <c r="A58" t="s">
        <v>1</v>
      </c>
      <c r="B58">
        <v>811</v>
      </c>
      <c r="C58">
        <v>484</v>
      </c>
      <c r="D58">
        <v>484</v>
      </c>
      <c r="E58">
        <v>437</v>
      </c>
      <c r="F58">
        <v>858</v>
      </c>
      <c r="H58">
        <v>171</v>
      </c>
      <c r="I58">
        <v>188</v>
      </c>
      <c r="J58">
        <v>203</v>
      </c>
      <c r="K58">
        <v>203</v>
      </c>
      <c r="L58">
        <v>219</v>
      </c>
      <c r="N58">
        <f t="shared" si="54"/>
        <v>640</v>
      </c>
      <c r="O58">
        <f t="shared" si="54"/>
        <v>296</v>
      </c>
      <c r="P58">
        <f t="shared" si="54"/>
        <v>281</v>
      </c>
      <c r="Q58">
        <f t="shared" si="54"/>
        <v>234</v>
      </c>
      <c r="R58">
        <f t="shared" si="54"/>
        <v>639</v>
      </c>
    </row>
    <row r="59" spans="1:24">
      <c r="A59" t="s">
        <v>2</v>
      </c>
      <c r="B59">
        <v>796</v>
      </c>
      <c r="C59">
        <v>468</v>
      </c>
      <c r="D59">
        <v>500</v>
      </c>
      <c r="E59">
        <v>437</v>
      </c>
      <c r="F59">
        <v>843</v>
      </c>
      <c r="H59">
        <v>172</v>
      </c>
      <c r="I59">
        <v>187</v>
      </c>
      <c r="J59">
        <v>203</v>
      </c>
      <c r="K59">
        <v>203</v>
      </c>
      <c r="L59">
        <v>203</v>
      </c>
      <c r="N59">
        <f t="shared" si="54"/>
        <v>624</v>
      </c>
      <c r="O59">
        <f t="shared" si="54"/>
        <v>281</v>
      </c>
      <c r="P59">
        <f t="shared" si="54"/>
        <v>297</v>
      </c>
      <c r="Q59">
        <f t="shared" si="54"/>
        <v>234</v>
      </c>
      <c r="R59">
        <f t="shared" si="54"/>
        <v>640</v>
      </c>
    </row>
    <row r="60" spans="1:24">
      <c r="A60" t="s">
        <v>3</v>
      </c>
      <c r="B60">
        <v>811</v>
      </c>
      <c r="C60">
        <v>484</v>
      </c>
      <c r="D60">
        <v>484</v>
      </c>
      <c r="E60">
        <v>452</v>
      </c>
      <c r="F60">
        <v>858</v>
      </c>
      <c r="H60">
        <v>172</v>
      </c>
      <c r="I60">
        <v>203</v>
      </c>
      <c r="J60">
        <v>203</v>
      </c>
      <c r="K60">
        <v>218</v>
      </c>
      <c r="L60">
        <v>218</v>
      </c>
      <c r="N60">
        <f t="shared" si="54"/>
        <v>639</v>
      </c>
      <c r="O60">
        <f t="shared" si="54"/>
        <v>281</v>
      </c>
      <c r="P60">
        <f t="shared" si="54"/>
        <v>281</v>
      </c>
      <c r="Q60">
        <f t="shared" si="54"/>
        <v>234</v>
      </c>
      <c r="R60">
        <f t="shared" si="54"/>
        <v>640</v>
      </c>
    </row>
    <row r="61" spans="1:24">
      <c r="A61" t="s">
        <v>4</v>
      </c>
      <c r="B61">
        <v>796</v>
      </c>
      <c r="C61">
        <v>484</v>
      </c>
      <c r="D61">
        <v>499</v>
      </c>
      <c r="E61">
        <v>436</v>
      </c>
      <c r="F61">
        <v>858</v>
      </c>
      <c r="H61">
        <v>172</v>
      </c>
      <c r="I61">
        <v>203</v>
      </c>
      <c r="J61">
        <v>202</v>
      </c>
      <c r="K61">
        <v>202</v>
      </c>
      <c r="L61">
        <v>218</v>
      </c>
      <c r="N61">
        <f t="shared" si="54"/>
        <v>624</v>
      </c>
      <c r="O61">
        <f t="shared" si="54"/>
        <v>281</v>
      </c>
      <c r="P61">
        <f t="shared" si="54"/>
        <v>297</v>
      </c>
      <c r="Q61">
        <f t="shared" si="54"/>
        <v>234</v>
      </c>
      <c r="R61">
        <f t="shared" si="54"/>
        <v>640</v>
      </c>
    </row>
    <row r="62" spans="1:24">
      <c r="A62" t="s">
        <v>31</v>
      </c>
      <c r="B62">
        <v>796</v>
      </c>
      <c r="C62">
        <v>483</v>
      </c>
      <c r="D62">
        <v>484</v>
      </c>
      <c r="E62">
        <v>437</v>
      </c>
      <c r="F62">
        <v>842</v>
      </c>
      <c r="H62">
        <v>172</v>
      </c>
      <c r="I62">
        <v>202</v>
      </c>
      <c r="J62">
        <v>203</v>
      </c>
      <c r="K62">
        <v>203</v>
      </c>
      <c r="L62">
        <v>203</v>
      </c>
      <c r="N62">
        <f t="shared" si="54"/>
        <v>624</v>
      </c>
      <c r="O62">
        <f t="shared" si="54"/>
        <v>281</v>
      </c>
      <c r="P62">
        <f t="shared" si="54"/>
        <v>281</v>
      </c>
      <c r="Q62">
        <f t="shared" si="54"/>
        <v>234</v>
      </c>
      <c r="R62">
        <f t="shared" si="54"/>
        <v>639</v>
      </c>
    </row>
    <row r="63" spans="1:24">
      <c r="A63" t="s">
        <v>32</v>
      </c>
      <c r="B63">
        <v>796</v>
      </c>
      <c r="C63">
        <v>483</v>
      </c>
      <c r="D63">
        <v>499</v>
      </c>
      <c r="E63">
        <v>437</v>
      </c>
      <c r="F63">
        <v>858</v>
      </c>
      <c r="H63">
        <v>172</v>
      </c>
      <c r="I63">
        <v>203</v>
      </c>
      <c r="J63">
        <v>202</v>
      </c>
      <c r="K63">
        <v>203</v>
      </c>
      <c r="L63">
        <v>219</v>
      </c>
      <c r="N63">
        <f t="shared" si="54"/>
        <v>624</v>
      </c>
      <c r="O63">
        <f t="shared" si="54"/>
        <v>280</v>
      </c>
      <c r="P63">
        <f t="shared" si="54"/>
        <v>297</v>
      </c>
      <c r="Q63">
        <f t="shared" si="54"/>
        <v>234</v>
      </c>
      <c r="R63">
        <f t="shared" si="54"/>
        <v>639</v>
      </c>
    </row>
    <row r="64" spans="1:24">
      <c r="A64" t="s">
        <v>5</v>
      </c>
      <c r="B64">
        <f>(SUM(B57:B63) -MAX(B57:B63))/((COUNT(B57:B63)-1)*1000)</f>
        <v>0.80100000000000005</v>
      </c>
      <c r="C64">
        <f t="shared" ref="C64" si="55">(SUM(C57:C63) -MAX(C57:C63))/((COUNT(C57:C63)-1)*1000)</f>
        <v>0.48099999999999998</v>
      </c>
      <c r="D64">
        <f t="shared" ref="D64" si="56">(SUM(D57:D63) -MAX(D57:D63))/((COUNT(D57:D63)-1)*1000)</f>
        <v>0.49166666666666664</v>
      </c>
      <c r="E64">
        <f t="shared" ref="E64" si="57">(SUM(E57:E63) -MAX(E57:E63))/((COUNT(E57:E63)-1)*1000)</f>
        <v>0.43933333333333335</v>
      </c>
      <c r="F64">
        <f t="shared" ref="F64" si="58">(SUM(F57:F63) -MAX(F57:F63))/((COUNT(F57:F63)-1)*1000)</f>
        <v>0.85283333333333333</v>
      </c>
      <c r="H64">
        <f>(SUM(H57:H63) -MAX(H57:H63))/((COUNT(H57:H63)-1)*1000)</f>
        <v>0.17166666666666666</v>
      </c>
      <c r="I64">
        <f t="shared" ref="I64" si="59">(SUM(I57:I63) -MAX(I57:I63))/((COUNT(I57:I63)-1)*1000)</f>
        <v>0.19500000000000001</v>
      </c>
      <c r="J64">
        <f t="shared" ref="J64" si="60">(SUM(J57:J63) -MAX(J57:J63))/((COUNT(J57:J63)-1)*1000)</f>
        <v>0.20266666666666666</v>
      </c>
      <c r="K64">
        <f t="shared" ref="K64" si="61">(SUM(K57:K63) -MAX(K57:K63))/((COUNT(K57:K63)-1)*1000)</f>
        <v>0.20533333333333334</v>
      </c>
      <c r="L64">
        <f t="shared" ref="L64" si="62">(SUM(L57:L63) -MAX(L57:L63))/((COUNT(L57:L63)-1)*1000)</f>
        <v>0.21333333333333335</v>
      </c>
      <c r="N64">
        <f>(SUM(N57:N63) -MAX(N57:N63))/((COUNT(N57:N63)-1)*1000)</f>
        <v>0.62916666666666665</v>
      </c>
      <c r="O64">
        <f t="shared" ref="O64" si="63">(SUM(O57:O63) -MAX(O57:O63))/((COUNT(O57:O63)-1)*1000)</f>
        <v>0.28333333333333333</v>
      </c>
      <c r="P64">
        <f t="shared" ref="P64" si="64">(SUM(P57:P63) -MAX(P57:P63))/((COUNT(P57:P63)-1)*1000)</f>
        <v>0.28899999999999998</v>
      </c>
      <c r="Q64">
        <f t="shared" ref="Q64" si="65">(SUM(Q57:Q63) -MAX(Q57:Q63))/((COUNT(Q57:Q63)-1)*1000)</f>
        <v>0.23400000000000001</v>
      </c>
      <c r="R64">
        <f t="shared" ref="R64" si="66">(SUM(R57:R63) -MAX(R57:R63))/((COUNT(R57:R63)-1)*1000)</f>
        <v>0.63949999999999996</v>
      </c>
    </row>
    <row r="65" spans="1:24">
      <c r="A65" t="s">
        <v>7</v>
      </c>
      <c r="B65">
        <f>STDEV(B58:B63)/1000</f>
        <v>7.7459666924148338E-3</v>
      </c>
      <c r="C65">
        <f t="shared" ref="C65:F65" si="67">STDEV(C58:C63)/1000</f>
        <v>6.3874877690685249E-3</v>
      </c>
      <c r="D65">
        <f t="shared" si="67"/>
        <v>8.4063468086114038E-3</v>
      </c>
      <c r="E65">
        <f t="shared" si="67"/>
        <v>6.2182527020579617E-3</v>
      </c>
      <c r="F65">
        <f t="shared" si="67"/>
        <v>8.0104098937947357E-3</v>
      </c>
      <c r="H65">
        <f>STDEV(H58:H63)/1000</f>
        <v>4.0824829046386298E-4</v>
      </c>
      <c r="I65">
        <f t="shared" ref="I65:L65" si="68">STDEV(I58:I63)/1000</f>
        <v>7.8909230554269506E-3</v>
      </c>
      <c r="J65">
        <f t="shared" si="68"/>
        <v>5.1639777949620091E-4</v>
      </c>
      <c r="K65">
        <f t="shared" si="68"/>
        <v>6.218252702059366E-3</v>
      </c>
      <c r="L65">
        <f t="shared" si="68"/>
        <v>8.0166493416303792E-3</v>
      </c>
      <c r="N65">
        <f>STDEV(N58:N63)/1000</f>
        <v>8.010409893800547E-3</v>
      </c>
      <c r="O65">
        <f t="shared" ref="O65:R65" si="69">STDEV(O58:O63)/1000</f>
        <v>6.2182527020588976E-3</v>
      </c>
      <c r="P65">
        <f t="shared" si="69"/>
        <v>8.7635609200826577E-3</v>
      </c>
      <c r="Q65">
        <f t="shared" si="69"/>
        <v>0</v>
      </c>
      <c r="R65">
        <f t="shared" si="69"/>
        <v>5.4772255750516611E-4</v>
      </c>
    </row>
    <row r="66" spans="1:24">
      <c r="A66" t="s">
        <v>8</v>
      </c>
      <c r="B66">
        <f>CONFIDENCE(0.05,B65,5)/2</f>
        <v>3.3947572022285147E-3</v>
      </c>
      <c r="C66">
        <f t="shared" ref="C66" si="70">CONFIDENCE(0.05,C65,5)/2</f>
        <v>2.799388503622892E-3</v>
      </c>
      <c r="D66">
        <f t="shared" ref="D66" si="71">CONFIDENCE(0.05,D65,5)/2</f>
        <v>3.6841762308259525E-3</v>
      </c>
      <c r="E66">
        <f t="shared" ref="E66" si="72">CONFIDENCE(0.05,E65,5)/2</f>
        <v>2.7252193281775187E-3</v>
      </c>
      <c r="F66">
        <f t="shared" ref="F66" si="73">CONFIDENCE(0.05,F65,5)/2</f>
        <v>3.5106524155843729E-3</v>
      </c>
      <c r="H66">
        <f>CONFIDENCE(0.05,H65,5)/2</f>
        <v>1.7891941437171569E-4</v>
      </c>
      <c r="I66">
        <f t="shared" ref="I66" si="74">CONFIDENCE(0.05,I65,5)/2</f>
        <v>3.4582859620185757E-3</v>
      </c>
      <c r="J66">
        <f t="shared" ref="J66" si="75">CONFIDENCE(0.05,J65,5)/2</f>
        <v>2.2631714681605768E-4</v>
      </c>
      <c r="K66">
        <f t="shared" ref="K66" si="76">CONFIDENCE(0.05,K65,5)/2</f>
        <v>2.7252193281781341E-3</v>
      </c>
      <c r="L66">
        <f t="shared" ref="L66" si="77">CONFIDENCE(0.05,L65,5)/2</f>
        <v>3.5133869239187196E-3</v>
      </c>
      <c r="N66">
        <f>CONFIDENCE(0.05,N65,5)/2</f>
        <v>3.5106524155869199E-3</v>
      </c>
      <c r="O66">
        <f t="shared" ref="O66" si="78">CONFIDENCE(0.05,O65,5)/2</f>
        <v>2.7252193281779289E-3</v>
      </c>
      <c r="P66">
        <f t="shared" ref="P66" si="79">CONFIDENCE(0.05,P65,5)/2</f>
        <v>3.8407293410842474E-3</v>
      </c>
      <c r="Q66" t="e">
        <f t="shared" ref="Q66" si="80">CONFIDENCE(0.05,Q65,5)/2</f>
        <v>#NUM!</v>
      </c>
      <c r="R66">
        <f t="shared" ref="R66" si="81">CONFIDENCE(0.05,R65,5)/2</f>
        <v>2.4004558381776546E-4</v>
      </c>
    </row>
    <row r="67" spans="1:24">
      <c r="A67" t="s">
        <v>13</v>
      </c>
      <c r="B67">
        <v>1</v>
      </c>
      <c r="C67">
        <v>1</v>
      </c>
      <c r="D67">
        <v>1</v>
      </c>
      <c r="E67">
        <v>1</v>
      </c>
      <c r="F67">
        <v>1</v>
      </c>
    </row>
    <row r="68" spans="1:24">
      <c r="A68" s="1" t="s">
        <v>48</v>
      </c>
      <c r="B68" s="1"/>
    </row>
    <row r="69" spans="1:24">
      <c r="A69" s="1" t="s">
        <v>48</v>
      </c>
      <c r="B69" s="1"/>
    </row>
    <row r="70" spans="1:24">
      <c r="A70" s="1" t="s">
        <v>48</v>
      </c>
      <c r="B70" s="1"/>
    </row>
    <row r="71" spans="1:24">
      <c r="A71" t="s">
        <v>52</v>
      </c>
      <c r="B71" s="1"/>
    </row>
    <row r="72" spans="1:24">
      <c r="A72" t="s">
        <v>43</v>
      </c>
      <c r="B72" t="s">
        <v>92</v>
      </c>
      <c r="H72" t="s">
        <v>28</v>
      </c>
      <c r="N72" t="s">
        <v>60</v>
      </c>
      <c r="T72" t="s">
        <v>30</v>
      </c>
    </row>
    <row r="73" spans="1:24">
      <c r="A73" t="s">
        <v>6</v>
      </c>
      <c r="B73">
        <v>1</v>
      </c>
      <c r="C73">
        <v>3</v>
      </c>
      <c r="D73">
        <v>5</v>
      </c>
      <c r="E73">
        <v>7</v>
      </c>
      <c r="F73">
        <v>10</v>
      </c>
      <c r="H73" t="s">
        <v>35</v>
      </c>
      <c r="I73">
        <v>3</v>
      </c>
      <c r="J73">
        <v>5</v>
      </c>
      <c r="K73">
        <v>7</v>
      </c>
      <c r="L73">
        <v>10</v>
      </c>
      <c r="N73" t="s">
        <v>35</v>
      </c>
      <c r="O73">
        <v>3</v>
      </c>
      <c r="P73">
        <v>5</v>
      </c>
      <c r="Q73">
        <v>7</v>
      </c>
      <c r="R73">
        <v>10</v>
      </c>
      <c r="T73" t="s">
        <v>35</v>
      </c>
      <c r="U73">
        <v>3</v>
      </c>
      <c r="V73">
        <v>5</v>
      </c>
      <c r="W73">
        <v>7</v>
      </c>
      <c r="X73">
        <v>10</v>
      </c>
    </row>
    <row r="75" spans="1:24">
      <c r="A75" t="s">
        <v>0</v>
      </c>
      <c r="B75">
        <v>301320</v>
      </c>
      <c r="C75">
        <v>172149</v>
      </c>
      <c r="D75">
        <v>154225</v>
      </c>
      <c r="E75">
        <v>86660</v>
      </c>
      <c r="H75">
        <v>577</v>
      </c>
      <c r="I75">
        <v>671</v>
      </c>
      <c r="J75">
        <v>656</v>
      </c>
      <c r="K75">
        <v>671</v>
      </c>
      <c r="L75">
        <v>656</v>
      </c>
      <c r="N75">
        <f t="shared" ref="N75" si="82">B75-H75</f>
        <v>300743</v>
      </c>
      <c r="O75">
        <f t="shared" ref="O75" si="83">C75-I75</f>
        <v>171478</v>
      </c>
      <c r="P75">
        <f t="shared" ref="P75" si="84">D75-J75</f>
        <v>153569</v>
      </c>
      <c r="Q75">
        <f t="shared" ref="Q75" si="85">E75-K75</f>
        <v>85989</v>
      </c>
      <c r="R75">
        <f t="shared" ref="R75" si="86">F75-L75</f>
        <v>-656</v>
      </c>
      <c r="T75">
        <v>49235</v>
      </c>
      <c r="U75">
        <v>54274</v>
      </c>
      <c r="V75">
        <v>54617</v>
      </c>
      <c r="W75">
        <v>57253</v>
      </c>
    </row>
    <row r="76" spans="1:24">
      <c r="A76" t="s">
        <v>1</v>
      </c>
      <c r="B76">
        <v>3104</v>
      </c>
      <c r="C76">
        <v>1575</v>
      </c>
      <c r="D76">
        <v>1482</v>
      </c>
      <c r="E76">
        <v>1966</v>
      </c>
      <c r="H76">
        <v>546</v>
      </c>
      <c r="I76">
        <v>608</v>
      </c>
      <c r="J76">
        <v>609</v>
      </c>
      <c r="K76">
        <v>593</v>
      </c>
      <c r="L76">
        <v>608</v>
      </c>
      <c r="N76">
        <f t="shared" ref="N76:N81" si="87">B76-H76</f>
        <v>2558</v>
      </c>
      <c r="O76">
        <f t="shared" ref="O76:O81" si="88">C76-I76</f>
        <v>967</v>
      </c>
      <c r="P76">
        <f t="shared" ref="P76:P81" si="89">D76-J76</f>
        <v>873</v>
      </c>
      <c r="Q76">
        <f t="shared" ref="Q76:Q81" si="90">E76-K76</f>
        <v>1373</v>
      </c>
      <c r="R76">
        <f t="shared" ref="R76:R81" si="91">F76-L76</f>
        <v>-608</v>
      </c>
      <c r="T76">
        <v>49235</v>
      </c>
      <c r="U76">
        <v>54274</v>
      </c>
      <c r="V76">
        <v>54617</v>
      </c>
      <c r="W76">
        <v>57253</v>
      </c>
    </row>
    <row r="77" spans="1:24">
      <c r="A77" t="s">
        <v>2</v>
      </c>
      <c r="B77">
        <v>3136</v>
      </c>
      <c r="C77">
        <v>1576</v>
      </c>
      <c r="D77">
        <v>1482</v>
      </c>
      <c r="E77">
        <v>1981</v>
      </c>
      <c r="H77">
        <v>546</v>
      </c>
      <c r="I77">
        <v>609</v>
      </c>
      <c r="J77">
        <v>608</v>
      </c>
      <c r="K77">
        <v>608</v>
      </c>
      <c r="L77">
        <v>608</v>
      </c>
      <c r="N77">
        <f t="shared" si="87"/>
        <v>2590</v>
      </c>
      <c r="O77">
        <f t="shared" si="88"/>
        <v>967</v>
      </c>
      <c r="P77">
        <f t="shared" si="89"/>
        <v>874</v>
      </c>
      <c r="Q77">
        <f t="shared" si="90"/>
        <v>1373</v>
      </c>
      <c r="R77">
        <f t="shared" si="91"/>
        <v>-608</v>
      </c>
      <c r="T77">
        <v>55007</v>
      </c>
      <c r="U77">
        <v>54274</v>
      </c>
      <c r="V77">
        <v>62948</v>
      </c>
      <c r="W77">
        <v>58158</v>
      </c>
    </row>
    <row r="78" spans="1:24">
      <c r="A78" t="s">
        <v>3</v>
      </c>
      <c r="B78">
        <v>3136</v>
      </c>
      <c r="C78">
        <v>1576</v>
      </c>
      <c r="D78">
        <v>1482</v>
      </c>
      <c r="E78">
        <v>1982</v>
      </c>
      <c r="H78">
        <v>546</v>
      </c>
      <c r="I78">
        <v>608</v>
      </c>
      <c r="J78">
        <v>608</v>
      </c>
      <c r="K78">
        <v>609</v>
      </c>
      <c r="L78">
        <v>608</v>
      </c>
      <c r="N78">
        <f t="shared" si="87"/>
        <v>2590</v>
      </c>
      <c r="O78">
        <f t="shared" si="88"/>
        <v>968</v>
      </c>
      <c r="P78">
        <f t="shared" si="89"/>
        <v>874</v>
      </c>
      <c r="Q78">
        <f t="shared" si="90"/>
        <v>1373</v>
      </c>
      <c r="R78">
        <f t="shared" si="91"/>
        <v>-608</v>
      </c>
      <c r="T78">
        <v>55147</v>
      </c>
      <c r="U78">
        <v>54274</v>
      </c>
      <c r="V78">
        <v>60513</v>
      </c>
      <c r="W78">
        <v>58361</v>
      </c>
    </row>
    <row r="79" spans="1:24">
      <c r="A79" t="s">
        <v>4</v>
      </c>
      <c r="B79">
        <v>3104</v>
      </c>
      <c r="C79">
        <v>1576</v>
      </c>
      <c r="D79">
        <v>1482</v>
      </c>
      <c r="E79">
        <v>1966</v>
      </c>
      <c r="H79">
        <v>546</v>
      </c>
      <c r="I79">
        <v>609</v>
      </c>
      <c r="J79">
        <v>609</v>
      </c>
      <c r="K79">
        <v>609</v>
      </c>
      <c r="L79">
        <v>608</v>
      </c>
      <c r="N79">
        <f t="shared" si="87"/>
        <v>2558</v>
      </c>
      <c r="O79">
        <f t="shared" si="88"/>
        <v>967</v>
      </c>
      <c r="P79">
        <f t="shared" si="89"/>
        <v>873</v>
      </c>
      <c r="Q79">
        <f t="shared" si="90"/>
        <v>1357</v>
      </c>
      <c r="R79">
        <f t="shared" si="91"/>
        <v>-608</v>
      </c>
      <c r="T79">
        <v>49235</v>
      </c>
      <c r="U79">
        <v>54274</v>
      </c>
      <c r="V79">
        <v>54617</v>
      </c>
      <c r="W79">
        <v>57253</v>
      </c>
    </row>
    <row r="80" spans="1:24">
      <c r="A80" t="s">
        <v>31</v>
      </c>
      <c r="B80">
        <v>3105</v>
      </c>
      <c r="C80">
        <v>1560</v>
      </c>
      <c r="D80">
        <v>1482</v>
      </c>
      <c r="E80">
        <v>1966</v>
      </c>
      <c r="H80">
        <v>531</v>
      </c>
      <c r="I80">
        <v>608</v>
      </c>
      <c r="J80">
        <v>608</v>
      </c>
      <c r="K80">
        <v>608</v>
      </c>
      <c r="L80">
        <v>609</v>
      </c>
      <c r="N80">
        <f t="shared" si="87"/>
        <v>2574</v>
      </c>
      <c r="O80">
        <f t="shared" si="88"/>
        <v>952</v>
      </c>
      <c r="P80">
        <f t="shared" si="89"/>
        <v>874</v>
      </c>
      <c r="Q80">
        <f t="shared" si="90"/>
        <v>1358</v>
      </c>
      <c r="R80">
        <f t="shared" si="91"/>
        <v>-609</v>
      </c>
      <c r="T80">
        <v>55007</v>
      </c>
      <c r="U80">
        <v>54274</v>
      </c>
      <c r="V80">
        <v>62948</v>
      </c>
      <c r="W80">
        <v>58158</v>
      </c>
    </row>
    <row r="81" spans="1:24">
      <c r="A81" t="s">
        <v>32</v>
      </c>
      <c r="B81">
        <v>3105</v>
      </c>
      <c r="C81">
        <v>1575</v>
      </c>
      <c r="D81">
        <v>1482</v>
      </c>
      <c r="E81">
        <v>1981</v>
      </c>
      <c r="H81">
        <v>546</v>
      </c>
      <c r="I81">
        <v>608</v>
      </c>
      <c r="J81">
        <v>608</v>
      </c>
      <c r="K81">
        <v>608</v>
      </c>
      <c r="L81">
        <v>608</v>
      </c>
      <c r="N81">
        <f t="shared" si="87"/>
        <v>2559</v>
      </c>
      <c r="O81">
        <f t="shared" si="88"/>
        <v>967</v>
      </c>
      <c r="P81">
        <f t="shared" si="89"/>
        <v>874</v>
      </c>
      <c r="Q81">
        <f t="shared" si="90"/>
        <v>1373</v>
      </c>
      <c r="R81">
        <f t="shared" si="91"/>
        <v>-608</v>
      </c>
      <c r="T81">
        <v>55147</v>
      </c>
      <c r="U81">
        <v>54274</v>
      </c>
      <c r="V81">
        <v>60513</v>
      </c>
      <c r="W81">
        <v>58361</v>
      </c>
    </row>
    <row r="82" spans="1:24">
      <c r="A82" t="s">
        <v>5</v>
      </c>
      <c r="B82">
        <f>(SUM(B75:B81) -MAX(B75:B81))/((COUNT(B75:B81)-1)*1000)</f>
        <v>3.1150000000000002</v>
      </c>
      <c r="C82">
        <f t="shared" ref="C82" si="92">(SUM(C75:C81) -MAX(C75:C81))/((COUNT(C75:C81)-1)*1000)</f>
        <v>1.573</v>
      </c>
      <c r="D82">
        <f t="shared" ref="D82" si="93">(SUM(D75:D81) -MAX(D75:D81))/((COUNT(D75:D81)-1)*1000)</f>
        <v>1.482</v>
      </c>
      <c r="E82">
        <f t="shared" ref="E82" si="94">(SUM(E75:E81) -MAX(E75:E81))/((COUNT(E75:E81)-1)*1000)</f>
        <v>1.9736666666666667</v>
      </c>
      <c r="F82">
        <f t="shared" ref="F82" si="95">(SUM(F75:F81) -MAX(F75:F81))/((COUNT(F75:F81)-1)*1000)</f>
        <v>0</v>
      </c>
      <c r="H82">
        <f>(SUM(H75:H81) -MAX(H75:H81))/((COUNT(H75:H81)-1)*1000)</f>
        <v>0.54349999999999998</v>
      </c>
      <c r="I82">
        <f t="shared" ref="I82:L82" si="96">(SUM(I75:I81) -MAX(I75:I81))/((COUNT(I75:I81)-1)*1000)</f>
        <v>0.60833333333333328</v>
      </c>
      <c r="J82">
        <f t="shared" si="96"/>
        <v>0.60833333333333328</v>
      </c>
      <c r="K82">
        <f t="shared" si="96"/>
        <v>0.60583333333333333</v>
      </c>
      <c r="L82">
        <f t="shared" si="96"/>
        <v>0.60816666666666663</v>
      </c>
      <c r="N82">
        <f>(SUM(N75:N81) -MAX(N75:N81))/((COUNT(N75:N81)-1)*1000)</f>
        <v>2.5714999999999999</v>
      </c>
      <c r="O82">
        <f t="shared" ref="O82" si="97">(SUM(O75:O81) -MAX(O75:O81))/((COUNT(O75:O81)-1)*1000)</f>
        <v>0.96466666666666667</v>
      </c>
      <c r="P82">
        <f t="shared" ref="P82" si="98">(SUM(P75:P81) -MAX(P75:P81))/((COUNT(P75:P81)-1)*1000)</f>
        <v>0.8736666666666667</v>
      </c>
      <c r="Q82">
        <f t="shared" ref="Q82" si="99">(SUM(Q75:Q81) -MAX(Q75:Q81))/((COUNT(Q75:Q81)-1)*1000)</f>
        <v>1.3678333333333332</v>
      </c>
      <c r="R82">
        <f>(SUM(L75:L81) -MAX(L75:L81))/((COUNT(L75:L81)-1)*1000)</f>
        <v>0.60816666666666663</v>
      </c>
      <c r="T82">
        <f>(SUM(T75:T81) -MAX(T75:T81))/((COUNT(T75:T81)-1)*1000)</f>
        <v>52.144333333333336</v>
      </c>
      <c r="U82">
        <f t="shared" ref="U82" si="100">(SUM(U75:U81) -MAX(U75:U81))/((COUNT(U75:U81)-1)*1000)</f>
        <v>54.274000000000001</v>
      </c>
      <c r="V82">
        <f t="shared" ref="V82" si="101">(SUM(V75:V81) -MAX(V75:V81))/((COUNT(V75:V81)-1)*1000)</f>
        <v>57.970833333333331</v>
      </c>
      <c r="W82">
        <f t="shared" ref="W82" si="102">(SUM(W75:W81) -MAX(W75:W81))/((COUNT(W75:W81)-1)*1000)</f>
        <v>57.739333333333335</v>
      </c>
      <c r="X82">
        <f t="shared" ref="X82" si="103">(SUM(X75:X81) -MAX(X75:X81))/((COUNT(X75:X81)-1)*1000)</f>
        <v>0</v>
      </c>
    </row>
    <row r="83" spans="1:24">
      <c r="A83" t="s">
        <v>7</v>
      </c>
      <c r="B83">
        <f>STDEV(B76:B81)/1000</f>
        <v>1.6272676485446395E-2</v>
      </c>
      <c r="C83">
        <f t="shared" ref="C83:F83" si="104">STDEV(C76:C81)/1000</f>
        <v>6.3874877690685249E-3</v>
      </c>
      <c r="D83">
        <f t="shared" si="104"/>
        <v>0</v>
      </c>
      <c r="E83">
        <f t="shared" si="104"/>
        <v>8.4063468085975555E-3</v>
      </c>
      <c r="F83" t="e">
        <f t="shared" si="104"/>
        <v>#DIV/0!</v>
      </c>
      <c r="H83">
        <f>STDEV(H76:H81)/1000</f>
        <v>6.1237243569579455E-3</v>
      </c>
      <c r="I83">
        <f t="shared" ref="I83:L83" si="105">STDEV(I76:I81)/1000</f>
        <v>5.1639777949432232E-4</v>
      </c>
      <c r="J83">
        <f t="shared" si="105"/>
        <v>5.1639777949432232E-4</v>
      </c>
      <c r="K83">
        <f t="shared" si="105"/>
        <v>6.306081720585114E-3</v>
      </c>
      <c r="L83">
        <f t="shared" si="105"/>
        <v>4.0824829046386303E-4</v>
      </c>
      <c r="N83">
        <f>STDEV(N76:N81)/1000</f>
        <v>1.5565988564816564E-2</v>
      </c>
      <c r="O83">
        <f t="shared" ref="O83:Q83" si="106">STDEV(O76:O81)/1000</f>
        <v>6.2182527020542173E-3</v>
      </c>
      <c r="P83">
        <f t="shared" si="106"/>
        <v>5.1639777949432232E-4</v>
      </c>
      <c r="Q83">
        <f t="shared" si="106"/>
        <v>8.0104098938063618E-3</v>
      </c>
      <c r="R83">
        <f>STDEV(L76:L81)/1000</f>
        <v>4.0824829046386303E-4</v>
      </c>
      <c r="T83">
        <f>STDEV(T76:T81)/1000</f>
        <v>3.0174454538014093</v>
      </c>
      <c r="U83">
        <f t="shared" ref="U83:X83" si="107">STDEV(U76:U81)/1000</f>
        <v>0</v>
      </c>
      <c r="V83">
        <f t="shared" si="107"/>
        <v>3.8314070870460126</v>
      </c>
      <c r="W83">
        <f t="shared" si="107"/>
        <v>0.52762335050677966</v>
      </c>
      <c r="X83" t="e">
        <f t="shared" si="107"/>
        <v>#DIV/0!</v>
      </c>
    </row>
    <row r="84" spans="1:24">
      <c r="A84" t="s">
        <v>8</v>
      </c>
      <c r="B84">
        <f>CONFIDENCE(0.05,B83,5)/2</f>
        <v>7.1316838675021359E-3</v>
      </c>
      <c r="C84">
        <f t="shared" ref="C84" si="108">CONFIDENCE(0.05,C83,5)/2</f>
        <v>2.799388503622892E-3</v>
      </c>
      <c r="D84" t="e">
        <f t="shared" ref="D84" si="109">CONFIDENCE(0.05,D83,5)/2</f>
        <v>#NUM!</v>
      </c>
      <c r="E84">
        <f t="shared" ref="E84" si="110">CONFIDENCE(0.05,E83,5)/2</f>
        <v>3.6841762308198835E-3</v>
      </c>
      <c r="F84" t="e">
        <f t="shared" ref="F84" si="111">CONFIDENCE(0.05,F83,5)/2</f>
        <v>#DIV/0!</v>
      </c>
      <c r="H84">
        <f>CONFIDENCE(0.05,H83,5)/2</f>
        <v>2.6837912155757357E-3</v>
      </c>
      <c r="I84">
        <f t="shared" ref="I84:L84" si="112">CONFIDENCE(0.05,I83,5)/2</f>
        <v>2.2631714681523436E-4</v>
      </c>
      <c r="J84">
        <f t="shared" si="112"/>
        <v>2.2631714681523436E-4</v>
      </c>
      <c r="K84">
        <f t="shared" si="112"/>
        <v>2.7637113854054019E-3</v>
      </c>
      <c r="L84">
        <f t="shared" si="112"/>
        <v>1.7891941437171572E-4</v>
      </c>
      <c r="N84">
        <f>CONFIDENCE(0.05,N83,5)/2</f>
        <v>6.8219699217095158E-3</v>
      </c>
      <c r="O84">
        <f t="shared" ref="O84" si="113">CONFIDENCE(0.05,O83,5)/2</f>
        <v>2.725219328175878E-3</v>
      </c>
      <c r="P84">
        <f t="shared" ref="P84" si="114">CONFIDENCE(0.05,P83,5)/2</f>
        <v>2.2631714681523436E-4</v>
      </c>
      <c r="Q84">
        <f t="shared" ref="Q84" si="115">CONFIDENCE(0.05,Q83,5)/2</f>
        <v>3.5106524155894682E-3</v>
      </c>
      <c r="R84">
        <f t="shared" ref="R84" si="116">CONFIDENCE(0.05,R83,5)/2</f>
        <v>1.7891941437171572E-4</v>
      </c>
      <c r="T84">
        <f>CONFIDENCE(0.05,T83,5)/2</f>
        <v>1.3224294776086336</v>
      </c>
      <c r="U84" t="e">
        <f t="shared" ref="U84" si="117">CONFIDENCE(0.05,U83,5)/2</f>
        <v>#NUM!</v>
      </c>
      <c r="V84">
        <f t="shared" ref="V84" si="118">CONFIDENCE(0.05,V83,5)/2</f>
        <v>1.6791573369603452</v>
      </c>
      <c r="W84">
        <f t="shared" ref="W84" si="119">CONFIDENCE(0.05,W83,5)/2</f>
        <v>0.23123687982686533</v>
      </c>
      <c r="X84" t="e">
        <f t="shared" ref="X84" si="120">CONFIDENCE(0.05,X83,5)/2</f>
        <v>#DIV/0!</v>
      </c>
    </row>
    <row r="85" spans="1:24">
      <c r="A85" t="s">
        <v>13</v>
      </c>
      <c r="B85">
        <v>13</v>
      </c>
      <c r="C85">
        <v>13</v>
      </c>
      <c r="D85">
        <v>13</v>
      </c>
      <c r="E85">
        <v>13</v>
      </c>
      <c r="F85">
        <v>13</v>
      </c>
    </row>
    <row r="86" spans="1:24">
      <c r="A86" t="s">
        <v>10</v>
      </c>
      <c r="B86">
        <v>1440</v>
      </c>
      <c r="C86">
        <v>1570</v>
      </c>
      <c r="D86">
        <v>1540</v>
      </c>
      <c r="E86">
        <v>1490</v>
      </c>
      <c r="G86" t="s">
        <v>27</v>
      </c>
    </row>
    <row r="87" spans="1:24">
      <c r="A87" s="1" t="s">
        <v>48</v>
      </c>
      <c r="B87" s="1"/>
    </row>
    <row r="88" spans="1:24">
      <c r="A88" t="s">
        <v>54</v>
      </c>
    </row>
    <row r="89" spans="1:24">
      <c r="A89" t="s">
        <v>43</v>
      </c>
      <c r="B89" t="s">
        <v>92</v>
      </c>
      <c r="H89" t="s">
        <v>28</v>
      </c>
      <c r="N89" t="s">
        <v>60</v>
      </c>
      <c r="T89" t="s">
        <v>30</v>
      </c>
    </row>
    <row r="90" spans="1:24">
      <c r="A90" t="s">
        <v>6</v>
      </c>
      <c r="B90">
        <v>1</v>
      </c>
      <c r="C90">
        <v>3</v>
      </c>
      <c r="D90">
        <v>5</v>
      </c>
      <c r="E90">
        <v>7</v>
      </c>
      <c r="F90">
        <v>10</v>
      </c>
      <c r="H90" t="s">
        <v>35</v>
      </c>
      <c r="I90">
        <v>3</v>
      </c>
      <c r="J90">
        <v>5</v>
      </c>
      <c r="K90">
        <v>7</v>
      </c>
      <c r="L90">
        <v>10</v>
      </c>
      <c r="N90" t="s">
        <v>35</v>
      </c>
      <c r="O90">
        <v>3</v>
      </c>
      <c r="P90">
        <v>5</v>
      </c>
      <c r="Q90">
        <v>7</v>
      </c>
      <c r="R90">
        <v>10</v>
      </c>
      <c r="T90" t="s">
        <v>35</v>
      </c>
      <c r="U90">
        <v>3</v>
      </c>
      <c r="V90">
        <v>5</v>
      </c>
      <c r="W90">
        <v>7</v>
      </c>
      <c r="X90">
        <v>10</v>
      </c>
    </row>
    <row r="92" spans="1:24">
      <c r="A92" t="s">
        <v>0</v>
      </c>
      <c r="B92">
        <v>8115245</v>
      </c>
      <c r="C92">
        <v>826324</v>
      </c>
      <c r="D92">
        <v>709727</v>
      </c>
      <c r="E92">
        <v>1257791</v>
      </c>
      <c r="F92">
        <v>1024229</v>
      </c>
      <c r="H92">
        <v>5179</v>
      </c>
      <c r="I92">
        <v>6724</v>
      </c>
      <c r="J92">
        <v>6412</v>
      </c>
      <c r="K92">
        <v>6131</v>
      </c>
      <c r="L92">
        <v>6193</v>
      </c>
      <c r="N92">
        <f t="shared" ref="N92:R98" si="121">B92-H92</f>
        <v>8110066</v>
      </c>
      <c r="O92">
        <f t="shared" si="121"/>
        <v>819600</v>
      </c>
      <c r="P92">
        <f t="shared" si="121"/>
        <v>703315</v>
      </c>
      <c r="Q92">
        <f t="shared" si="121"/>
        <v>1251660</v>
      </c>
      <c r="R92">
        <f t="shared" si="121"/>
        <v>1018036</v>
      </c>
      <c r="T92">
        <v>93056</v>
      </c>
      <c r="U92">
        <v>102371</v>
      </c>
      <c r="V92">
        <v>116083</v>
      </c>
      <c r="W92">
        <v>104757</v>
      </c>
      <c r="X92">
        <v>97065</v>
      </c>
    </row>
    <row r="93" spans="1:24">
      <c r="A93" t="s">
        <v>1</v>
      </c>
      <c r="B93">
        <v>21201</v>
      </c>
      <c r="C93">
        <v>12699</v>
      </c>
      <c r="D93">
        <v>13042</v>
      </c>
      <c r="E93">
        <v>14074</v>
      </c>
      <c r="F93">
        <v>12979</v>
      </c>
      <c r="H93">
        <v>5132</v>
      </c>
      <c r="I93">
        <v>6568</v>
      </c>
      <c r="J93">
        <v>6365</v>
      </c>
      <c r="K93">
        <v>6101</v>
      </c>
      <c r="L93">
        <v>6177</v>
      </c>
      <c r="N93">
        <f t="shared" si="121"/>
        <v>16069</v>
      </c>
      <c r="O93">
        <f t="shared" si="121"/>
        <v>6131</v>
      </c>
      <c r="P93">
        <f t="shared" si="121"/>
        <v>6677</v>
      </c>
      <c r="Q93">
        <f t="shared" si="121"/>
        <v>7973</v>
      </c>
      <c r="R93">
        <f t="shared" si="121"/>
        <v>6802</v>
      </c>
      <c r="T93">
        <v>93056</v>
      </c>
      <c r="U93">
        <v>102371</v>
      </c>
      <c r="V93">
        <v>116083</v>
      </c>
      <c r="W93">
        <v>104757</v>
      </c>
      <c r="X93">
        <v>97065</v>
      </c>
    </row>
    <row r="94" spans="1:24">
      <c r="A94" t="s">
        <v>2</v>
      </c>
      <c r="B94">
        <v>21217</v>
      </c>
      <c r="C94">
        <v>12621</v>
      </c>
      <c r="D94">
        <v>13026</v>
      </c>
      <c r="E94">
        <v>14043</v>
      </c>
      <c r="F94">
        <v>12902</v>
      </c>
      <c r="H94">
        <v>5164</v>
      </c>
      <c r="I94">
        <v>6490</v>
      </c>
      <c r="J94">
        <v>6349</v>
      </c>
      <c r="K94">
        <v>6101</v>
      </c>
      <c r="L94">
        <v>6147</v>
      </c>
      <c r="N94">
        <f t="shared" si="121"/>
        <v>16053</v>
      </c>
      <c r="O94">
        <f t="shared" si="121"/>
        <v>6131</v>
      </c>
      <c r="P94">
        <f t="shared" si="121"/>
        <v>6677</v>
      </c>
      <c r="Q94">
        <f t="shared" si="121"/>
        <v>7942</v>
      </c>
      <c r="R94">
        <f t="shared" si="121"/>
        <v>6755</v>
      </c>
      <c r="T94">
        <v>100434</v>
      </c>
      <c r="U94">
        <v>117801</v>
      </c>
      <c r="V94">
        <v>128111</v>
      </c>
      <c r="W94">
        <v>109000</v>
      </c>
      <c r="X94">
        <v>105333</v>
      </c>
    </row>
    <row r="95" spans="1:24">
      <c r="A95" t="s">
        <v>3</v>
      </c>
      <c r="B95">
        <v>21201</v>
      </c>
      <c r="C95">
        <v>12621</v>
      </c>
      <c r="D95">
        <v>12933</v>
      </c>
      <c r="E95">
        <v>14043</v>
      </c>
      <c r="F95">
        <v>12901</v>
      </c>
      <c r="H95">
        <v>5164</v>
      </c>
      <c r="I95">
        <v>6490</v>
      </c>
      <c r="J95">
        <v>6334</v>
      </c>
      <c r="K95">
        <v>6101</v>
      </c>
      <c r="L95">
        <v>6115</v>
      </c>
      <c r="N95">
        <f t="shared" si="121"/>
        <v>16037</v>
      </c>
      <c r="O95">
        <f t="shared" si="121"/>
        <v>6131</v>
      </c>
      <c r="P95">
        <f t="shared" si="121"/>
        <v>6599</v>
      </c>
      <c r="Q95">
        <f t="shared" si="121"/>
        <v>7942</v>
      </c>
      <c r="R95">
        <f t="shared" si="121"/>
        <v>6786</v>
      </c>
      <c r="T95">
        <v>99873</v>
      </c>
      <c r="U95">
        <v>109578</v>
      </c>
      <c r="V95">
        <v>128282</v>
      </c>
      <c r="W95">
        <v>103681</v>
      </c>
      <c r="X95">
        <v>105474</v>
      </c>
    </row>
    <row r="96" spans="1:24">
      <c r="A96" t="s">
        <v>4</v>
      </c>
      <c r="B96">
        <v>21247</v>
      </c>
      <c r="C96">
        <v>12621</v>
      </c>
      <c r="D96">
        <v>12996</v>
      </c>
      <c r="E96">
        <v>14028</v>
      </c>
      <c r="F96">
        <v>12901</v>
      </c>
      <c r="H96">
        <v>5179</v>
      </c>
      <c r="I96">
        <v>6506</v>
      </c>
      <c r="J96">
        <v>6365</v>
      </c>
      <c r="K96">
        <v>6086</v>
      </c>
      <c r="L96">
        <v>6131</v>
      </c>
      <c r="N96">
        <f t="shared" si="121"/>
        <v>16068</v>
      </c>
      <c r="O96">
        <f t="shared" si="121"/>
        <v>6115</v>
      </c>
      <c r="P96">
        <f t="shared" si="121"/>
        <v>6631</v>
      </c>
      <c r="Q96">
        <f t="shared" si="121"/>
        <v>7942</v>
      </c>
      <c r="R96">
        <f t="shared" si="121"/>
        <v>6770</v>
      </c>
      <c r="T96">
        <v>93056</v>
      </c>
      <c r="U96">
        <v>102371</v>
      </c>
      <c r="V96">
        <v>116083</v>
      </c>
      <c r="W96">
        <v>104757</v>
      </c>
      <c r="X96">
        <v>97065</v>
      </c>
    </row>
    <row r="97" spans="1:24">
      <c r="A97" t="s">
        <v>31</v>
      </c>
      <c r="B97">
        <v>21232</v>
      </c>
      <c r="C97">
        <v>12636</v>
      </c>
      <c r="D97">
        <v>12980</v>
      </c>
      <c r="E97">
        <v>14027</v>
      </c>
      <c r="F97">
        <v>12855</v>
      </c>
      <c r="H97">
        <v>5164</v>
      </c>
      <c r="I97">
        <v>6505</v>
      </c>
      <c r="J97">
        <v>6350</v>
      </c>
      <c r="K97">
        <v>6101</v>
      </c>
      <c r="L97">
        <v>6131</v>
      </c>
      <c r="N97">
        <f t="shared" si="121"/>
        <v>16068</v>
      </c>
      <c r="O97">
        <f t="shared" si="121"/>
        <v>6131</v>
      </c>
      <c r="P97">
        <f t="shared" si="121"/>
        <v>6630</v>
      </c>
      <c r="Q97">
        <f t="shared" si="121"/>
        <v>7926</v>
      </c>
      <c r="R97">
        <f t="shared" si="121"/>
        <v>6724</v>
      </c>
      <c r="T97">
        <v>100434</v>
      </c>
      <c r="U97">
        <v>117801</v>
      </c>
      <c r="V97">
        <v>128111</v>
      </c>
      <c r="W97">
        <v>109000</v>
      </c>
      <c r="X97">
        <v>105333</v>
      </c>
    </row>
    <row r="98" spans="1:24">
      <c r="A98" t="s">
        <v>32</v>
      </c>
      <c r="B98">
        <v>21200</v>
      </c>
      <c r="C98">
        <v>12652</v>
      </c>
      <c r="D98">
        <v>12964</v>
      </c>
      <c r="E98">
        <v>14027</v>
      </c>
      <c r="F98">
        <v>12870</v>
      </c>
      <c r="H98">
        <v>5163</v>
      </c>
      <c r="I98">
        <v>6521</v>
      </c>
      <c r="J98">
        <v>6349</v>
      </c>
      <c r="K98">
        <v>6101</v>
      </c>
      <c r="L98">
        <v>6115</v>
      </c>
      <c r="N98">
        <f t="shared" si="121"/>
        <v>16037</v>
      </c>
      <c r="O98">
        <f t="shared" si="121"/>
        <v>6131</v>
      </c>
      <c r="P98">
        <f t="shared" si="121"/>
        <v>6615</v>
      </c>
      <c r="Q98">
        <f t="shared" si="121"/>
        <v>7926</v>
      </c>
      <c r="R98">
        <f t="shared" si="121"/>
        <v>6755</v>
      </c>
      <c r="T98">
        <v>99873</v>
      </c>
      <c r="U98">
        <v>109578</v>
      </c>
      <c r="V98">
        <v>128282</v>
      </c>
      <c r="W98">
        <v>103681</v>
      </c>
      <c r="X98">
        <v>105474</v>
      </c>
    </row>
    <row r="99" spans="1:24">
      <c r="A99" t="s">
        <v>5</v>
      </c>
      <c r="B99">
        <f t="shared" ref="B99:C99" si="122">(SUM(B92:B98) -MAX(B92:B98))/((COUNT(B92:B98)-1)*1000)</f>
        <v>21.216333333333335</v>
      </c>
      <c r="C99">
        <f t="shared" si="122"/>
        <v>12.641666666666667</v>
      </c>
      <c r="D99">
        <f t="shared" ref="D99" si="123">(SUM(D92:D98) -MAX(D92:D98))/((COUNT(D92:D98)-1)*1000)</f>
        <v>12.990166666666667</v>
      </c>
      <c r="E99">
        <f t="shared" ref="E99" si="124">(SUM(E92:E98) -MAX(E92:E98))/((COUNT(E92:E98)-1)*1000)</f>
        <v>14.040333333333333</v>
      </c>
      <c r="F99">
        <f t="shared" ref="F99" si="125">(SUM(F92:F98) -MAX(F92:F98))/((COUNT(F92:F98)-1)*1000)</f>
        <v>12.901333333333334</v>
      </c>
      <c r="H99">
        <f>(SUM(H92:H98) -MAX(H92:H98))/((COUNT(H92:H98)-1)*1000)</f>
        <v>5.1609999999999996</v>
      </c>
      <c r="I99">
        <f t="shared" ref="I99" si="126">(SUM(I92:I98) -MAX(I92:I98))/((COUNT(I92:I98)-1)*1000)</f>
        <v>6.5133333333333336</v>
      </c>
      <c r="J99">
        <f t="shared" ref="J99" si="127">(SUM(J92:J98) -MAX(J92:J98))/((COUNT(J92:J98)-1)*1000)</f>
        <v>6.3520000000000003</v>
      </c>
      <c r="K99">
        <f t="shared" ref="K99" si="128">(SUM(K92:K98) -MAX(K92:K98))/((COUNT(K92:K98)-1)*1000)</f>
        <v>6.0984999999999996</v>
      </c>
      <c r="L99">
        <f t="shared" ref="L99" si="129">(SUM(L92:L98) -MAX(L92:L98))/((COUNT(L92:L98)-1)*1000)</f>
        <v>6.1360000000000001</v>
      </c>
      <c r="N99">
        <f>(SUM(N92:N98) -MAX(N92:N98))/((COUNT(N92:N98)-1)*1000)</f>
        <v>16.055333333333333</v>
      </c>
      <c r="O99">
        <f t="shared" ref="O99" si="130">(SUM(O92:O98) -MAX(O92:O98))/((COUNT(O92:O98)-1)*1000)</f>
        <v>6.128333333333333</v>
      </c>
      <c r="P99">
        <f t="shared" ref="P99" si="131">(SUM(P92:P98) -MAX(P92:P98))/((COUNT(P92:P98)-1)*1000)</f>
        <v>6.6381666666666668</v>
      </c>
      <c r="Q99">
        <f t="shared" ref="Q99" si="132">(SUM(Q92:Q98) -MAX(Q92:Q98))/((COUNT(Q92:Q98)-1)*1000)</f>
        <v>7.9418333333333333</v>
      </c>
      <c r="R99">
        <f t="shared" ref="R99" si="133">(SUM(R92:R98) -MAX(R92:R98))/((COUNT(R92:R98)-1)*1000)</f>
        <v>6.7653333333333334</v>
      </c>
      <c r="T99">
        <f>(SUM(T92:T98) -MAX(T92:T98))/((COUNT(T92:T98)-1)*1000)</f>
        <v>96.558000000000007</v>
      </c>
      <c r="U99">
        <f t="shared" ref="U99" si="134">(SUM(U92:U98) -MAX(U92:U98))/((COUNT(U92:U98)-1)*1000)</f>
        <v>107.345</v>
      </c>
      <c r="V99">
        <f t="shared" ref="V99" si="135">(SUM(V92:V98) -MAX(V92:V98))/((COUNT(V92:V98)-1)*1000)</f>
        <v>122.1255</v>
      </c>
      <c r="W99">
        <f t="shared" ref="W99" si="136">(SUM(W92:W98) -MAX(W92:W98))/((COUNT(W92:W98)-1)*1000)</f>
        <v>105.10550000000001</v>
      </c>
      <c r="X99">
        <f t="shared" ref="X99" si="137">(SUM(X92:X98) -MAX(X92:X98))/((COUNT(X92:X98)-1)*1000)</f>
        <v>101.2225</v>
      </c>
    </row>
    <row r="100" spans="1:24">
      <c r="A100" t="s">
        <v>7</v>
      </c>
      <c r="B100">
        <f>STDEV(B93:B98)/1000</f>
        <v>1.9612920911951277E-2</v>
      </c>
      <c r="C100">
        <f t="shared" ref="C100:F100" si="138">STDEV(C93:C98)/1000</f>
        <v>3.0683328806937065E-2</v>
      </c>
      <c r="D100">
        <f t="shared" si="138"/>
        <v>4.0151795310728183E-2</v>
      </c>
      <c r="E100">
        <f t="shared" si="138"/>
        <v>1.8195237471678463E-2</v>
      </c>
      <c r="F100">
        <f t="shared" si="138"/>
        <v>4.2804984133563394E-2</v>
      </c>
      <c r="H100">
        <f>STDEV(H93:H98)/1000</f>
        <v>1.5466091943344964E-2</v>
      </c>
      <c r="I100">
        <f t="shared" ref="I100:L100" si="139">STDEV(I93:I98)/1000</f>
        <v>2.91867549869569E-2</v>
      </c>
      <c r="J100">
        <f t="shared" si="139"/>
        <v>1.1696153213770757E-2</v>
      </c>
      <c r="K100">
        <f t="shared" si="139"/>
        <v>6.1237243569579455E-3</v>
      </c>
      <c r="L100">
        <f t="shared" si="139"/>
        <v>2.3383755044902432E-2</v>
      </c>
      <c r="N100">
        <f>STDEV(N93:N98)/1000</f>
        <v>1.5396969398254063E-2</v>
      </c>
      <c r="O100">
        <f t="shared" ref="O100:R100" si="140">STDEV(O93:O98)/1000</f>
        <v>6.5319726475738926E-3</v>
      </c>
      <c r="P100">
        <f t="shared" si="140"/>
        <v>3.2264015042592784E-2</v>
      </c>
      <c r="Q100">
        <f t="shared" si="140"/>
        <v>1.7162944580190576E-2</v>
      </c>
      <c r="R100">
        <f t="shared" si="140"/>
        <v>2.7259249194772277E-2</v>
      </c>
      <c r="T100">
        <f>STDEV(T93:T98)/1000</f>
        <v>3.6737100956209345</v>
      </c>
      <c r="U100">
        <f t="shared" ref="U100:X100" si="141">STDEV(U93:U98)/1000</f>
        <v>6.9054903567136821</v>
      </c>
      <c r="V100">
        <f t="shared" si="141"/>
        <v>6.2558519377192461</v>
      </c>
      <c r="W100">
        <f t="shared" si="141"/>
        <v>2.5153551372852254</v>
      </c>
      <c r="X100">
        <f t="shared" si="141"/>
        <v>4.3064445659964097</v>
      </c>
    </row>
    <row r="101" spans="1:24">
      <c r="A101" t="s">
        <v>8</v>
      </c>
      <c r="B101">
        <f>CONFIDENCE(0.05,B100,5)/2</f>
        <v>8.5955836329355498E-3</v>
      </c>
      <c r="C101">
        <f t="shared" ref="C101" si="142">CONFIDENCE(0.05,C100,5)/2</f>
        <v>1.3447314659601542E-2</v>
      </c>
      <c r="D101">
        <f t="shared" ref="D101" si="143">CONFIDENCE(0.05,D100,5)/2</f>
        <v>1.7596976817235169E-2</v>
      </c>
      <c r="E101">
        <f t="shared" ref="E101" si="144">CONFIDENCE(0.05,E100,5)/2</f>
        <v>7.9742678875349103E-3</v>
      </c>
      <c r="F101">
        <f t="shared" ref="F101" si="145">CONFIDENCE(0.05,F100,5)/2</f>
        <v>1.8759766721045623E-2</v>
      </c>
      <c r="H101">
        <f>CONFIDENCE(0.05,H100,5)/2</f>
        <v>6.7781891014858636E-3</v>
      </c>
      <c r="I101">
        <f t="shared" ref="I101" si="146">CONFIDENCE(0.05,I100,5)/2</f>
        <v>1.2791424316176836E-2</v>
      </c>
      <c r="J101">
        <f t="shared" ref="J101" si="147">CONFIDENCE(0.05,J100,5)/2</f>
        <v>5.1259709649536462E-3</v>
      </c>
      <c r="K101">
        <f t="shared" ref="K101" si="148">CONFIDENCE(0.05,K100,5)/2</f>
        <v>2.6837912155757357E-3</v>
      </c>
      <c r="L101">
        <f t="shared" ref="L101" si="149">CONFIDENCE(0.05,L100,5)/2</f>
        <v>1.0248194190089167E-2</v>
      </c>
      <c r="N101">
        <f>CONFIDENCE(0.05,N100,5)/2</f>
        <v>6.7478953670687654E-3</v>
      </c>
      <c r="O101">
        <f t="shared" ref="O101" si="150">CONFIDENCE(0.05,O100,5)/2</f>
        <v>2.8627106300141039E-3</v>
      </c>
      <c r="P101">
        <f t="shared" ref="P101" si="151">CONFIDENCE(0.05,P100,5)/2</f>
        <v>1.4140068217167234E-2</v>
      </c>
      <c r="Q101">
        <f t="shared" ref="Q101" si="152">CONFIDENCE(0.05,Q100,5)/2</f>
        <v>7.5218538936018568E-3</v>
      </c>
      <c r="R101">
        <f t="shared" ref="R101" si="153">CONFIDENCE(0.05,R100,5)/2</f>
        <v>1.1946673179205966E-2</v>
      </c>
      <c r="T101">
        <f>CONFIDENCE(0.05,T100,5)/2</f>
        <v>1.6100448531777489</v>
      </c>
      <c r="U101">
        <f t="shared" ref="U101" si="154">CONFIDENCE(0.05,U100,5)/2</f>
        <v>3.0264089756968806</v>
      </c>
      <c r="V101">
        <f t="shared" ref="V101" si="155">CONFIDENCE(0.05,V100,5)/2</f>
        <v>2.7416976169603018</v>
      </c>
      <c r="W101">
        <f t="shared" ref="W101" si="156">CONFIDENCE(0.05,W100,5)/2</f>
        <v>1.1023827376928008</v>
      </c>
      <c r="X101">
        <f t="shared" ref="X101" si="157">CONFIDENCE(0.05,X100,5)/2</f>
        <v>1.8873478659196934</v>
      </c>
    </row>
    <row r="102" spans="1:24">
      <c r="A102" t="s">
        <v>13</v>
      </c>
      <c r="B102">
        <v>364</v>
      </c>
      <c r="C102">
        <v>364</v>
      </c>
      <c r="D102">
        <v>364</v>
      </c>
      <c r="E102">
        <v>364</v>
      </c>
      <c r="F102">
        <v>364</v>
      </c>
    </row>
    <row r="103" spans="1:24">
      <c r="A103" t="s">
        <v>10</v>
      </c>
      <c r="B103">
        <v>2430</v>
      </c>
      <c r="C103">
        <v>2630</v>
      </c>
      <c r="D103">
        <v>2590</v>
      </c>
      <c r="E103">
        <v>2490</v>
      </c>
      <c r="F103">
        <v>2520</v>
      </c>
      <c r="G103" t="s">
        <v>27</v>
      </c>
    </row>
    <row r="104" spans="1:24">
      <c r="A104" s="1" t="s">
        <v>42</v>
      </c>
      <c r="B104" s="1"/>
    </row>
    <row r="108" spans="1:24">
      <c r="A108" t="s">
        <v>55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BD144"/>
  <sheetViews>
    <sheetView topLeftCell="A61" zoomScale="85" zoomScaleNormal="85" workbookViewId="0">
      <selection activeCell="N82" sqref="N82"/>
    </sheetView>
  </sheetViews>
  <sheetFormatPr defaultRowHeight="14.4"/>
  <cols>
    <col min="1" max="1" width="12.6640625" customWidth="1"/>
    <col min="2" max="14" width="8.6640625" customWidth="1"/>
    <col min="15" max="15" width="4.6640625" customWidth="1"/>
    <col min="16" max="28" width="8.6640625" customWidth="1"/>
    <col min="29" max="29" width="4.6640625" customWidth="1"/>
    <col min="30" max="42" width="8.6640625" customWidth="1"/>
    <col min="43" max="43" width="4.6640625" customWidth="1"/>
    <col min="44" max="53" width="8.6640625" customWidth="1"/>
  </cols>
  <sheetData>
    <row r="1" spans="1:56">
      <c r="A1" s="1" t="s">
        <v>48</v>
      </c>
      <c r="B1" s="1"/>
    </row>
    <row r="2" spans="1:56">
      <c r="A2" t="s">
        <v>71</v>
      </c>
      <c r="B2" s="1"/>
    </row>
    <row r="3" spans="1:56">
      <c r="A3" t="s">
        <v>43</v>
      </c>
      <c r="B3" t="s">
        <v>92</v>
      </c>
      <c r="P3" t="s">
        <v>28</v>
      </c>
      <c r="AD3" t="s">
        <v>29</v>
      </c>
      <c r="AR3" t="s">
        <v>30</v>
      </c>
    </row>
    <row r="5" spans="1:56">
      <c r="A5" t="s">
        <v>6</v>
      </c>
      <c r="B5" t="s">
        <v>35</v>
      </c>
      <c r="C5" t="s">
        <v>66</v>
      </c>
      <c r="F5" t="s">
        <v>68</v>
      </c>
      <c r="I5" t="s">
        <v>67</v>
      </c>
      <c r="L5" t="s">
        <v>90</v>
      </c>
      <c r="P5" t="s">
        <v>35</v>
      </c>
      <c r="Q5" t="s">
        <v>66</v>
      </c>
      <c r="T5" t="s">
        <v>68</v>
      </c>
      <c r="W5" t="s">
        <v>67</v>
      </c>
      <c r="Z5" t="s">
        <v>90</v>
      </c>
      <c r="AD5" t="s">
        <v>35</v>
      </c>
      <c r="AE5" t="s">
        <v>66</v>
      </c>
      <c r="AH5" t="s">
        <v>68</v>
      </c>
      <c r="AK5" t="s">
        <v>67</v>
      </c>
      <c r="AN5" t="s">
        <v>90</v>
      </c>
      <c r="AR5" t="s">
        <v>35</v>
      </c>
      <c r="AS5" t="s">
        <v>66</v>
      </c>
      <c r="AV5" t="s">
        <v>68</v>
      </c>
      <c r="AY5" t="s">
        <v>67</v>
      </c>
      <c r="BB5" t="s">
        <v>90</v>
      </c>
    </row>
    <row r="6" spans="1:56">
      <c r="C6">
        <v>3</v>
      </c>
      <c r="D6">
        <v>5</v>
      </c>
      <c r="E6">
        <v>7</v>
      </c>
      <c r="F6">
        <v>3</v>
      </c>
      <c r="G6">
        <v>5</v>
      </c>
      <c r="H6">
        <v>7</v>
      </c>
      <c r="I6">
        <v>3</v>
      </c>
      <c r="J6">
        <v>5</v>
      </c>
      <c r="K6">
        <v>7</v>
      </c>
      <c r="L6">
        <v>3</v>
      </c>
      <c r="M6">
        <v>5</v>
      </c>
      <c r="N6">
        <v>7</v>
      </c>
      <c r="Q6">
        <v>3</v>
      </c>
      <c r="R6">
        <v>5</v>
      </c>
      <c r="S6">
        <v>7</v>
      </c>
      <c r="T6">
        <v>3</v>
      </c>
      <c r="U6">
        <v>5</v>
      </c>
      <c r="V6">
        <v>7</v>
      </c>
      <c r="W6">
        <v>3</v>
      </c>
      <c r="X6">
        <v>5</v>
      </c>
      <c r="Y6">
        <v>7</v>
      </c>
      <c r="Z6">
        <v>3</v>
      </c>
      <c r="AA6">
        <v>5</v>
      </c>
      <c r="AB6">
        <v>7</v>
      </c>
      <c r="AE6">
        <v>3</v>
      </c>
      <c r="AF6">
        <v>5</v>
      </c>
      <c r="AG6">
        <v>7</v>
      </c>
      <c r="AH6">
        <v>3</v>
      </c>
      <c r="AI6">
        <v>5</v>
      </c>
      <c r="AJ6">
        <v>7</v>
      </c>
      <c r="AK6">
        <v>3</v>
      </c>
      <c r="AL6">
        <v>5</v>
      </c>
      <c r="AM6">
        <v>7</v>
      </c>
      <c r="AN6">
        <v>3</v>
      </c>
      <c r="AO6">
        <v>5</v>
      </c>
      <c r="AP6">
        <v>7</v>
      </c>
      <c r="AS6">
        <v>3</v>
      </c>
      <c r="AT6">
        <v>5</v>
      </c>
      <c r="AU6">
        <v>7</v>
      </c>
      <c r="AV6">
        <v>3</v>
      </c>
      <c r="AW6">
        <v>5</v>
      </c>
      <c r="AX6">
        <v>7</v>
      </c>
      <c r="AY6">
        <v>3</v>
      </c>
      <c r="AZ6">
        <v>5</v>
      </c>
      <c r="BA6">
        <v>7</v>
      </c>
      <c r="BB6">
        <v>3</v>
      </c>
      <c r="BC6">
        <v>5</v>
      </c>
      <c r="BD6">
        <v>7</v>
      </c>
    </row>
    <row r="7" spans="1:56">
      <c r="A7" t="s">
        <v>0</v>
      </c>
      <c r="B7">
        <v>443407</v>
      </c>
      <c r="C7">
        <v>106941</v>
      </c>
      <c r="D7">
        <v>92495</v>
      </c>
      <c r="E7">
        <v>309324</v>
      </c>
      <c r="F7">
        <v>323053</v>
      </c>
      <c r="G7">
        <v>110170</v>
      </c>
      <c r="H7">
        <v>28845</v>
      </c>
      <c r="I7">
        <v>319325</v>
      </c>
      <c r="J7">
        <v>199560</v>
      </c>
      <c r="K7">
        <v>328482</v>
      </c>
      <c r="L7">
        <v>322928</v>
      </c>
      <c r="M7">
        <v>110357</v>
      </c>
      <c r="N7">
        <v>29064</v>
      </c>
      <c r="P7">
        <v>156</v>
      </c>
      <c r="Q7">
        <v>187</v>
      </c>
      <c r="R7">
        <v>187</v>
      </c>
      <c r="S7">
        <v>188</v>
      </c>
      <c r="T7">
        <v>188</v>
      </c>
      <c r="U7">
        <v>234</v>
      </c>
      <c r="V7">
        <v>281</v>
      </c>
      <c r="W7">
        <v>187</v>
      </c>
      <c r="X7">
        <v>219</v>
      </c>
      <c r="Y7">
        <v>219</v>
      </c>
      <c r="Z7">
        <v>187</v>
      </c>
      <c r="AA7">
        <v>203</v>
      </c>
      <c r="AB7">
        <v>219</v>
      </c>
      <c r="AD7">
        <f>B7-P7</f>
        <v>443251</v>
      </c>
      <c r="AE7">
        <f t="shared" ref="AE7:AE13" si="0">C7-Q7</f>
        <v>106754</v>
      </c>
      <c r="AF7">
        <f t="shared" ref="AF7:AF13" si="1">D7-R7</f>
        <v>92308</v>
      </c>
      <c r="AG7">
        <f t="shared" ref="AG7:AG13" si="2">E7-S7</f>
        <v>309136</v>
      </c>
      <c r="AH7">
        <f t="shared" ref="AH7:AH13" si="3">F7-T7</f>
        <v>322865</v>
      </c>
      <c r="AI7">
        <f t="shared" ref="AI7:AI13" si="4">G7-U7</f>
        <v>109936</v>
      </c>
      <c r="AJ7">
        <f t="shared" ref="AJ7:AJ13" si="5">H7-V7</f>
        <v>28564</v>
      </c>
      <c r="AK7">
        <f t="shared" ref="AK7:AK13" si="6">I7-W7</f>
        <v>319138</v>
      </c>
      <c r="AL7">
        <f t="shared" ref="AL7:AL13" si="7">J7-X7</f>
        <v>199341</v>
      </c>
      <c r="AM7">
        <f t="shared" ref="AM7:AM13" si="8">K7-Y7</f>
        <v>328263</v>
      </c>
      <c r="AN7">
        <f t="shared" ref="AN7:AN13" si="9">L7-Z7</f>
        <v>322741</v>
      </c>
      <c r="AO7">
        <f t="shared" ref="AO7:AO13" si="10">M7-AA7</f>
        <v>110154</v>
      </c>
      <c r="AP7">
        <f t="shared" ref="AP7:AP13" si="11">N7-AB7</f>
        <v>28845</v>
      </c>
      <c r="AR7">
        <v>13478</v>
      </c>
      <c r="AS7">
        <v>14383</v>
      </c>
      <c r="AT7">
        <v>14477</v>
      </c>
      <c r="AU7">
        <v>15101</v>
      </c>
      <c r="AV7">
        <v>24181</v>
      </c>
      <c r="AW7">
        <v>49984</v>
      </c>
      <c r="AX7">
        <v>202431</v>
      </c>
      <c r="AY7">
        <v>17847</v>
      </c>
      <c r="AZ7">
        <v>20655</v>
      </c>
      <c r="BA7">
        <v>37114</v>
      </c>
      <c r="BB7">
        <v>19453</v>
      </c>
      <c r="BC7">
        <v>25038</v>
      </c>
      <c r="BD7">
        <v>57097</v>
      </c>
    </row>
    <row r="8" spans="1:56">
      <c r="A8" t="s">
        <v>1</v>
      </c>
      <c r="B8">
        <v>2371</v>
      </c>
      <c r="C8">
        <v>3120</v>
      </c>
      <c r="D8">
        <v>2512</v>
      </c>
      <c r="E8">
        <v>2621</v>
      </c>
      <c r="F8">
        <v>7301</v>
      </c>
      <c r="G8">
        <v>6397</v>
      </c>
      <c r="H8">
        <v>8128</v>
      </c>
      <c r="I8">
        <v>7987</v>
      </c>
      <c r="J8">
        <v>7941</v>
      </c>
      <c r="K8">
        <v>5943</v>
      </c>
      <c r="L8">
        <v>7551</v>
      </c>
      <c r="M8">
        <v>6724</v>
      </c>
      <c r="N8">
        <v>8424</v>
      </c>
      <c r="P8">
        <v>125</v>
      </c>
      <c r="Q8">
        <v>140</v>
      </c>
      <c r="R8">
        <v>156</v>
      </c>
      <c r="S8">
        <v>156</v>
      </c>
      <c r="T8">
        <v>172</v>
      </c>
      <c r="U8">
        <v>202</v>
      </c>
      <c r="V8">
        <v>249</v>
      </c>
      <c r="W8">
        <v>172</v>
      </c>
      <c r="X8">
        <v>172</v>
      </c>
      <c r="Y8">
        <v>172</v>
      </c>
      <c r="Z8">
        <v>156</v>
      </c>
      <c r="AA8">
        <v>187</v>
      </c>
      <c r="AB8">
        <v>187</v>
      </c>
      <c r="AD8">
        <f t="shared" ref="AD8:AD13" si="12">B8-P8</f>
        <v>2246</v>
      </c>
      <c r="AE8">
        <f t="shared" si="0"/>
        <v>2980</v>
      </c>
      <c r="AF8">
        <f t="shared" si="1"/>
        <v>2356</v>
      </c>
      <c r="AG8">
        <f t="shared" si="2"/>
        <v>2465</v>
      </c>
      <c r="AH8">
        <f t="shared" si="3"/>
        <v>7129</v>
      </c>
      <c r="AI8">
        <f t="shared" si="4"/>
        <v>6195</v>
      </c>
      <c r="AJ8">
        <f t="shared" si="5"/>
        <v>7879</v>
      </c>
      <c r="AK8">
        <f t="shared" si="6"/>
        <v>7815</v>
      </c>
      <c r="AL8">
        <f t="shared" si="7"/>
        <v>7769</v>
      </c>
      <c r="AM8">
        <f t="shared" si="8"/>
        <v>5771</v>
      </c>
      <c r="AN8">
        <f t="shared" si="9"/>
        <v>7395</v>
      </c>
      <c r="AO8">
        <f t="shared" si="10"/>
        <v>6537</v>
      </c>
      <c r="AP8">
        <f t="shared" si="11"/>
        <v>8237</v>
      </c>
      <c r="AR8">
        <v>13478</v>
      </c>
      <c r="AS8">
        <v>14383</v>
      </c>
      <c r="AT8">
        <v>14477</v>
      </c>
      <c r="AU8">
        <v>16287</v>
      </c>
      <c r="AV8">
        <v>24181</v>
      </c>
      <c r="AW8">
        <v>48970</v>
      </c>
      <c r="AX8">
        <v>142744</v>
      </c>
      <c r="AY8">
        <v>17847</v>
      </c>
      <c r="AZ8">
        <v>20655</v>
      </c>
      <c r="BA8">
        <v>22730</v>
      </c>
      <c r="BB8">
        <v>19453</v>
      </c>
      <c r="BC8">
        <v>26365</v>
      </c>
      <c r="BD8">
        <v>49032</v>
      </c>
    </row>
    <row r="9" spans="1:56">
      <c r="A9" t="s">
        <v>2</v>
      </c>
      <c r="B9">
        <v>2355</v>
      </c>
      <c r="C9">
        <v>3104</v>
      </c>
      <c r="D9">
        <v>2512</v>
      </c>
      <c r="E9">
        <v>2652</v>
      </c>
      <c r="F9">
        <v>7332</v>
      </c>
      <c r="G9">
        <v>6412</v>
      </c>
      <c r="H9">
        <v>8143</v>
      </c>
      <c r="I9">
        <v>7956</v>
      </c>
      <c r="J9">
        <v>7878</v>
      </c>
      <c r="K9">
        <v>5960</v>
      </c>
      <c r="L9">
        <v>7597</v>
      </c>
      <c r="M9">
        <v>6708</v>
      </c>
      <c r="N9">
        <v>8424</v>
      </c>
      <c r="P9">
        <v>125</v>
      </c>
      <c r="Q9">
        <v>156</v>
      </c>
      <c r="R9">
        <v>156</v>
      </c>
      <c r="S9">
        <v>156</v>
      </c>
      <c r="T9">
        <v>156</v>
      </c>
      <c r="U9">
        <v>187</v>
      </c>
      <c r="V9">
        <v>250</v>
      </c>
      <c r="W9">
        <v>156</v>
      </c>
      <c r="X9">
        <v>172</v>
      </c>
      <c r="Y9">
        <v>187</v>
      </c>
      <c r="Z9">
        <v>171</v>
      </c>
      <c r="AA9">
        <v>172</v>
      </c>
      <c r="AB9">
        <v>187</v>
      </c>
      <c r="AD9">
        <f t="shared" si="12"/>
        <v>2230</v>
      </c>
      <c r="AE9">
        <f t="shared" si="0"/>
        <v>2948</v>
      </c>
      <c r="AF9">
        <f t="shared" si="1"/>
        <v>2356</v>
      </c>
      <c r="AG9">
        <f t="shared" si="2"/>
        <v>2496</v>
      </c>
      <c r="AH9">
        <f t="shared" si="3"/>
        <v>7176</v>
      </c>
      <c r="AI9">
        <f t="shared" si="4"/>
        <v>6225</v>
      </c>
      <c r="AJ9">
        <f t="shared" si="5"/>
        <v>7893</v>
      </c>
      <c r="AK9">
        <f t="shared" si="6"/>
        <v>7800</v>
      </c>
      <c r="AL9">
        <f t="shared" si="7"/>
        <v>7706</v>
      </c>
      <c r="AM9">
        <f t="shared" si="8"/>
        <v>5773</v>
      </c>
      <c r="AN9">
        <f t="shared" si="9"/>
        <v>7426</v>
      </c>
      <c r="AO9">
        <f t="shared" si="10"/>
        <v>6536</v>
      </c>
      <c r="AP9">
        <f t="shared" si="11"/>
        <v>8237</v>
      </c>
      <c r="AR9">
        <v>15771</v>
      </c>
      <c r="AS9">
        <v>16880</v>
      </c>
      <c r="AT9">
        <v>16957</v>
      </c>
      <c r="AU9">
        <v>16208</v>
      </c>
      <c r="AV9">
        <v>27301</v>
      </c>
      <c r="AW9">
        <v>40171</v>
      </c>
      <c r="AX9">
        <v>133227</v>
      </c>
      <c r="AY9">
        <v>20343</v>
      </c>
      <c r="AZ9">
        <v>21794</v>
      </c>
      <c r="BA9">
        <v>22808</v>
      </c>
      <c r="BB9">
        <v>22200</v>
      </c>
      <c r="BC9">
        <v>26427</v>
      </c>
      <c r="BD9">
        <v>37488</v>
      </c>
    </row>
    <row r="10" spans="1:56">
      <c r="A10" t="s">
        <v>3</v>
      </c>
      <c r="B10">
        <v>2356</v>
      </c>
      <c r="C10">
        <v>3104</v>
      </c>
      <c r="D10">
        <v>2512</v>
      </c>
      <c r="E10">
        <v>2636</v>
      </c>
      <c r="F10">
        <v>7270</v>
      </c>
      <c r="G10">
        <v>6443</v>
      </c>
      <c r="H10">
        <v>8034</v>
      </c>
      <c r="I10">
        <v>7988</v>
      </c>
      <c r="J10">
        <v>7878</v>
      </c>
      <c r="K10">
        <v>5913</v>
      </c>
      <c r="L10">
        <v>7613</v>
      </c>
      <c r="M10">
        <v>6662</v>
      </c>
      <c r="N10">
        <v>8424</v>
      </c>
      <c r="P10">
        <v>124</v>
      </c>
      <c r="Q10">
        <v>140</v>
      </c>
      <c r="R10">
        <v>156</v>
      </c>
      <c r="S10">
        <v>140</v>
      </c>
      <c r="T10">
        <v>171</v>
      </c>
      <c r="U10">
        <v>203</v>
      </c>
      <c r="V10">
        <v>249</v>
      </c>
      <c r="W10">
        <v>156</v>
      </c>
      <c r="X10">
        <v>171</v>
      </c>
      <c r="Y10">
        <v>187</v>
      </c>
      <c r="Z10">
        <v>156</v>
      </c>
      <c r="AA10">
        <v>172</v>
      </c>
      <c r="AB10">
        <v>187</v>
      </c>
      <c r="AD10">
        <f t="shared" si="12"/>
        <v>2232</v>
      </c>
      <c r="AE10">
        <f t="shared" si="0"/>
        <v>2964</v>
      </c>
      <c r="AF10">
        <f t="shared" si="1"/>
        <v>2356</v>
      </c>
      <c r="AG10">
        <f t="shared" si="2"/>
        <v>2496</v>
      </c>
      <c r="AH10">
        <f t="shared" si="3"/>
        <v>7099</v>
      </c>
      <c r="AI10">
        <f t="shared" si="4"/>
        <v>6240</v>
      </c>
      <c r="AJ10">
        <f t="shared" si="5"/>
        <v>7785</v>
      </c>
      <c r="AK10">
        <f t="shared" si="6"/>
        <v>7832</v>
      </c>
      <c r="AL10">
        <f t="shared" si="7"/>
        <v>7707</v>
      </c>
      <c r="AM10">
        <f t="shared" si="8"/>
        <v>5726</v>
      </c>
      <c r="AN10">
        <f t="shared" si="9"/>
        <v>7457</v>
      </c>
      <c r="AO10">
        <f t="shared" si="10"/>
        <v>6490</v>
      </c>
      <c r="AP10">
        <f t="shared" si="11"/>
        <v>8237</v>
      </c>
      <c r="AR10">
        <v>15803</v>
      </c>
      <c r="AS10">
        <v>16879</v>
      </c>
      <c r="AT10">
        <v>17020</v>
      </c>
      <c r="AU10">
        <v>16287</v>
      </c>
      <c r="AV10">
        <v>27348</v>
      </c>
      <c r="AW10">
        <v>49984</v>
      </c>
      <c r="AX10">
        <v>202431</v>
      </c>
      <c r="AY10">
        <v>20436</v>
      </c>
      <c r="AZ10">
        <v>21809</v>
      </c>
      <c r="BA10">
        <v>37114</v>
      </c>
      <c r="BB10">
        <v>22246</v>
      </c>
      <c r="BC10">
        <v>25038</v>
      </c>
      <c r="BD10">
        <v>57097</v>
      </c>
    </row>
    <row r="11" spans="1:56">
      <c r="A11" t="s">
        <v>4</v>
      </c>
      <c r="B11">
        <v>2356</v>
      </c>
      <c r="C11">
        <v>3105</v>
      </c>
      <c r="D11">
        <v>2512</v>
      </c>
      <c r="E11">
        <v>2621</v>
      </c>
      <c r="F11">
        <v>7239</v>
      </c>
      <c r="G11">
        <v>6397</v>
      </c>
      <c r="H11">
        <v>8112</v>
      </c>
      <c r="I11">
        <v>7940</v>
      </c>
      <c r="J11">
        <v>7879</v>
      </c>
      <c r="K11">
        <v>5913</v>
      </c>
      <c r="L11">
        <v>7597</v>
      </c>
      <c r="M11">
        <v>6693</v>
      </c>
      <c r="N11">
        <v>8409</v>
      </c>
      <c r="P11">
        <v>124</v>
      </c>
      <c r="Q11">
        <v>156</v>
      </c>
      <c r="R11">
        <v>156</v>
      </c>
      <c r="S11">
        <v>141</v>
      </c>
      <c r="T11">
        <v>156</v>
      </c>
      <c r="U11">
        <v>187</v>
      </c>
      <c r="V11">
        <v>250</v>
      </c>
      <c r="W11">
        <v>156</v>
      </c>
      <c r="X11">
        <v>171</v>
      </c>
      <c r="Y11">
        <v>187</v>
      </c>
      <c r="Z11">
        <v>156</v>
      </c>
      <c r="AA11">
        <v>172</v>
      </c>
      <c r="AB11">
        <v>172</v>
      </c>
      <c r="AD11">
        <f t="shared" si="12"/>
        <v>2232</v>
      </c>
      <c r="AE11">
        <f t="shared" si="0"/>
        <v>2949</v>
      </c>
      <c r="AF11">
        <f t="shared" si="1"/>
        <v>2356</v>
      </c>
      <c r="AG11">
        <f t="shared" si="2"/>
        <v>2480</v>
      </c>
      <c r="AH11">
        <f t="shared" si="3"/>
        <v>7083</v>
      </c>
      <c r="AI11">
        <f t="shared" si="4"/>
        <v>6210</v>
      </c>
      <c r="AJ11">
        <f t="shared" si="5"/>
        <v>7862</v>
      </c>
      <c r="AK11">
        <f t="shared" si="6"/>
        <v>7784</v>
      </c>
      <c r="AL11">
        <f t="shared" si="7"/>
        <v>7708</v>
      </c>
      <c r="AM11">
        <f t="shared" si="8"/>
        <v>5726</v>
      </c>
      <c r="AN11">
        <f t="shared" si="9"/>
        <v>7441</v>
      </c>
      <c r="AO11">
        <f t="shared" si="10"/>
        <v>6521</v>
      </c>
      <c r="AP11">
        <f t="shared" si="11"/>
        <v>8237</v>
      </c>
      <c r="AR11">
        <v>13478</v>
      </c>
      <c r="AS11">
        <v>14383</v>
      </c>
      <c r="AT11">
        <v>14477</v>
      </c>
      <c r="AU11">
        <v>15101</v>
      </c>
      <c r="AV11">
        <v>24181</v>
      </c>
      <c r="AW11">
        <v>48970</v>
      </c>
      <c r="AX11">
        <v>142744</v>
      </c>
      <c r="AY11">
        <v>17847</v>
      </c>
      <c r="AZ11">
        <v>20655</v>
      </c>
      <c r="BA11">
        <v>22730</v>
      </c>
      <c r="BB11">
        <v>19453</v>
      </c>
      <c r="BC11">
        <v>25038</v>
      </c>
      <c r="BD11">
        <v>49032</v>
      </c>
    </row>
    <row r="12" spans="1:56">
      <c r="A12" t="s">
        <v>31</v>
      </c>
      <c r="B12">
        <v>2356</v>
      </c>
      <c r="C12">
        <v>3105</v>
      </c>
      <c r="D12">
        <v>2512</v>
      </c>
      <c r="E12">
        <v>2621</v>
      </c>
      <c r="F12">
        <v>7270</v>
      </c>
      <c r="G12">
        <v>6490</v>
      </c>
      <c r="H12">
        <v>8128</v>
      </c>
      <c r="I12">
        <v>7956</v>
      </c>
      <c r="J12">
        <v>7941</v>
      </c>
      <c r="K12">
        <v>5912</v>
      </c>
      <c r="L12">
        <v>7566</v>
      </c>
      <c r="M12">
        <v>6755</v>
      </c>
      <c r="N12">
        <v>8408</v>
      </c>
      <c r="P12">
        <v>125</v>
      </c>
      <c r="Q12">
        <v>156</v>
      </c>
      <c r="R12">
        <v>156</v>
      </c>
      <c r="S12">
        <v>140</v>
      </c>
      <c r="T12">
        <v>156</v>
      </c>
      <c r="U12">
        <v>187</v>
      </c>
      <c r="V12">
        <v>250</v>
      </c>
      <c r="W12">
        <v>156</v>
      </c>
      <c r="X12">
        <v>172</v>
      </c>
      <c r="Y12">
        <v>188</v>
      </c>
      <c r="Z12">
        <v>156</v>
      </c>
      <c r="AA12">
        <v>172</v>
      </c>
      <c r="AB12">
        <v>187</v>
      </c>
      <c r="AD12">
        <f t="shared" si="12"/>
        <v>2231</v>
      </c>
      <c r="AE12">
        <f t="shared" si="0"/>
        <v>2949</v>
      </c>
      <c r="AF12">
        <f t="shared" si="1"/>
        <v>2356</v>
      </c>
      <c r="AG12">
        <f t="shared" si="2"/>
        <v>2481</v>
      </c>
      <c r="AH12">
        <f t="shared" si="3"/>
        <v>7114</v>
      </c>
      <c r="AI12">
        <f t="shared" si="4"/>
        <v>6303</v>
      </c>
      <c r="AJ12">
        <f t="shared" si="5"/>
        <v>7878</v>
      </c>
      <c r="AK12">
        <f t="shared" si="6"/>
        <v>7800</v>
      </c>
      <c r="AL12">
        <f t="shared" si="7"/>
        <v>7769</v>
      </c>
      <c r="AM12">
        <f t="shared" si="8"/>
        <v>5724</v>
      </c>
      <c r="AN12">
        <f t="shared" si="9"/>
        <v>7410</v>
      </c>
      <c r="AO12">
        <f t="shared" si="10"/>
        <v>6583</v>
      </c>
      <c r="AP12">
        <f t="shared" si="11"/>
        <v>8221</v>
      </c>
      <c r="AR12">
        <v>15771</v>
      </c>
      <c r="AS12">
        <v>16880</v>
      </c>
      <c r="AT12">
        <v>16957</v>
      </c>
      <c r="AU12">
        <v>16208</v>
      </c>
      <c r="AV12">
        <v>27301</v>
      </c>
      <c r="AW12">
        <v>40171</v>
      </c>
      <c r="AX12">
        <v>133227</v>
      </c>
      <c r="AY12">
        <v>20343</v>
      </c>
      <c r="AZ12">
        <v>21794</v>
      </c>
      <c r="BA12">
        <v>22808</v>
      </c>
      <c r="BB12">
        <v>22200</v>
      </c>
      <c r="BC12">
        <v>26365</v>
      </c>
      <c r="BD12">
        <v>37488</v>
      </c>
    </row>
    <row r="13" spans="1:56">
      <c r="A13" t="s">
        <v>32</v>
      </c>
      <c r="B13">
        <v>2356</v>
      </c>
      <c r="C13">
        <v>3104</v>
      </c>
      <c r="D13">
        <v>2527</v>
      </c>
      <c r="E13">
        <v>2621</v>
      </c>
      <c r="F13">
        <v>7301</v>
      </c>
      <c r="G13">
        <v>6411</v>
      </c>
      <c r="H13">
        <v>8096</v>
      </c>
      <c r="I13">
        <v>7987</v>
      </c>
      <c r="J13">
        <v>7847</v>
      </c>
      <c r="K13">
        <v>5944</v>
      </c>
      <c r="L13">
        <v>7582</v>
      </c>
      <c r="M13">
        <v>6739</v>
      </c>
      <c r="N13">
        <v>8439</v>
      </c>
      <c r="P13">
        <v>124</v>
      </c>
      <c r="Q13">
        <v>141</v>
      </c>
      <c r="R13">
        <v>141</v>
      </c>
      <c r="S13">
        <v>156</v>
      </c>
      <c r="T13">
        <v>156</v>
      </c>
      <c r="U13">
        <v>188</v>
      </c>
      <c r="V13">
        <v>250</v>
      </c>
      <c r="W13">
        <v>156</v>
      </c>
      <c r="X13">
        <v>172</v>
      </c>
      <c r="Y13">
        <v>171</v>
      </c>
      <c r="Z13">
        <v>156</v>
      </c>
      <c r="AA13">
        <v>171</v>
      </c>
      <c r="AB13">
        <v>171</v>
      </c>
      <c r="AD13">
        <f t="shared" si="12"/>
        <v>2232</v>
      </c>
      <c r="AE13">
        <f t="shared" si="0"/>
        <v>2963</v>
      </c>
      <c r="AF13">
        <f t="shared" si="1"/>
        <v>2386</v>
      </c>
      <c r="AG13">
        <f t="shared" si="2"/>
        <v>2465</v>
      </c>
      <c r="AH13">
        <f t="shared" si="3"/>
        <v>7145</v>
      </c>
      <c r="AI13">
        <f t="shared" si="4"/>
        <v>6223</v>
      </c>
      <c r="AJ13">
        <f t="shared" si="5"/>
        <v>7846</v>
      </c>
      <c r="AK13">
        <f t="shared" si="6"/>
        <v>7831</v>
      </c>
      <c r="AL13">
        <f t="shared" si="7"/>
        <v>7675</v>
      </c>
      <c r="AM13">
        <f t="shared" si="8"/>
        <v>5773</v>
      </c>
      <c r="AN13">
        <f t="shared" si="9"/>
        <v>7426</v>
      </c>
      <c r="AO13">
        <f t="shared" si="10"/>
        <v>6568</v>
      </c>
      <c r="AP13">
        <f t="shared" si="11"/>
        <v>8268</v>
      </c>
      <c r="AR13">
        <v>15803</v>
      </c>
      <c r="AS13">
        <v>16879</v>
      </c>
      <c r="AT13">
        <v>17020</v>
      </c>
      <c r="AU13">
        <v>16287</v>
      </c>
      <c r="AV13">
        <v>27348</v>
      </c>
      <c r="AW13">
        <v>48970</v>
      </c>
      <c r="AX13">
        <v>142744</v>
      </c>
      <c r="AY13">
        <v>20436</v>
      </c>
      <c r="AZ13">
        <v>21809</v>
      </c>
      <c r="BA13">
        <v>22730</v>
      </c>
      <c r="BB13">
        <v>22246</v>
      </c>
      <c r="BC13">
        <v>26427</v>
      </c>
      <c r="BD13">
        <v>49032</v>
      </c>
    </row>
    <row r="14" spans="1:56">
      <c r="A14" t="s">
        <v>5</v>
      </c>
      <c r="B14">
        <f t="shared" ref="B14:E14" si="13">(SUM(B7:B13) -MAX(B7:B13))/((COUNT(B7:B13)-1)*1000)</f>
        <v>2.3583333333333334</v>
      </c>
      <c r="C14">
        <f t="shared" si="13"/>
        <v>3.1070000000000002</v>
      </c>
      <c r="D14">
        <f t="shared" si="13"/>
        <v>2.5145</v>
      </c>
      <c r="E14">
        <f t="shared" si="13"/>
        <v>2.6286666666666667</v>
      </c>
      <c r="F14">
        <f t="shared" ref="F14" si="14">(SUM(F7:F13) -MAX(F7:F13))/((COUNT(F7:F13)-1)*1000)</f>
        <v>7.2854999999999999</v>
      </c>
      <c r="G14">
        <f>(SUM(G7:G13) -MAX(G7:G13))/((COUNT(G7:G13)-1)*1000)</f>
        <v>6.4249999999999998</v>
      </c>
      <c r="H14">
        <f t="shared" ref="H14" si="15">(SUM(H7:H13) -MAX(H7:H13))/((COUNT(H7:H13)-1)*1000)</f>
        <v>8.1068333333333324</v>
      </c>
      <c r="I14">
        <f t="shared" ref="I14" si="16">(SUM(I7:I13) -MAX(I7:I13))/((COUNT(I7:I13)-1)*1000)</f>
        <v>7.9690000000000003</v>
      </c>
      <c r="J14">
        <f t="shared" ref="J14:K14" si="17">(SUM(J7:J13) -MAX(J7:J13))/((COUNT(J7:J13)-1)*1000)</f>
        <v>7.8940000000000001</v>
      </c>
      <c r="K14">
        <f t="shared" si="17"/>
        <v>5.9308333333333332</v>
      </c>
      <c r="L14">
        <f t="shared" ref="L14" si="18">(SUM(L7:L13) -MAX(L7:L13))/((COUNT(L7:L13)-1)*1000)</f>
        <v>7.5843333333333334</v>
      </c>
      <c r="M14">
        <f t="shared" ref="M14:N14" si="19">(SUM(M7:M13) -MAX(M7:M13))/((COUNT(M7:M13)-1)*1000)</f>
        <v>6.7134999999999998</v>
      </c>
      <c r="N14">
        <f t="shared" si="19"/>
        <v>8.4213333333333331</v>
      </c>
      <c r="P14">
        <f>(SUM(P7:P13) -MAX(P7:P13))/((COUNT(P7:P13)-1)*1000)</f>
        <v>0.1245</v>
      </c>
      <c r="Q14">
        <f t="shared" ref="Q14" si="20">(SUM(Q7:Q13) -MAX(Q7:Q13))/((COUNT(Q7:Q13)-1)*1000)</f>
        <v>0.14816666666666667</v>
      </c>
      <c r="R14">
        <f t="shared" ref="R14" si="21">(SUM(R7:R13) -MAX(R7:R13))/((COUNT(R7:R13)-1)*1000)</f>
        <v>0.1535</v>
      </c>
      <c r="S14">
        <f t="shared" ref="S14:Y14" si="22">(SUM(S7:S13) -MAX(S7:S13))/((COUNT(S7:S13)-1)*1000)</f>
        <v>0.14816666666666667</v>
      </c>
      <c r="T14">
        <f t="shared" si="22"/>
        <v>0.16116666666666668</v>
      </c>
      <c r="U14">
        <f t="shared" si="22"/>
        <v>0.19233333333333333</v>
      </c>
      <c r="V14">
        <f t="shared" si="22"/>
        <v>0.24966666666666668</v>
      </c>
      <c r="W14">
        <f t="shared" si="22"/>
        <v>0.15866666666666668</v>
      </c>
      <c r="X14">
        <f t="shared" si="22"/>
        <v>0.17166666666666666</v>
      </c>
      <c r="Y14">
        <f t="shared" si="22"/>
        <v>0.182</v>
      </c>
      <c r="Z14">
        <f t="shared" ref="Z14:AB14" si="23">(SUM(Z7:Z13) -MAX(Z7:Z13))/((COUNT(Z7:Z13)-1)*1000)</f>
        <v>0.1585</v>
      </c>
      <c r="AA14">
        <f t="shared" si="23"/>
        <v>0.17433333333333334</v>
      </c>
      <c r="AB14">
        <f t="shared" si="23"/>
        <v>0.18183333333333335</v>
      </c>
      <c r="AD14">
        <f>(SUM(AD7:AD13) -MAX(AD7:AD13))/((COUNT(AD7:AD13)-1)*1000)</f>
        <v>2.2338333333333331</v>
      </c>
      <c r="AE14">
        <f t="shared" ref="AE14" si="24">(SUM(AE7:AE13) -MAX(AE7:AE13))/((COUNT(AE7:AE13)-1)*1000)</f>
        <v>2.9588333333333332</v>
      </c>
      <c r="AF14">
        <f t="shared" ref="AF14" si="25">(SUM(AF7:AF13) -MAX(AF7:AF13))/((COUNT(AF7:AF13)-1)*1000)</f>
        <v>2.3610000000000002</v>
      </c>
      <c r="AG14">
        <f t="shared" ref="AG14:AM14" si="26">(SUM(AG7:AG13) -MAX(AG7:AG13))/((COUNT(AG7:AG13)-1)*1000)</f>
        <v>2.4805000000000001</v>
      </c>
      <c r="AH14">
        <f t="shared" si="26"/>
        <v>7.1243333333333334</v>
      </c>
      <c r="AI14">
        <f t="shared" si="26"/>
        <v>6.2326666666666668</v>
      </c>
      <c r="AJ14">
        <f t="shared" si="26"/>
        <v>7.8571666666666671</v>
      </c>
      <c r="AK14">
        <f t="shared" si="26"/>
        <v>7.8103333333333333</v>
      </c>
      <c r="AL14">
        <f t="shared" si="26"/>
        <v>7.7223333333333333</v>
      </c>
      <c r="AM14">
        <f t="shared" si="26"/>
        <v>5.7488333333333337</v>
      </c>
      <c r="AN14">
        <f t="shared" ref="AN14:AP14" si="27">(SUM(AN7:AN13) -MAX(AN7:AN13))/((COUNT(AN7:AN13)-1)*1000)</f>
        <v>7.4258333333333333</v>
      </c>
      <c r="AO14">
        <f t="shared" si="27"/>
        <v>6.5391666666666666</v>
      </c>
      <c r="AP14">
        <f t="shared" si="27"/>
        <v>8.2394999999999996</v>
      </c>
      <c r="AR14">
        <f>(SUM(AR7:AR13) -MAX(AR7:AR13))/((COUNT(AR7:AR13)-1)*1000)</f>
        <v>14.629833333333334</v>
      </c>
      <c r="AS14">
        <f t="shared" ref="AS14" si="28">(SUM(AS7:AS13) -MAX(AS7:AS13))/((COUNT(AS7:AS13)-1)*1000)</f>
        <v>15.631166666666667</v>
      </c>
      <c r="AT14">
        <f t="shared" ref="AT14" si="29">(SUM(AT7:AT13) -MAX(AT7:AT13))/((COUNT(AT7:AT13)-1)*1000)</f>
        <v>15.727499999999999</v>
      </c>
      <c r="AU14">
        <f t="shared" ref="AU14:BA14" si="30">(SUM(AU7:AU13) -MAX(AU7:AU13))/((COUNT(AU7:AU13)-1)*1000)</f>
        <v>15.865333333333334</v>
      </c>
      <c r="AV14">
        <f t="shared" si="30"/>
        <v>25.748833333333334</v>
      </c>
      <c r="AW14">
        <f t="shared" si="30"/>
        <v>46.206000000000003</v>
      </c>
      <c r="AX14">
        <f t="shared" si="30"/>
        <v>149.51949999999999</v>
      </c>
      <c r="AY14">
        <f t="shared" si="30"/>
        <v>19.110499999999998</v>
      </c>
      <c r="AZ14">
        <f t="shared" si="30"/>
        <v>21.227</v>
      </c>
      <c r="BA14">
        <f t="shared" si="30"/>
        <v>25.153333333333332</v>
      </c>
      <c r="BB14">
        <f>(SUM(BB7:BB13) -MAX(BB7:BB13))/((COUNT(BB7:BB13)-1)*1000)</f>
        <v>20.834166666666668</v>
      </c>
      <c r="BC14">
        <f t="shared" ref="BC14" si="31">(SUM(BC7:BC13) -MAX(BC7:BC13))/((COUNT(BC7:BC13)-1)*1000)</f>
        <v>25.711833333333335</v>
      </c>
      <c r="BD14">
        <f t="shared" ref="BD14" si="32">(SUM(BD7:BD13) -MAX(BD7:BD13))/((COUNT(BD7:BD13)-1)*1000)</f>
        <v>46.528166666666664</v>
      </c>
    </row>
    <row r="15" spans="1:56">
      <c r="A15" t="s">
        <v>7</v>
      </c>
      <c r="B15">
        <f>STDEV(B8:B13)/1000</f>
        <v>6.2182527020392406E-3</v>
      </c>
      <c r="C15">
        <f t="shared" ref="C15:F15" si="33">STDEV(C8:C13)/1000</f>
        <v>6.3874877690685249E-3</v>
      </c>
      <c r="D15">
        <f t="shared" si="33"/>
        <v>6.1237243569579455E-3</v>
      </c>
      <c r="E15">
        <f t="shared" si="33"/>
        <v>1.2909944487377294E-2</v>
      </c>
      <c r="F15">
        <f t="shared" si="33"/>
        <v>3.2513074293274699E-2</v>
      </c>
      <c r="G15">
        <f>STDEV(G8:G13)/1000</f>
        <v>3.6005555126952291E-2</v>
      </c>
      <c r="H15">
        <f t="shared" ref="H15:K15" si="34">STDEV(H8:H13)/1000</f>
        <v>3.9122457318817444E-2</v>
      </c>
      <c r="I15">
        <f t="shared" si="34"/>
        <v>2.0918890983988612E-2</v>
      </c>
      <c r="J15">
        <f t="shared" si="34"/>
        <v>3.8377076491051272E-2</v>
      </c>
      <c r="K15">
        <f t="shared" si="34"/>
        <v>2.0798237104828223E-2</v>
      </c>
      <c r="L15">
        <f t="shared" ref="L15:N15" si="35">STDEV(L8:L13)/1000</f>
        <v>2.2783034623655669E-2</v>
      </c>
      <c r="M15">
        <f t="shared" si="35"/>
        <v>3.3423045941386016E-2</v>
      </c>
      <c r="N15">
        <f t="shared" si="35"/>
        <v>1.1518101695274835E-2</v>
      </c>
      <c r="P15">
        <f>STDEV(P8:P13)/1000</f>
        <v>5.4772255750516611E-4</v>
      </c>
      <c r="Q15">
        <f t="shared" ref="Q15:Y15" si="36">STDEV(Q8:Q13)/1000</f>
        <v>8.5887523346914948E-3</v>
      </c>
      <c r="R15">
        <f t="shared" si="36"/>
        <v>6.1237243569579455E-3</v>
      </c>
      <c r="S15">
        <f t="shared" si="36"/>
        <v>8.5887523346914948E-3</v>
      </c>
      <c r="T15">
        <f t="shared" si="36"/>
        <v>8.0104098937987325E-3</v>
      </c>
      <c r="U15">
        <f t="shared" si="36"/>
        <v>7.8909230554269506E-3</v>
      </c>
      <c r="V15">
        <f t="shared" si="36"/>
        <v>5.1639777949056501E-4</v>
      </c>
      <c r="W15">
        <f t="shared" si="36"/>
        <v>6.5319726474219568E-3</v>
      </c>
      <c r="X15">
        <f t="shared" si="36"/>
        <v>5.1639777949620091E-4</v>
      </c>
      <c r="Y15">
        <f t="shared" si="36"/>
        <v>8.1486195149853453E-3</v>
      </c>
      <c r="Z15">
        <f t="shared" ref="Z15:AB15" si="37">STDEV(Z8:Z13)/1000</f>
        <v>6.1237243569579455E-3</v>
      </c>
      <c r="AA15">
        <f t="shared" si="37"/>
        <v>6.218252702059366E-3</v>
      </c>
      <c r="AB15">
        <f t="shared" si="37"/>
        <v>8.0104098937987325E-3</v>
      </c>
      <c r="AD15">
        <f>STDEV(AD8:AD13)/1000</f>
        <v>6.0138728508689239E-3</v>
      </c>
      <c r="AE15">
        <f t="shared" ref="AE15:AM15" si="38">STDEV(AE8:AE13)/1000</f>
        <v>1.2671490309634593E-2</v>
      </c>
      <c r="AF15">
        <f t="shared" si="38"/>
        <v>1.2247448713915891E-2</v>
      </c>
      <c r="AG15">
        <f t="shared" si="38"/>
        <v>1.386722755275906E-2</v>
      </c>
      <c r="AH15">
        <f t="shared" si="38"/>
        <v>3.3392613953727744E-2</v>
      </c>
      <c r="AI15">
        <f t="shared" si="38"/>
        <v>3.7643945949762676E-2</v>
      </c>
      <c r="AJ15">
        <f t="shared" si="38"/>
        <v>3.8860862917113569E-2</v>
      </c>
      <c r="AK15">
        <f t="shared" si="38"/>
        <v>1.9106717841185936E-2</v>
      </c>
      <c r="AL15">
        <f t="shared" si="38"/>
        <v>3.821866908544426E-2</v>
      </c>
      <c r="AM15">
        <f t="shared" si="38"/>
        <v>2.5763669510934454E-2</v>
      </c>
      <c r="AN15">
        <f t="shared" ref="AN15:AP15" si="39">STDEV(AN8:AN13)/1000</f>
        <v>2.1921830823694744E-2</v>
      </c>
      <c r="AO15">
        <f t="shared" si="39"/>
        <v>3.3210941972016593E-2</v>
      </c>
      <c r="AP15">
        <f t="shared" si="39"/>
        <v>1.5359036428109676E-2</v>
      </c>
      <c r="AR15">
        <f>STDEV(AR8:AR13)/1000</f>
        <v>1.1924483496850717</v>
      </c>
      <c r="AS15">
        <f t="shared" ref="AS15:BA15" si="40">STDEV(AS8:AS13)/1000</f>
        <v>1.2891871340758294</v>
      </c>
      <c r="AT15">
        <f t="shared" si="40"/>
        <v>1.2972390167839738</v>
      </c>
      <c r="AU15">
        <f t="shared" si="40"/>
        <v>0.47286826918286656</v>
      </c>
      <c r="AV15">
        <f t="shared" si="40"/>
        <v>1.6234324952601813</v>
      </c>
      <c r="AW15">
        <f t="shared" si="40"/>
        <v>4.691158108612413</v>
      </c>
      <c r="AX15">
        <f t="shared" si="40"/>
        <v>26.337198581094384</v>
      </c>
      <c r="AY15">
        <f t="shared" si="40"/>
        <v>1.3135999390986588</v>
      </c>
      <c r="AZ15">
        <f t="shared" si="40"/>
        <v>0.59208805651414598</v>
      </c>
      <c r="BA15">
        <f t="shared" si="40"/>
        <v>5.8596306595780163</v>
      </c>
      <c r="BB15">
        <f>STDEV(BB8:BB13)/1000</f>
        <v>1.4305697699401796</v>
      </c>
      <c r="BC15">
        <f t="shared" ref="BC15:BD15" si="41">STDEV(BC8:BC13)/1000</f>
        <v>0.70181612026705298</v>
      </c>
      <c r="BD15">
        <f t="shared" si="41"/>
        <v>7.6675551361999856</v>
      </c>
    </row>
    <row r="16" spans="1:56">
      <c r="A16" t="s">
        <v>8</v>
      </c>
      <c r="B16">
        <f>CONFIDENCE(0.05,B15,5)/2</f>
        <v>2.7252193281693139E-3</v>
      </c>
      <c r="C16">
        <f t="shared" ref="C16:F16" si="42">CONFIDENCE(0.05,C15,5)/2</f>
        <v>2.799388503622892E-3</v>
      </c>
      <c r="D16">
        <f t="shared" si="42"/>
        <v>2.6837912155757357E-3</v>
      </c>
      <c r="E16">
        <f t="shared" si="42"/>
        <v>5.6579286703892888E-3</v>
      </c>
      <c r="F16">
        <f t="shared" si="42"/>
        <v>1.424922124074814E-2</v>
      </c>
      <c r="G16">
        <f>CONFIDENCE(0.05,G15,5)/2</f>
        <v>1.5779840327373191E-2</v>
      </c>
      <c r="H16">
        <f t="shared" ref="H16:K16" si="43">CONFIDENCE(0.05,H15,5)/2</f>
        <v>1.714585784134437E-2</v>
      </c>
      <c r="I16">
        <f t="shared" si="43"/>
        <v>9.1679397356651208E-3</v>
      </c>
      <c r="J16">
        <f t="shared" si="43"/>
        <v>1.6819186292919029E-2</v>
      </c>
      <c r="K16">
        <f t="shared" si="43"/>
        <v>9.1150618133190794E-3</v>
      </c>
      <c r="L16">
        <f t="shared" ref="L16:N16" si="44">CONFIDENCE(0.05,L15,5)/2</f>
        <v>9.984921695185443E-3</v>
      </c>
      <c r="M16">
        <f t="shared" si="44"/>
        <v>1.4648026571175737E-2</v>
      </c>
      <c r="N16">
        <f t="shared" si="44"/>
        <v>5.0479378802808644E-3</v>
      </c>
      <c r="P16">
        <f>CONFIDENCE(0.05,P15,5)/2</f>
        <v>2.4004558381776546E-4</v>
      </c>
      <c r="Q16">
        <f t="shared" ref="Q16:Y16" si="45">CONFIDENCE(0.05,Q15,5)/2</f>
        <v>3.7641175083934176E-3</v>
      </c>
      <c r="R16">
        <f t="shared" si="45"/>
        <v>2.6837912155757357E-3</v>
      </c>
      <c r="S16">
        <f t="shared" si="45"/>
        <v>3.7641175083934176E-3</v>
      </c>
      <c r="T16">
        <f t="shared" si="45"/>
        <v>3.5106524155861249E-3</v>
      </c>
      <c r="U16">
        <f t="shared" si="45"/>
        <v>3.4582859620185757E-3</v>
      </c>
      <c r="V16">
        <f t="shared" si="45"/>
        <v>2.263171468135877E-4</v>
      </c>
      <c r="W16">
        <f t="shared" si="45"/>
        <v>2.8627106299475165E-3</v>
      </c>
      <c r="X16">
        <f t="shared" si="45"/>
        <v>2.2631714681605768E-4</v>
      </c>
      <c r="Y16">
        <f t="shared" si="45"/>
        <v>3.5712243397334332E-3</v>
      </c>
      <c r="Z16">
        <f t="shared" ref="Z16:AB16" si="46">CONFIDENCE(0.05,Z15,5)/2</f>
        <v>2.6837912155757357E-3</v>
      </c>
      <c r="AA16">
        <f t="shared" si="46"/>
        <v>2.7252193281781341E-3</v>
      </c>
      <c r="AB16">
        <f t="shared" si="46"/>
        <v>3.5106524155861249E-3</v>
      </c>
      <c r="AD16">
        <f>CONFIDENCE(0.05,AD15,5)/2</f>
        <v>2.6356475549740794E-3</v>
      </c>
      <c r="AE16">
        <f t="shared" ref="AE16:AM16" si="47">CONFIDENCE(0.05,AE15,5)/2</f>
        <v>5.5534234395462232E-3</v>
      </c>
      <c r="AF16">
        <f t="shared" si="47"/>
        <v>5.3675824311514714E-3</v>
      </c>
      <c r="AG16">
        <f t="shared" si="47"/>
        <v>6.0774687626489708E-3</v>
      </c>
      <c r="AH16">
        <f t="shared" si="47"/>
        <v>1.4634689409607224E-2</v>
      </c>
      <c r="AI16">
        <f t="shared" si="47"/>
        <v>1.6497883570606747E-2</v>
      </c>
      <c r="AJ16">
        <f t="shared" si="47"/>
        <v>1.7031211146553326E-2</v>
      </c>
      <c r="AK16">
        <f t="shared" si="47"/>
        <v>8.3737344321180955E-3</v>
      </c>
      <c r="AL16">
        <f t="shared" si="47"/>
        <v>1.6749762462114629E-2</v>
      </c>
      <c r="AM16">
        <f t="shared" si="47"/>
        <v>1.129121852714984E-2</v>
      </c>
      <c r="AN16">
        <f t="shared" ref="AN16:AP16" si="48">CONFIDENCE(0.05,AN15,5)/2</f>
        <v>9.6074894238374654E-3</v>
      </c>
      <c r="AO16">
        <f t="shared" si="48"/>
        <v>1.4555069616126704E-2</v>
      </c>
      <c r="AP16">
        <f t="shared" si="48"/>
        <v>6.7312708153874782E-3</v>
      </c>
      <c r="AR16">
        <f>CONFIDENCE(0.05,AR15,5)/2</f>
        <v>0.52260392848615556</v>
      </c>
      <c r="AS16">
        <f t="shared" ref="AS16:BA16" si="49">CONFIDENCE(0.05,AS15,5)/2</f>
        <v>0.56500079101939404</v>
      </c>
      <c r="AT16">
        <f t="shared" si="49"/>
        <v>0.56852961936327762</v>
      </c>
      <c r="AU16">
        <f t="shared" si="49"/>
        <v>0.20723984833110853</v>
      </c>
      <c r="AV16">
        <f t="shared" si="49"/>
        <v>0.71148758760001662</v>
      </c>
      <c r="AW16">
        <f t="shared" si="49"/>
        <v>2.0559529118036917</v>
      </c>
      <c r="AX16">
        <f t="shared" si="49"/>
        <v>11.542574105985395</v>
      </c>
      <c r="AY16">
        <f t="shared" si="49"/>
        <v>0.57569997795999961</v>
      </c>
      <c r="AZ16">
        <f t="shared" si="49"/>
        <v>0.25948926377041487</v>
      </c>
      <c r="BA16">
        <f t="shared" si="49"/>
        <v>2.5680491762868765</v>
      </c>
      <c r="BB16">
        <f>CONFIDENCE(0.05,BB15,5)/2</f>
        <v>0.62696332461001092</v>
      </c>
      <c r="BC16">
        <f t="shared" ref="BC16:BD16" si="50">CONFIDENCE(0.05,BC15,5)/2</f>
        <v>0.30757882437703848</v>
      </c>
      <c r="BD16">
        <f t="shared" si="50"/>
        <v>3.3603924539965142</v>
      </c>
    </row>
    <row r="17" spans="1:56">
      <c r="A17" t="s">
        <v>13</v>
      </c>
      <c r="B17">
        <v>13</v>
      </c>
      <c r="C17">
        <v>13</v>
      </c>
      <c r="D17">
        <v>13</v>
      </c>
      <c r="E17">
        <v>13</v>
      </c>
      <c r="F17">
        <v>13</v>
      </c>
      <c r="G17">
        <v>13</v>
      </c>
      <c r="H17">
        <v>13</v>
      </c>
      <c r="I17">
        <v>13</v>
      </c>
      <c r="J17">
        <v>13</v>
      </c>
      <c r="K17">
        <v>13</v>
      </c>
      <c r="L17">
        <v>13</v>
      </c>
      <c r="M17">
        <v>13</v>
      </c>
      <c r="N17">
        <v>13</v>
      </c>
    </row>
    <row r="18" spans="1:56">
      <c r="A18" t="s">
        <v>10</v>
      </c>
      <c r="B18">
        <v>1440</v>
      </c>
      <c r="C18">
        <v>1570</v>
      </c>
      <c r="D18">
        <v>1540</v>
      </c>
      <c r="E18">
        <v>1490</v>
      </c>
      <c r="F18">
        <v>2260</v>
      </c>
      <c r="G18">
        <v>2700</v>
      </c>
      <c r="H18">
        <v>2970</v>
      </c>
      <c r="I18">
        <v>1830</v>
      </c>
      <c r="J18">
        <v>1880</v>
      </c>
      <c r="K18">
        <v>1790</v>
      </c>
      <c r="L18">
        <v>1830</v>
      </c>
      <c r="M18">
        <v>1880</v>
      </c>
      <c r="N18">
        <v>1790</v>
      </c>
      <c r="O18" t="s">
        <v>27</v>
      </c>
    </row>
    <row r="19" spans="1:56">
      <c r="A19" s="1" t="s">
        <v>48</v>
      </c>
      <c r="B19" s="1"/>
    </row>
    <row r="20" spans="1:56">
      <c r="A20" t="s">
        <v>62</v>
      </c>
      <c r="B20" s="1"/>
    </row>
    <row r="21" spans="1:56">
      <c r="A21" t="s">
        <v>43</v>
      </c>
      <c r="B21" t="s">
        <v>92</v>
      </c>
      <c r="P21" t="s">
        <v>28</v>
      </c>
      <c r="AD21" t="s">
        <v>29</v>
      </c>
      <c r="AR21" t="s">
        <v>30</v>
      </c>
    </row>
    <row r="23" spans="1:56">
      <c r="A23" t="s">
        <v>6</v>
      </c>
      <c r="B23" t="s">
        <v>35</v>
      </c>
      <c r="C23" t="s">
        <v>66</v>
      </c>
      <c r="F23" t="s">
        <v>68</v>
      </c>
      <c r="I23" t="s">
        <v>67</v>
      </c>
      <c r="L23" t="s">
        <v>90</v>
      </c>
      <c r="P23" t="s">
        <v>35</v>
      </c>
      <c r="Q23" t="s">
        <v>66</v>
      </c>
      <c r="T23" t="s">
        <v>68</v>
      </c>
      <c r="W23" t="s">
        <v>67</v>
      </c>
      <c r="Z23" t="s">
        <v>90</v>
      </c>
      <c r="AD23" t="s">
        <v>35</v>
      </c>
      <c r="AE23" t="s">
        <v>66</v>
      </c>
      <c r="AH23" t="s">
        <v>68</v>
      </c>
      <c r="AK23" t="s">
        <v>67</v>
      </c>
      <c r="AN23" t="s">
        <v>90</v>
      </c>
      <c r="AR23" t="s">
        <v>35</v>
      </c>
      <c r="AS23" t="s">
        <v>66</v>
      </c>
      <c r="AV23" t="s">
        <v>68</v>
      </c>
      <c r="AY23" t="s">
        <v>67</v>
      </c>
      <c r="BB23" t="s">
        <v>90</v>
      </c>
    </row>
    <row r="24" spans="1:56">
      <c r="C24">
        <v>2</v>
      </c>
      <c r="D24">
        <v>4</v>
      </c>
      <c r="E24">
        <v>6</v>
      </c>
      <c r="F24">
        <v>2</v>
      </c>
      <c r="G24">
        <v>4</v>
      </c>
      <c r="H24">
        <v>6</v>
      </c>
      <c r="I24">
        <v>2</v>
      </c>
      <c r="J24">
        <v>4</v>
      </c>
      <c r="K24">
        <v>6</v>
      </c>
      <c r="L24">
        <v>2</v>
      </c>
      <c r="M24">
        <v>4</v>
      </c>
      <c r="N24">
        <v>6</v>
      </c>
      <c r="Q24">
        <v>2</v>
      </c>
      <c r="R24">
        <v>4</v>
      </c>
      <c r="S24">
        <v>6</v>
      </c>
      <c r="T24">
        <v>2</v>
      </c>
      <c r="U24">
        <v>4</v>
      </c>
      <c r="V24">
        <v>6</v>
      </c>
      <c r="W24">
        <v>2</v>
      </c>
      <c r="X24">
        <v>4</v>
      </c>
      <c r="Y24">
        <v>6</v>
      </c>
      <c r="Z24">
        <v>2</v>
      </c>
      <c r="AA24">
        <v>4</v>
      </c>
      <c r="AB24">
        <v>6</v>
      </c>
      <c r="AE24">
        <v>2</v>
      </c>
      <c r="AF24">
        <v>4</v>
      </c>
      <c r="AG24">
        <v>6</v>
      </c>
      <c r="AH24">
        <v>2</v>
      </c>
      <c r="AI24">
        <v>4</v>
      </c>
      <c r="AJ24">
        <v>6</v>
      </c>
      <c r="AK24">
        <v>2</v>
      </c>
      <c r="AL24">
        <v>4</v>
      </c>
      <c r="AM24">
        <v>6</v>
      </c>
      <c r="AN24">
        <v>2</v>
      </c>
      <c r="AO24">
        <v>4</v>
      </c>
      <c r="AP24">
        <v>6</v>
      </c>
      <c r="AS24">
        <v>2</v>
      </c>
      <c r="AT24">
        <v>4</v>
      </c>
      <c r="AU24">
        <v>6</v>
      </c>
      <c r="AV24">
        <v>2</v>
      </c>
      <c r="AW24">
        <v>4</v>
      </c>
      <c r="AX24">
        <v>6</v>
      </c>
      <c r="AY24">
        <v>2</v>
      </c>
      <c r="AZ24">
        <v>4</v>
      </c>
      <c r="BA24">
        <v>6</v>
      </c>
      <c r="BB24">
        <v>2</v>
      </c>
      <c r="BC24">
        <v>4</v>
      </c>
      <c r="BD24">
        <v>6</v>
      </c>
    </row>
    <row r="25" spans="1:56">
      <c r="A25" t="s">
        <v>0</v>
      </c>
      <c r="B25">
        <v>287591</v>
      </c>
      <c r="C25">
        <v>9999</v>
      </c>
      <c r="D25">
        <v>1622</v>
      </c>
      <c r="E25">
        <v>32433</v>
      </c>
      <c r="F25">
        <v>231104</v>
      </c>
      <c r="G25">
        <v>81511</v>
      </c>
      <c r="H25">
        <v>46505</v>
      </c>
      <c r="I25">
        <v>231104</v>
      </c>
      <c r="J25">
        <v>80108</v>
      </c>
      <c r="K25">
        <v>1233102</v>
      </c>
      <c r="L25">
        <v>165926</v>
      </c>
      <c r="M25">
        <v>79749</v>
      </c>
      <c r="N25">
        <v>1241683</v>
      </c>
      <c r="P25">
        <v>390</v>
      </c>
      <c r="Q25">
        <v>436</v>
      </c>
      <c r="R25">
        <v>436</v>
      </c>
      <c r="S25">
        <v>437</v>
      </c>
      <c r="T25">
        <v>452</v>
      </c>
      <c r="U25">
        <v>562</v>
      </c>
      <c r="V25">
        <v>734</v>
      </c>
      <c r="W25">
        <v>436</v>
      </c>
      <c r="X25">
        <v>483</v>
      </c>
      <c r="Y25">
        <v>530</v>
      </c>
      <c r="Z25">
        <v>437</v>
      </c>
      <c r="AA25">
        <v>484</v>
      </c>
      <c r="AD25">
        <f>B25-P25</f>
        <v>287201</v>
      </c>
      <c r="AE25">
        <f t="shared" ref="AE25:AE31" si="51">C25-Q25</f>
        <v>9563</v>
      </c>
      <c r="AF25">
        <f t="shared" ref="AF25:AF31" si="52">D25-R25</f>
        <v>1186</v>
      </c>
      <c r="AG25">
        <f t="shared" ref="AG25:AG31" si="53">E25-S25</f>
        <v>31996</v>
      </c>
      <c r="AH25">
        <f t="shared" ref="AH25:AH31" si="54">F25-T25</f>
        <v>230652</v>
      </c>
      <c r="AI25">
        <f t="shared" ref="AI25:AI31" si="55">G25-U25</f>
        <v>80949</v>
      </c>
      <c r="AJ25">
        <f t="shared" ref="AJ25:AJ31" si="56">H25-V25</f>
        <v>45771</v>
      </c>
      <c r="AK25">
        <f t="shared" ref="AK25:AK31" si="57">I25-W25</f>
        <v>230668</v>
      </c>
      <c r="AL25">
        <f t="shared" ref="AL25:AL31" si="58">J25-X25</f>
        <v>79625</v>
      </c>
      <c r="AM25">
        <f t="shared" ref="AM25:AM31" si="59">K25-Y25</f>
        <v>1232572</v>
      </c>
      <c r="AN25">
        <f t="shared" ref="AN25:AN31" si="60">L25-Z25</f>
        <v>165489</v>
      </c>
      <c r="AO25">
        <f t="shared" ref="AO25:AO31" si="61">M25-AA25</f>
        <v>79265</v>
      </c>
      <c r="AP25">
        <f t="shared" ref="AP25:AP31" si="62">N25-AB25</f>
        <v>1241683</v>
      </c>
    </row>
    <row r="26" spans="1:56">
      <c r="A26" t="s">
        <v>1</v>
      </c>
      <c r="B26">
        <v>1810</v>
      </c>
      <c r="C26">
        <v>1092</v>
      </c>
      <c r="D26">
        <v>780</v>
      </c>
      <c r="E26">
        <v>656</v>
      </c>
      <c r="F26">
        <v>1542</v>
      </c>
      <c r="G26">
        <v>1311</v>
      </c>
      <c r="H26">
        <v>1653</v>
      </c>
      <c r="I26">
        <v>1342</v>
      </c>
      <c r="J26">
        <v>1155</v>
      </c>
      <c r="K26">
        <v>1139</v>
      </c>
      <c r="L26">
        <v>1326</v>
      </c>
      <c r="M26">
        <v>1170</v>
      </c>
      <c r="N26">
        <v>1123</v>
      </c>
      <c r="P26">
        <v>375</v>
      </c>
      <c r="Q26">
        <v>390</v>
      </c>
      <c r="R26">
        <v>405</v>
      </c>
      <c r="S26">
        <v>406</v>
      </c>
      <c r="T26">
        <v>515</v>
      </c>
      <c r="U26">
        <v>609</v>
      </c>
      <c r="V26">
        <v>811</v>
      </c>
      <c r="W26">
        <v>406</v>
      </c>
      <c r="X26">
        <v>453</v>
      </c>
      <c r="Y26">
        <v>499</v>
      </c>
      <c r="Z26">
        <v>390</v>
      </c>
      <c r="AA26">
        <v>468</v>
      </c>
      <c r="AD26">
        <f t="shared" ref="AD26:AD31" si="63">B26-P26</f>
        <v>1435</v>
      </c>
      <c r="AE26">
        <f t="shared" si="51"/>
        <v>702</v>
      </c>
      <c r="AF26">
        <f t="shared" si="52"/>
        <v>375</v>
      </c>
      <c r="AG26">
        <f t="shared" si="53"/>
        <v>250</v>
      </c>
      <c r="AH26">
        <f t="shared" si="54"/>
        <v>1027</v>
      </c>
      <c r="AI26">
        <f t="shared" si="55"/>
        <v>702</v>
      </c>
      <c r="AJ26">
        <f t="shared" si="56"/>
        <v>842</v>
      </c>
      <c r="AK26">
        <f t="shared" si="57"/>
        <v>936</v>
      </c>
      <c r="AL26">
        <f t="shared" si="58"/>
        <v>702</v>
      </c>
      <c r="AM26">
        <f t="shared" si="59"/>
        <v>640</v>
      </c>
      <c r="AN26">
        <f t="shared" si="60"/>
        <v>936</v>
      </c>
      <c r="AO26">
        <f t="shared" si="61"/>
        <v>702</v>
      </c>
      <c r="AP26">
        <f t="shared" si="62"/>
        <v>1123</v>
      </c>
    </row>
    <row r="27" spans="1:56">
      <c r="A27" t="s">
        <v>2</v>
      </c>
      <c r="B27">
        <v>1826</v>
      </c>
      <c r="C27">
        <v>1092</v>
      </c>
      <c r="D27">
        <v>780</v>
      </c>
      <c r="E27">
        <v>657</v>
      </c>
      <c r="F27">
        <v>1526</v>
      </c>
      <c r="G27">
        <v>1326</v>
      </c>
      <c r="H27">
        <v>1451</v>
      </c>
      <c r="I27">
        <v>1326</v>
      </c>
      <c r="J27">
        <v>1154</v>
      </c>
      <c r="K27">
        <v>1139</v>
      </c>
      <c r="L27">
        <v>1326</v>
      </c>
      <c r="M27">
        <v>1155</v>
      </c>
      <c r="N27">
        <v>1138</v>
      </c>
      <c r="P27">
        <v>375</v>
      </c>
      <c r="Q27">
        <v>406</v>
      </c>
      <c r="R27">
        <v>390</v>
      </c>
      <c r="S27">
        <v>406</v>
      </c>
      <c r="T27">
        <v>514</v>
      </c>
      <c r="U27">
        <v>624</v>
      </c>
      <c r="V27">
        <v>811</v>
      </c>
      <c r="W27">
        <v>405</v>
      </c>
      <c r="X27">
        <v>452</v>
      </c>
      <c r="Y27">
        <v>499</v>
      </c>
      <c r="Z27">
        <v>405</v>
      </c>
      <c r="AA27">
        <v>453</v>
      </c>
      <c r="AD27">
        <f t="shared" si="63"/>
        <v>1451</v>
      </c>
      <c r="AE27">
        <f t="shared" si="51"/>
        <v>686</v>
      </c>
      <c r="AF27">
        <f t="shared" si="52"/>
        <v>390</v>
      </c>
      <c r="AG27">
        <f t="shared" si="53"/>
        <v>251</v>
      </c>
      <c r="AH27">
        <f t="shared" si="54"/>
        <v>1012</v>
      </c>
      <c r="AI27">
        <f t="shared" si="55"/>
        <v>702</v>
      </c>
      <c r="AJ27">
        <f t="shared" si="56"/>
        <v>640</v>
      </c>
      <c r="AK27">
        <f t="shared" si="57"/>
        <v>921</v>
      </c>
      <c r="AL27">
        <f t="shared" si="58"/>
        <v>702</v>
      </c>
      <c r="AM27">
        <f t="shared" si="59"/>
        <v>640</v>
      </c>
      <c r="AN27">
        <f t="shared" si="60"/>
        <v>921</v>
      </c>
      <c r="AO27">
        <f t="shared" si="61"/>
        <v>702</v>
      </c>
      <c r="AP27">
        <f t="shared" si="62"/>
        <v>1138</v>
      </c>
    </row>
    <row r="28" spans="1:56">
      <c r="A28" t="s">
        <v>3</v>
      </c>
      <c r="B28">
        <v>1794</v>
      </c>
      <c r="C28">
        <v>1093</v>
      </c>
      <c r="D28">
        <v>780</v>
      </c>
      <c r="E28">
        <v>657</v>
      </c>
      <c r="F28">
        <v>1526</v>
      </c>
      <c r="G28">
        <v>1326</v>
      </c>
      <c r="H28">
        <v>1466</v>
      </c>
      <c r="I28">
        <v>1326</v>
      </c>
      <c r="J28">
        <v>1154</v>
      </c>
      <c r="K28">
        <v>1123</v>
      </c>
      <c r="L28">
        <v>1326</v>
      </c>
      <c r="M28">
        <v>1154</v>
      </c>
      <c r="N28">
        <v>1139</v>
      </c>
      <c r="P28">
        <v>358</v>
      </c>
      <c r="Q28">
        <v>406</v>
      </c>
      <c r="R28">
        <v>406</v>
      </c>
      <c r="S28">
        <v>406</v>
      </c>
      <c r="T28">
        <v>515</v>
      </c>
      <c r="U28">
        <v>608</v>
      </c>
      <c r="V28">
        <v>827</v>
      </c>
      <c r="W28">
        <v>405</v>
      </c>
      <c r="X28">
        <v>452</v>
      </c>
      <c r="Y28">
        <v>499</v>
      </c>
      <c r="Z28">
        <v>405</v>
      </c>
      <c r="AA28">
        <v>452</v>
      </c>
      <c r="AD28">
        <f t="shared" si="63"/>
        <v>1436</v>
      </c>
      <c r="AE28">
        <f t="shared" si="51"/>
        <v>687</v>
      </c>
      <c r="AF28">
        <f t="shared" si="52"/>
        <v>374</v>
      </c>
      <c r="AG28">
        <f t="shared" si="53"/>
        <v>251</v>
      </c>
      <c r="AH28">
        <f t="shared" si="54"/>
        <v>1011</v>
      </c>
      <c r="AI28">
        <f t="shared" si="55"/>
        <v>718</v>
      </c>
      <c r="AJ28">
        <f t="shared" si="56"/>
        <v>639</v>
      </c>
      <c r="AK28">
        <f t="shared" si="57"/>
        <v>921</v>
      </c>
      <c r="AL28">
        <f t="shared" si="58"/>
        <v>702</v>
      </c>
      <c r="AM28">
        <f t="shared" si="59"/>
        <v>624</v>
      </c>
      <c r="AN28">
        <f t="shared" si="60"/>
        <v>921</v>
      </c>
      <c r="AO28">
        <f t="shared" si="61"/>
        <v>702</v>
      </c>
      <c r="AP28">
        <f t="shared" si="62"/>
        <v>1139</v>
      </c>
    </row>
    <row r="29" spans="1:56">
      <c r="A29" t="s">
        <v>4</v>
      </c>
      <c r="B29">
        <v>1794</v>
      </c>
      <c r="C29">
        <v>1092</v>
      </c>
      <c r="D29">
        <v>780</v>
      </c>
      <c r="E29">
        <v>656</v>
      </c>
      <c r="F29">
        <v>1558</v>
      </c>
      <c r="G29">
        <v>1341</v>
      </c>
      <c r="H29">
        <v>1436</v>
      </c>
      <c r="I29">
        <v>1358</v>
      </c>
      <c r="J29">
        <v>1154</v>
      </c>
      <c r="K29">
        <v>1124</v>
      </c>
      <c r="L29">
        <v>1326</v>
      </c>
      <c r="M29">
        <v>1139</v>
      </c>
      <c r="N29">
        <v>1124</v>
      </c>
      <c r="P29">
        <v>359</v>
      </c>
      <c r="Q29">
        <v>405</v>
      </c>
      <c r="R29">
        <v>406</v>
      </c>
      <c r="S29">
        <v>406</v>
      </c>
      <c r="T29">
        <v>499</v>
      </c>
      <c r="U29">
        <v>624</v>
      </c>
      <c r="V29">
        <v>812</v>
      </c>
      <c r="W29">
        <v>406</v>
      </c>
      <c r="X29">
        <v>452</v>
      </c>
      <c r="Y29">
        <v>500</v>
      </c>
      <c r="Z29">
        <v>406</v>
      </c>
      <c r="AA29">
        <v>453</v>
      </c>
      <c r="AD29">
        <f t="shared" si="63"/>
        <v>1435</v>
      </c>
      <c r="AE29">
        <f t="shared" si="51"/>
        <v>687</v>
      </c>
      <c r="AF29">
        <f t="shared" si="52"/>
        <v>374</v>
      </c>
      <c r="AG29">
        <f t="shared" si="53"/>
        <v>250</v>
      </c>
      <c r="AH29">
        <f t="shared" si="54"/>
        <v>1059</v>
      </c>
      <c r="AI29">
        <f t="shared" si="55"/>
        <v>717</v>
      </c>
      <c r="AJ29">
        <f t="shared" si="56"/>
        <v>624</v>
      </c>
      <c r="AK29">
        <f t="shared" si="57"/>
        <v>952</v>
      </c>
      <c r="AL29">
        <f t="shared" si="58"/>
        <v>702</v>
      </c>
      <c r="AM29">
        <f t="shared" si="59"/>
        <v>624</v>
      </c>
      <c r="AN29">
        <f t="shared" si="60"/>
        <v>920</v>
      </c>
      <c r="AO29">
        <f t="shared" si="61"/>
        <v>686</v>
      </c>
      <c r="AP29">
        <f t="shared" si="62"/>
        <v>1124</v>
      </c>
    </row>
    <row r="30" spans="1:56">
      <c r="A30" t="s">
        <v>31</v>
      </c>
      <c r="B30">
        <v>1794</v>
      </c>
      <c r="C30">
        <v>1092</v>
      </c>
      <c r="D30">
        <v>796</v>
      </c>
      <c r="E30">
        <v>656</v>
      </c>
      <c r="F30">
        <v>1526</v>
      </c>
      <c r="G30">
        <v>1326</v>
      </c>
      <c r="H30">
        <v>1450</v>
      </c>
      <c r="I30">
        <v>1326</v>
      </c>
      <c r="J30">
        <v>1155</v>
      </c>
      <c r="K30">
        <v>1123</v>
      </c>
      <c r="L30">
        <v>1311</v>
      </c>
      <c r="M30">
        <v>1155</v>
      </c>
      <c r="N30">
        <v>1123</v>
      </c>
      <c r="P30">
        <v>359</v>
      </c>
      <c r="Q30">
        <v>405</v>
      </c>
      <c r="R30">
        <v>406</v>
      </c>
      <c r="S30">
        <v>406</v>
      </c>
      <c r="T30">
        <v>499</v>
      </c>
      <c r="U30">
        <v>609</v>
      </c>
      <c r="V30">
        <v>826</v>
      </c>
      <c r="W30">
        <v>405</v>
      </c>
      <c r="X30">
        <v>453</v>
      </c>
      <c r="Y30">
        <v>499</v>
      </c>
      <c r="Z30">
        <v>390</v>
      </c>
      <c r="AA30">
        <v>468</v>
      </c>
      <c r="AD30">
        <f t="shared" si="63"/>
        <v>1435</v>
      </c>
      <c r="AE30">
        <f t="shared" si="51"/>
        <v>687</v>
      </c>
      <c r="AF30">
        <f t="shared" si="52"/>
        <v>390</v>
      </c>
      <c r="AG30">
        <f t="shared" si="53"/>
        <v>250</v>
      </c>
      <c r="AH30">
        <f t="shared" si="54"/>
        <v>1027</v>
      </c>
      <c r="AI30">
        <f t="shared" si="55"/>
        <v>717</v>
      </c>
      <c r="AJ30">
        <f t="shared" si="56"/>
        <v>624</v>
      </c>
      <c r="AK30">
        <f t="shared" si="57"/>
        <v>921</v>
      </c>
      <c r="AL30">
        <f t="shared" si="58"/>
        <v>702</v>
      </c>
      <c r="AM30">
        <f t="shared" si="59"/>
        <v>624</v>
      </c>
      <c r="AN30">
        <f t="shared" si="60"/>
        <v>921</v>
      </c>
      <c r="AO30">
        <f t="shared" si="61"/>
        <v>687</v>
      </c>
      <c r="AP30">
        <f t="shared" si="62"/>
        <v>1123</v>
      </c>
    </row>
    <row r="31" spans="1:56">
      <c r="A31" t="s">
        <v>32</v>
      </c>
      <c r="B31">
        <v>1809</v>
      </c>
      <c r="C31">
        <v>1092</v>
      </c>
      <c r="D31">
        <v>796</v>
      </c>
      <c r="E31">
        <v>656</v>
      </c>
      <c r="F31">
        <v>1541</v>
      </c>
      <c r="G31">
        <v>1326</v>
      </c>
      <c r="H31">
        <v>1467</v>
      </c>
      <c r="I31">
        <v>1341</v>
      </c>
      <c r="J31">
        <v>1139</v>
      </c>
      <c r="K31">
        <v>1139</v>
      </c>
      <c r="L31">
        <v>1326</v>
      </c>
      <c r="M31">
        <v>1155</v>
      </c>
      <c r="N31">
        <v>1124</v>
      </c>
      <c r="P31">
        <v>374</v>
      </c>
      <c r="Q31">
        <v>406</v>
      </c>
      <c r="R31">
        <v>406</v>
      </c>
      <c r="S31">
        <v>405</v>
      </c>
      <c r="T31">
        <v>499</v>
      </c>
      <c r="U31">
        <v>609</v>
      </c>
      <c r="V31">
        <v>827</v>
      </c>
      <c r="W31">
        <v>405</v>
      </c>
      <c r="X31">
        <v>437</v>
      </c>
      <c r="Y31">
        <v>499</v>
      </c>
      <c r="Z31">
        <v>405</v>
      </c>
      <c r="AA31">
        <v>453</v>
      </c>
      <c r="AD31">
        <f t="shared" si="63"/>
        <v>1435</v>
      </c>
      <c r="AE31">
        <f t="shared" si="51"/>
        <v>686</v>
      </c>
      <c r="AF31">
        <f t="shared" si="52"/>
        <v>390</v>
      </c>
      <c r="AG31">
        <f t="shared" si="53"/>
        <v>251</v>
      </c>
      <c r="AH31">
        <f t="shared" si="54"/>
        <v>1042</v>
      </c>
      <c r="AI31">
        <f t="shared" si="55"/>
        <v>717</v>
      </c>
      <c r="AJ31">
        <f t="shared" si="56"/>
        <v>640</v>
      </c>
      <c r="AK31">
        <f t="shared" si="57"/>
        <v>936</v>
      </c>
      <c r="AL31">
        <f t="shared" si="58"/>
        <v>702</v>
      </c>
      <c r="AM31">
        <f t="shared" si="59"/>
        <v>640</v>
      </c>
      <c r="AN31">
        <f t="shared" si="60"/>
        <v>921</v>
      </c>
      <c r="AO31">
        <f t="shared" si="61"/>
        <v>702</v>
      </c>
      <c r="AP31">
        <f t="shared" si="62"/>
        <v>1124</v>
      </c>
    </row>
    <row r="32" spans="1:56">
      <c r="A32" t="s">
        <v>5</v>
      </c>
      <c r="B32">
        <f t="shared" ref="B32" si="64">(SUM(B25:B31) -MAX(B25:B31))/((COUNT(B25:B31)-1)*1000)</f>
        <v>1.8045</v>
      </c>
      <c r="C32">
        <f t="shared" ref="C32" si="65">(SUM(C25:C31) -MAX(C25:C31))/((COUNT(C25:C31)-1)*1000)</f>
        <v>1.0921666666666667</v>
      </c>
      <c r="D32">
        <f t="shared" ref="D32" si="66">(SUM(D25:D31) -MAX(D25:D31))/((COUNT(D25:D31)-1)*1000)</f>
        <v>0.78533333333333333</v>
      </c>
      <c r="E32">
        <f t="shared" ref="E32:F32" si="67">(SUM(E25:E31) -MAX(E25:E31))/((COUNT(E25:E31)-1)*1000)</f>
        <v>0.65633333333333332</v>
      </c>
      <c r="F32">
        <f t="shared" ref="F32" si="68">(SUM(F25:F31) -MAX(F25:F31))/((COUNT(F25:F31)-1)*1000)</f>
        <v>1.5365</v>
      </c>
      <c r="G32">
        <f>(SUM(G25:G31) -MAX(G25:G31))/((COUNT(G25:G31)-1)*1000)</f>
        <v>1.3260000000000001</v>
      </c>
      <c r="H32">
        <f t="shared" ref="H32" si="69">(SUM(H25:H31) -MAX(H25:H31))/((COUNT(H25:H31)-1)*1000)</f>
        <v>1.4871666666666667</v>
      </c>
      <c r="I32">
        <f t="shared" ref="I32" si="70">(SUM(I25:I31) -MAX(I25:I31))/((COUNT(I25:I31)-1)*1000)</f>
        <v>1.3365</v>
      </c>
      <c r="J32">
        <f t="shared" ref="J32:K32" si="71">(SUM(J25:J31) -MAX(J25:J31))/((COUNT(J25:J31)-1)*1000)</f>
        <v>1.1518333333333333</v>
      </c>
      <c r="K32">
        <f t="shared" si="71"/>
        <v>1.1311666666666667</v>
      </c>
      <c r="L32">
        <f t="shared" ref="L32" si="72">(SUM(L25:L31) -MAX(L25:L31))/((COUNT(L25:L31)-1)*1000)</f>
        <v>1.3234999999999999</v>
      </c>
      <c r="M32">
        <f t="shared" ref="M32:N32" si="73">(SUM(M25:M31) -MAX(M25:M31))/((COUNT(M25:M31)-1)*1000)</f>
        <v>1.1546666666666667</v>
      </c>
      <c r="N32">
        <f t="shared" si="73"/>
        <v>1.1285000000000001</v>
      </c>
      <c r="P32">
        <f>(SUM(P25:P31) -MAX(P25:P31))/((COUNT(P25:P31)-1)*1000)</f>
        <v>0.36666666666666664</v>
      </c>
      <c r="Q32">
        <f t="shared" ref="Q32" si="74">(SUM(Q25:Q31) -MAX(Q25:Q31))/((COUNT(Q25:Q31)-1)*1000)</f>
        <v>0.40300000000000002</v>
      </c>
      <c r="R32">
        <f t="shared" ref="R32" si="75">(SUM(R25:R31) -MAX(R25:R31))/((COUNT(R25:R31)-1)*1000)</f>
        <v>0.40316666666666667</v>
      </c>
      <c r="S32">
        <f t="shared" ref="S32:Y32" si="76">(SUM(S25:S31) -MAX(S25:S31))/((COUNT(S25:S31)-1)*1000)</f>
        <v>0.40583333333333332</v>
      </c>
      <c r="T32">
        <f t="shared" si="76"/>
        <v>0.49633333333333335</v>
      </c>
      <c r="U32">
        <f t="shared" si="76"/>
        <v>0.60350000000000004</v>
      </c>
      <c r="V32">
        <f t="shared" si="76"/>
        <v>0.80349999999999999</v>
      </c>
      <c r="W32">
        <f t="shared" si="76"/>
        <v>0.40533333333333332</v>
      </c>
      <c r="X32">
        <f t="shared" si="76"/>
        <v>0.44983333333333331</v>
      </c>
      <c r="Y32">
        <f t="shared" si="76"/>
        <v>0.49916666666666665</v>
      </c>
      <c r="Z32">
        <f t="shared" ref="Z32:AB32" si="77">(SUM(Z25:Z31) -MAX(Z25:Z31))/((COUNT(Z25:Z31)-1)*1000)</f>
        <v>0.40016666666666667</v>
      </c>
      <c r="AA32">
        <f t="shared" si="77"/>
        <v>0.45783333333333331</v>
      </c>
      <c r="AB32">
        <f t="shared" si="77"/>
        <v>0</v>
      </c>
      <c r="AD32">
        <f>(SUM(AD25:AD31) -MAX(AD25:AD31))/((COUNT(AD25:AD31)-1)*1000)</f>
        <v>1.4378333333333333</v>
      </c>
      <c r="AE32">
        <f t="shared" ref="AE32" si="78">(SUM(AE25:AE31) -MAX(AE25:AE31))/((COUNT(AE25:AE31)-1)*1000)</f>
        <v>0.68916666666666671</v>
      </c>
      <c r="AF32">
        <f t="shared" ref="AF32" si="79">(SUM(AF25:AF31) -MAX(AF25:AF31))/((COUNT(AF25:AF31)-1)*1000)</f>
        <v>0.38216666666666665</v>
      </c>
      <c r="AG32">
        <f t="shared" ref="AG32:AM32" si="80">(SUM(AG25:AG31) -MAX(AG25:AG31))/((COUNT(AG25:AG31)-1)*1000)</f>
        <v>0.2505</v>
      </c>
      <c r="AH32">
        <f t="shared" si="80"/>
        <v>1.0296666666666667</v>
      </c>
      <c r="AI32">
        <f t="shared" si="80"/>
        <v>0.71216666666666661</v>
      </c>
      <c r="AJ32">
        <f t="shared" si="80"/>
        <v>0.66816666666666669</v>
      </c>
      <c r="AK32">
        <f t="shared" si="80"/>
        <v>0.9311666666666667</v>
      </c>
      <c r="AL32">
        <f t="shared" si="80"/>
        <v>0.70199999999999996</v>
      </c>
      <c r="AM32">
        <f t="shared" si="80"/>
        <v>0.63200000000000001</v>
      </c>
      <c r="AN32">
        <f t="shared" ref="AN32:AP32" si="81">(SUM(AN25:AN31) -MAX(AN25:AN31))/((COUNT(AN25:AN31)-1)*1000)</f>
        <v>0.92333333333333334</v>
      </c>
      <c r="AO32">
        <f t="shared" si="81"/>
        <v>0.6968333333333333</v>
      </c>
      <c r="AP32">
        <f t="shared" si="81"/>
        <v>1.1285000000000001</v>
      </c>
      <c r="AR32">
        <f>(SUM(AR25:AR31) -MAX(AR25:AR31))/((COUNT(AR25:AR31)-1)*1000)</f>
        <v>0</v>
      </c>
      <c r="AS32">
        <f t="shared" ref="AS32" si="82">(SUM(AS25:AS31) -MAX(AS25:AS31))/((COUNT(AS25:AS31)-1)*1000)</f>
        <v>0</v>
      </c>
      <c r="AT32">
        <f t="shared" ref="AT32" si="83">(SUM(AT25:AT31) -MAX(AT25:AT31))/((COUNT(AT25:AT31)-1)*1000)</f>
        <v>0</v>
      </c>
      <c r="AU32">
        <f t="shared" ref="AU32:BA32" si="84">(SUM(AU25:AU31) -MAX(AU25:AU31))/((COUNT(AU25:AU31)-1)*1000)</f>
        <v>0</v>
      </c>
      <c r="AV32">
        <f t="shared" si="84"/>
        <v>0</v>
      </c>
      <c r="AW32">
        <f t="shared" si="84"/>
        <v>0</v>
      </c>
      <c r="AX32">
        <f t="shared" si="84"/>
        <v>0</v>
      </c>
      <c r="AY32">
        <f t="shared" si="84"/>
        <v>0</v>
      </c>
      <c r="AZ32">
        <f t="shared" si="84"/>
        <v>0</v>
      </c>
      <c r="BA32">
        <f t="shared" si="84"/>
        <v>0</v>
      </c>
      <c r="BB32">
        <f>(SUM(BB25:BB31) -MAX(BB25:BB31))/((COUNT(BB25:BB31)-1)*1000)</f>
        <v>0</v>
      </c>
      <c r="BC32">
        <f t="shared" ref="BC32" si="85">(SUM(BC25:BC31) -MAX(BC25:BC31))/((COUNT(BC25:BC31)-1)*1000)</f>
        <v>0</v>
      </c>
      <c r="BD32">
        <f t="shared" ref="BD32" si="86">(SUM(BD25:BD31) -MAX(BD25:BD31))/((COUNT(BD25:BD31)-1)*1000)</f>
        <v>0</v>
      </c>
    </row>
    <row r="33" spans="1:56">
      <c r="A33" t="s">
        <v>7</v>
      </c>
      <c r="B33">
        <f>STDEV(B26:B31)/1000</f>
        <v>1.2988456413292536E-2</v>
      </c>
      <c r="C33">
        <f t="shared" ref="C33:F33" si="87">STDEV(C26:C31)/1000</f>
        <v>4.0824829046386298E-4</v>
      </c>
      <c r="D33">
        <f t="shared" si="87"/>
        <v>8.262364471911034E-3</v>
      </c>
      <c r="E33">
        <f t="shared" si="87"/>
        <v>5.1639777949432232E-4</v>
      </c>
      <c r="F33">
        <f t="shared" si="87"/>
        <v>1.2988456413292536E-2</v>
      </c>
      <c r="G33">
        <f>STDEV(G26:G31)/1000</f>
        <v>9.4868329805051377E-3</v>
      </c>
      <c r="H33">
        <f t="shared" ref="H33:K33" si="88">STDEV(H26:H31)/1000</f>
        <v>8.2052219145290595E-2</v>
      </c>
      <c r="I33">
        <f t="shared" si="88"/>
        <v>1.2988456413292536E-2</v>
      </c>
      <c r="J33">
        <f t="shared" si="88"/>
        <v>6.3060817205777301E-3</v>
      </c>
      <c r="K33">
        <f t="shared" si="88"/>
        <v>8.5887523346877669E-3</v>
      </c>
      <c r="L33">
        <f t="shared" ref="L33:N33" si="89">STDEV(L26:L31)/1000</f>
        <v>6.1237243569579455E-3</v>
      </c>
      <c r="M33">
        <f t="shared" si="89"/>
        <v>9.8115578103889576E-3</v>
      </c>
      <c r="N33">
        <f t="shared" si="89"/>
        <v>7.7653074633268699E-3</v>
      </c>
      <c r="P33">
        <f>STDEV(P26:P31)/1000</f>
        <v>8.778762251403921E-3</v>
      </c>
      <c r="Q33">
        <f t="shared" ref="Q33:Y33" si="90">STDEV(Q26:Q31)/1000</f>
        <v>6.3874877690685249E-3</v>
      </c>
      <c r="R33">
        <f t="shared" si="90"/>
        <v>6.4627135683607726E-3</v>
      </c>
      <c r="S33">
        <f t="shared" si="90"/>
        <v>4.0824829046386303E-4</v>
      </c>
      <c r="T33">
        <f t="shared" si="90"/>
        <v>8.58875233469048E-3</v>
      </c>
      <c r="U33">
        <f t="shared" si="90"/>
        <v>7.884584115011882E-3</v>
      </c>
      <c r="V33">
        <f t="shared" si="90"/>
        <v>8.4142735871850522E-3</v>
      </c>
      <c r="W33">
        <f t="shared" si="90"/>
        <v>5.1639777949432232E-4</v>
      </c>
      <c r="X33">
        <f t="shared" si="90"/>
        <v>6.3060817205814216E-3</v>
      </c>
      <c r="Y33">
        <f t="shared" si="90"/>
        <v>4.0824829046386303E-4</v>
      </c>
      <c r="Z33">
        <f t="shared" ref="Z33:AB33" si="91">STDEV(Z26:Z31)/1000</f>
        <v>7.8845841150104057E-3</v>
      </c>
      <c r="AA33">
        <f t="shared" si="91"/>
        <v>7.8845841150089295E-3</v>
      </c>
      <c r="AB33" t="e">
        <f t="shared" si="91"/>
        <v>#DIV/0!</v>
      </c>
      <c r="AD33">
        <f>STDEV(AD26:AD31)/1000</f>
        <v>6.4627135683697785E-3</v>
      </c>
      <c r="AE33">
        <f t="shared" ref="AE33:AM33" si="92">STDEV(AE26:AE31)/1000</f>
        <v>6.306081720585114E-3</v>
      </c>
      <c r="AF33">
        <f t="shared" si="92"/>
        <v>8.5887523346918331E-3</v>
      </c>
      <c r="AG33">
        <f t="shared" si="92"/>
        <v>5.4772255750516611E-4</v>
      </c>
      <c r="AH33">
        <f t="shared" si="92"/>
        <v>1.837026583004733E-2</v>
      </c>
      <c r="AI33">
        <f t="shared" si="92"/>
        <v>7.884584115011882E-3</v>
      </c>
      <c r="AJ33">
        <f t="shared" si="92"/>
        <v>8.5506529965065803E-2</v>
      </c>
      <c r="AK33">
        <f t="shared" si="92"/>
        <v>1.2576432986606519E-2</v>
      </c>
      <c r="AL33">
        <f t="shared" si="92"/>
        <v>0</v>
      </c>
      <c r="AM33">
        <f t="shared" si="92"/>
        <v>8.7635609200826577E-3</v>
      </c>
      <c r="AN33">
        <f t="shared" ref="AN33:AP33" si="93">STDEV(AN26:AN31)/1000</f>
        <v>6.2182527020542173E-3</v>
      </c>
      <c r="AO33">
        <f t="shared" si="93"/>
        <v>8.010409893800547E-3</v>
      </c>
      <c r="AP33">
        <f t="shared" si="93"/>
        <v>7.7653074633268699E-3</v>
      </c>
      <c r="AR33" t="e">
        <f>STDEV(AR26:AR31)/1000</f>
        <v>#DIV/0!</v>
      </c>
      <c r="AS33" t="e">
        <f t="shared" ref="AS33:BA33" si="94">STDEV(AS26:AS31)/1000</f>
        <v>#DIV/0!</v>
      </c>
      <c r="AT33" t="e">
        <f t="shared" si="94"/>
        <v>#DIV/0!</v>
      </c>
      <c r="AU33" t="e">
        <f t="shared" si="94"/>
        <v>#DIV/0!</v>
      </c>
      <c r="AV33" t="e">
        <f t="shared" si="94"/>
        <v>#DIV/0!</v>
      </c>
      <c r="AW33" t="e">
        <f t="shared" si="94"/>
        <v>#DIV/0!</v>
      </c>
      <c r="AX33" t="e">
        <f t="shared" si="94"/>
        <v>#DIV/0!</v>
      </c>
      <c r="AY33" t="e">
        <f t="shared" si="94"/>
        <v>#DIV/0!</v>
      </c>
      <c r="AZ33" t="e">
        <f t="shared" si="94"/>
        <v>#DIV/0!</v>
      </c>
      <c r="BA33" t="e">
        <f t="shared" si="94"/>
        <v>#DIV/0!</v>
      </c>
      <c r="BB33" t="e">
        <f>STDEV(BB26:BB31)/1000</f>
        <v>#DIV/0!</v>
      </c>
      <c r="BC33" t="e">
        <f t="shared" ref="BC33:BD33" si="95">STDEV(BC26:BC31)/1000</f>
        <v>#DIV/0!</v>
      </c>
      <c r="BD33" t="e">
        <f t="shared" si="95"/>
        <v>#DIV/0!</v>
      </c>
    </row>
    <row r="34" spans="1:56">
      <c r="A34" t="s">
        <v>8</v>
      </c>
      <c r="B34">
        <f>CONFIDENCE(0.05,B33,5)/2</f>
        <v>5.6923374067736829E-3</v>
      </c>
      <c r="C34">
        <f t="shared" ref="C34:F34" si="96">CONFIDENCE(0.05,C33,5)/2</f>
        <v>1.7891941437171569E-4</v>
      </c>
      <c r="D34">
        <f t="shared" si="96"/>
        <v>3.6210743490445725E-3</v>
      </c>
      <c r="E34">
        <f t="shared" si="96"/>
        <v>2.2631714681523436E-4</v>
      </c>
      <c r="F34">
        <f t="shared" si="96"/>
        <v>5.6923374067736829E-3</v>
      </c>
      <c r="G34">
        <f>CONFIDENCE(0.05,G33,5)/2</f>
        <v>4.1577114730490328E-3</v>
      </c>
      <c r="H34">
        <f t="shared" ref="H34:K34" si="97">CONFIDENCE(0.05,H33,5)/2</f>
        <v>3.5960309792588269E-2</v>
      </c>
      <c r="I34">
        <f t="shared" si="97"/>
        <v>5.6923374067736829E-3</v>
      </c>
      <c r="J34">
        <f t="shared" si="97"/>
        <v>2.7637113854021662E-3</v>
      </c>
      <c r="K34">
        <f t="shared" si="97"/>
        <v>3.7641175083917839E-3</v>
      </c>
      <c r="L34">
        <f t="shared" ref="L34:N34" si="98">CONFIDENCE(0.05,L33,5)/2</f>
        <v>2.6837912155757357E-3</v>
      </c>
      <c r="M34">
        <f t="shared" si="98"/>
        <v>4.3000257894880651E-3</v>
      </c>
      <c r="N34">
        <f t="shared" si="98"/>
        <v>3.4032335130567788E-3</v>
      </c>
      <c r="P34">
        <f>CONFIDENCE(0.05,P33,5)/2</f>
        <v>3.8473914958591779E-3</v>
      </c>
      <c r="Q34">
        <f t="shared" ref="Q34:Y34" si="99">CONFIDENCE(0.05,Q33,5)/2</f>
        <v>2.799388503622892E-3</v>
      </c>
      <c r="R34">
        <f t="shared" si="99"/>
        <v>2.8323570579791646E-3</v>
      </c>
      <c r="S34">
        <f t="shared" si="99"/>
        <v>1.7891941437171572E-4</v>
      </c>
      <c r="T34">
        <f t="shared" si="99"/>
        <v>3.7641175083929731E-3</v>
      </c>
      <c r="U34">
        <f t="shared" si="99"/>
        <v>3.4555078499399865E-3</v>
      </c>
      <c r="V34">
        <f t="shared" si="99"/>
        <v>3.6876502308729338E-3</v>
      </c>
      <c r="W34">
        <f t="shared" si="99"/>
        <v>2.2631714681523436E-4</v>
      </c>
      <c r="X34">
        <f t="shared" si="99"/>
        <v>2.7637113854037843E-3</v>
      </c>
      <c r="Y34">
        <f t="shared" si="99"/>
        <v>1.7891941437171572E-4</v>
      </c>
      <c r="Z34">
        <f t="shared" ref="Z34:AB34" si="100">CONFIDENCE(0.05,Z33,5)/2</f>
        <v>3.455507849939339E-3</v>
      </c>
      <c r="AA34">
        <f t="shared" si="100"/>
        <v>3.4555078499386924E-3</v>
      </c>
      <c r="AB34" t="e">
        <f t="shared" si="100"/>
        <v>#DIV/0!</v>
      </c>
      <c r="AD34">
        <f>CONFIDENCE(0.05,AD33,5)/2</f>
        <v>2.8323570579831116E-3</v>
      </c>
      <c r="AE34">
        <f t="shared" ref="AE34:AM34" si="101">CONFIDENCE(0.05,AE33,5)/2</f>
        <v>2.7637113854054019E-3</v>
      </c>
      <c r="AF34">
        <f t="shared" si="101"/>
        <v>3.7641175083935659E-3</v>
      </c>
      <c r="AG34">
        <f t="shared" si="101"/>
        <v>2.4004558381776546E-4</v>
      </c>
      <c r="AH34">
        <f t="shared" si="101"/>
        <v>8.0509760382101239E-3</v>
      </c>
      <c r="AI34">
        <f t="shared" si="101"/>
        <v>3.4555078499399865E-3</v>
      </c>
      <c r="AJ34">
        <f t="shared" si="101"/>
        <v>3.7474200440433536E-2</v>
      </c>
      <c r="AK34">
        <f t="shared" si="101"/>
        <v>5.5117634964057353E-3</v>
      </c>
      <c r="AL34" t="e">
        <f t="shared" si="101"/>
        <v>#NUM!</v>
      </c>
      <c r="AM34">
        <f t="shared" si="101"/>
        <v>3.8407293410842474E-3</v>
      </c>
      <c r="AN34">
        <f t="shared" ref="AN34:AP34" si="102">CONFIDENCE(0.05,AN33,5)/2</f>
        <v>2.725219328175878E-3</v>
      </c>
      <c r="AO34">
        <f t="shared" si="102"/>
        <v>3.5106524155869199E-3</v>
      </c>
      <c r="AP34">
        <f t="shared" si="102"/>
        <v>3.4032335130567788E-3</v>
      </c>
      <c r="AR34" t="e">
        <f>CONFIDENCE(0.05,AR33,5)/2</f>
        <v>#DIV/0!</v>
      </c>
      <c r="AS34" t="e">
        <f t="shared" ref="AS34:BA34" si="103">CONFIDENCE(0.05,AS33,5)/2</f>
        <v>#DIV/0!</v>
      </c>
      <c r="AT34" t="e">
        <f t="shared" si="103"/>
        <v>#DIV/0!</v>
      </c>
      <c r="AU34" t="e">
        <f t="shared" si="103"/>
        <v>#DIV/0!</v>
      </c>
      <c r="AV34" t="e">
        <f t="shared" si="103"/>
        <v>#DIV/0!</v>
      </c>
      <c r="AW34" t="e">
        <f t="shared" si="103"/>
        <v>#DIV/0!</v>
      </c>
      <c r="AX34" t="e">
        <f t="shared" si="103"/>
        <v>#DIV/0!</v>
      </c>
      <c r="AY34" t="e">
        <f t="shared" si="103"/>
        <v>#DIV/0!</v>
      </c>
      <c r="AZ34" t="e">
        <f t="shared" si="103"/>
        <v>#DIV/0!</v>
      </c>
      <c r="BA34" t="e">
        <f t="shared" si="103"/>
        <v>#DIV/0!</v>
      </c>
      <c r="BB34" t="e">
        <f>CONFIDENCE(0.05,BB33,5)/2</f>
        <v>#DIV/0!</v>
      </c>
      <c r="BC34" t="e">
        <f t="shared" ref="BC34:BD34" si="104">CONFIDENCE(0.05,BC33,5)/2</f>
        <v>#DIV/0!</v>
      </c>
      <c r="BD34" t="e">
        <f t="shared" si="104"/>
        <v>#DIV/0!</v>
      </c>
    </row>
    <row r="35" spans="1:56">
      <c r="A35" t="s">
        <v>13</v>
      </c>
      <c r="B35">
        <v>13</v>
      </c>
      <c r="C35">
        <v>13</v>
      </c>
      <c r="D35">
        <v>13</v>
      </c>
      <c r="E35">
        <v>13</v>
      </c>
      <c r="F35">
        <v>13</v>
      </c>
      <c r="G35">
        <v>13</v>
      </c>
      <c r="H35">
        <v>13</v>
      </c>
      <c r="I35">
        <v>13</v>
      </c>
      <c r="J35">
        <v>13</v>
      </c>
      <c r="K35">
        <v>13</v>
      </c>
      <c r="L35">
        <v>13</v>
      </c>
      <c r="M35">
        <v>13</v>
      </c>
      <c r="N35">
        <v>13</v>
      </c>
    </row>
    <row r="36" spans="1:56">
      <c r="A36" t="s">
        <v>10</v>
      </c>
      <c r="B36">
        <v>1440</v>
      </c>
      <c r="C36">
        <v>1570</v>
      </c>
      <c r="D36">
        <v>1540</v>
      </c>
      <c r="E36">
        <v>1490</v>
      </c>
      <c r="F36">
        <v>2260</v>
      </c>
      <c r="G36">
        <v>2700</v>
      </c>
      <c r="H36">
        <v>2970</v>
      </c>
      <c r="I36">
        <v>1830</v>
      </c>
      <c r="J36">
        <v>1880</v>
      </c>
      <c r="K36">
        <v>1790</v>
      </c>
      <c r="L36">
        <v>1830</v>
      </c>
      <c r="M36">
        <v>1880</v>
      </c>
      <c r="N36">
        <v>1790</v>
      </c>
      <c r="O36" t="s">
        <v>27</v>
      </c>
    </row>
    <row r="37" spans="1:56">
      <c r="A37" s="1" t="s">
        <v>42</v>
      </c>
      <c r="B37" s="1"/>
    </row>
    <row r="38" spans="1:56">
      <c r="A38" t="s">
        <v>65</v>
      </c>
    </row>
    <row r="39" spans="1:56">
      <c r="A39" t="s">
        <v>43</v>
      </c>
      <c r="B39" t="s">
        <v>92</v>
      </c>
      <c r="P39" t="s">
        <v>28</v>
      </c>
      <c r="AD39" t="s">
        <v>29</v>
      </c>
      <c r="AR39" t="s">
        <v>30</v>
      </c>
    </row>
    <row r="41" spans="1:56">
      <c r="A41" t="s">
        <v>6</v>
      </c>
      <c r="B41" t="s">
        <v>35</v>
      </c>
      <c r="C41" t="s">
        <v>66</v>
      </c>
      <c r="F41" t="s">
        <v>68</v>
      </c>
      <c r="I41" t="s">
        <v>67</v>
      </c>
      <c r="L41" t="s">
        <v>90</v>
      </c>
      <c r="P41" t="s">
        <v>35</v>
      </c>
      <c r="Q41" t="s">
        <v>66</v>
      </c>
      <c r="T41" t="s">
        <v>68</v>
      </c>
      <c r="W41" t="s">
        <v>67</v>
      </c>
      <c r="Z41" t="s">
        <v>90</v>
      </c>
      <c r="AD41" t="s">
        <v>35</v>
      </c>
      <c r="AE41" t="s">
        <v>66</v>
      </c>
      <c r="AH41" t="s">
        <v>68</v>
      </c>
      <c r="AK41" t="s">
        <v>67</v>
      </c>
      <c r="AN41" t="s">
        <v>90</v>
      </c>
      <c r="AR41" t="s">
        <v>35</v>
      </c>
      <c r="AS41" t="s">
        <v>66</v>
      </c>
      <c r="AV41" t="s">
        <v>68</v>
      </c>
      <c r="AY41" t="s">
        <v>67</v>
      </c>
      <c r="BB41" t="s">
        <v>90</v>
      </c>
    </row>
    <row r="42" spans="1:56">
      <c r="C42">
        <v>2</v>
      </c>
      <c r="D42">
        <v>4</v>
      </c>
      <c r="E42">
        <v>6</v>
      </c>
      <c r="F42">
        <v>2</v>
      </c>
      <c r="G42">
        <v>4</v>
      </c>
      <c r="H42">
        <v>6</v>
      </c>
      <c r="I42">
        <v>2</v>
      </c>
      <c r="J42">
        <v>4</v>
      </c>
      <c r="K42">
        <v>6</v>
      </c>
      <c r="L42">
        <v>2</v>
      </c>
      <c r="M42">
        <v>4</v>
      </c>
      <c r="N42">
        <v>6</v>
      </c>
      <c r="Q42">
        <v>2</v>
      </c>
      <c r="R42">
        <v>4</v>
      </c>
      <c r="S42">
        <v>6</v>
      </c>
      <c r="T42">
        <v>2</v>
      </c>
      <c r="U42">
        <v>4</v>
      </c>
      <c r="V42">
        <v>6</v>
      </c>
      <c r="W42">
        <v>2</v>
      </c>
      <c r="X42">
        <v>4</v>
      </c>
      <c r="Y42">
        <v>6</v>
      </c>
      <c r="Z42">
        <v>2</v>
      </c>
      <c r="AA42">
        <v>4</v>
      </c>
      <c r="AB42">
        <v>6</v>
      </c>
      <c r="AE42">
        <v>2</v>
      </c>
      <c r="AF42">
        <v>4</v>
      </c>
      <c r="AG42">
        <v>6</v>
      </c>
      <c r="AH42">
        <v>2</v>
      </c>
      <c r="AI42">
        <v>4</v>
      </c>
      <c r="AJ42">
        <v>6</v>
      </c>
      <c r="AK42">
        <v>2</v>
      </c>
      <c r="AL42">
        <v>4</v>
      </c>
      <c r="AM42">
        <v>6</v>
      </c>
      <c r="AN42">
        <v>2</v>
      </c>
      <c r="AO42">
        <v>4</v>
      </c>
      <c r="AP42">
        <v>6</v>
      </c>
      <c r="AS42">
        <v>2</v>
      </c>
      <c r="AT42">
        <v>4</v>
      </c>
      <c r="AU42">
        <v>6</v>
      </c>
      <c r="AV42">
        <v>2</v>
      </c>
      <c r="AW42">
        <v>4</v>
      </c>
      <c r="AX42">
        <v>6</v>
      </c>
      <c r="AY42">
        <v>2</v>
      </c>
      <c r="AZ42">
        <v>4</v>
      </c>
      <c r="BA42">
        <v>6</v>
      </c>
      <c r="BB42">
        <v>2</v>
      </c>
      <c r="BC42">
        <v>4</v>
      </c>
      <c r="BD42">
        <v>6</v>
      </c>
    </row>
    <row r="43" spans="1:56">
      <c r="A43" t="s">
        <v>0</v>
      </c>
      <c r="B43">
        <v>630345</v>
      </c>
      <c r="C43">
        <v>12855</v>
      </c>
      <c r="D43">
        <v>10842</v>
      </c>
      <c r="E43">
        <v>145535</v>
      </c>
      <c r="F43">
        <v>354000</v>
      </c>
      <c r="G43">
        <v>142882</v>
      </c>
      <c r="H43">
        <v>92416</v>
      </c>
      <c r="AD43">
        <f>B43-P43</f>
        <v>630345</v>
      </c>
      <c r="AE43">
        <f t="shared" ref="AE43:AE49" si="105">C43-Q43</f>
        <v>12855</v>
      </c>
      <c r="AF43">
        <f t="shared" ref="AF43:AF49" si="106">D43-R43</f>
        <v>10842</v>
      </c>
      <c r="AG43">
        <f t="shared" ref="AG43:AG49" si="107">E43-S43</f>
        <v>145535</v>
      </c>
      <c r="AH43">
        <f t="shared" ref="AH43:AH49" si="108">F43-T43</f>
        <v>354000</v>
      </c>
      <c r="AI43">
        <f t="shared" ref="AI43:AI49" si="109">G43-U43</f>
        <v>142882</v>
      </c>
      <c r="AJ43">
        <f t="shared" ref="AJ43:AJ49" si="110">H43-V43</f>
        <v>92416</v>
      </c>
      <c r="AK43">
        <f t="shared" ref="AK43:AK49" si="111">I43-W43</f>
        <v>0</v>
      </c>
      <c r="AL43">
        <f t="shared" ref="AL43:AL49" si="112">J43-X43</f>
        <v>0</v>
      </c>
      <c r="AM43">
        <f t="shared" ref="AM43:AM49" si="113">K43-Y43</f>
        <v>0</v>
      </c>
      <c r="AN43">
        <f t="shared" ref="AN43:AN49" si="114">L43-Z43</f>
        <v>0</v>
      </c>
      <c r="AO43">
        <f t="shared" ref="AO43:AO49" si="115">M43-AA43</f>
        <v>0</v>
      </c>
      <c r="AP43">
        <f t="shared" ref="AP43:AP49" si="116">N43-AB43</f>
        <v>0</v>
      </c>
    </row>
    <row r="44" spans="1:56">
      <c r="A44" t="s">
        <v>1</v>
      </c>
      <c r="B44">
        <v>3011</v>
      </c>
      <c r="C44">
        <v>1463</v>
      </c>
      <c r="D44">
        <v>1155</v>
      </c>
      <c r="E44">
        <v>1061</v>
      </c>
      <c r="F44">
        <v>6630</v>
      </c>
      <c r="G44">
        <v>6256</v>
      </c>
      <c r="H44">
        <v>5164</v>
      </c>
      <c r="AD44">
        <f t="shared" ref="AD44:AD49" si="117">B44-P44</f>
        <v>3011</v>
      </c>
      <c r="AE44">
        <f t="shared" si="105"/>
        <v>1463</v>
      </c>
      <c r="AF44">
        <f t="shared" si="106"/>
        <v>1155</v>
      </c>
      <c r="AG44">
        <f t="shared" si="107"/>
        <v>1061</v>
      </c>
      <c r="AH44">
        <f t="shared" si="108"/>
        <v>6630</v>
      </c>
      <c r="AI44">
        <f t="shared" si="109"/>
        <v>6256</v>
      </c>
      <c r="AJ44">
        <f t="shared" si="110"/>
        <v>5164</v>
      </c>
      <c r="AK44">
        <f t="shared" si="111"/>
        <v>0</v>
      </c>
      <c r="AL44">
        <f t="shared" si="112"/>
        <v>0</v>
      </c>
      <c r="AM44">
        <f t="shared" si="113"/>
        <v>0</v>
      </c>
      <c r="AN44">
        <f t="shared" si="114"/>
        <v>0</v>
      </c>
      <c r="AO44">
        <f t="shared" si="115"/>
        <v>0</v>
      </c>
      <c r="AP44">
        <f t="shared" si="116"/>
        <v>0</v>
      </c>
    </row>
    <row r="45" spans="1:56">
      <c r="A45" t="s">
        <v>2</v>
      </c>
      <c r="B45">
        <v>3010</v>
      </c>
      <c r="C45">
        <v>1464</v>
      </c>
      <c r="D45">
        <v>1154</v>
      </c>
      <c r="E45">
        <v>1045</v>
      </c>
      <c r="F45">
        <v>6708</v>
      </c>
      <c r="G45">
        <v>6583</v>
      </c>
      <c r="H45">
        <v>5210</v>
      </c>
      <c r="AD45">
        <f t="shared" si="117"/>
        <v>3010</v>
      </c>
      <c r="AE45">
        <f t="shared" si="105"/>
        <v>1464</v>
      </c>
      <c r="AF45">
        <f t="shared" si="106"/>
        <v>1154</v>
      </c>
      <c r="AG45">
        <f t="shared" si="107"/>
        <v>1045</v>
      </c>
      <c r="AH45">
        <f t="shared" si="108"/>
        <v>6708</v>
      </c>
      <c r="AI45">
        <f t="shared" si="109"/>
        <v>6583</v>
      </c>
      <c r="AJ45">
        <f t="shared" si="110"/>
        <v>5210</v>
      </c>
      <c r="AK45">
        <f t="shared" si="111"/>
        <v>0</v>
      </c>
      <c r="AL45">
        <f t="shared" si="112"/>
        <v>0</v>
      </c>
      <c r="AM45">
        <f t="shared" si="113"/>
        <v>0</v>
      </c>
      <c r="AN45">
        <f t="shared" si="114"/>
        <v>0</v>
      </c>
      <c r="AO45">
        <f t="shared" si="115"/>
        <v>0</v>
      </c>
      <c r="AP45">
        <f t="shared" si="116"/>
        <v>0</v>
      </c>
    </row>
    <row r="46" spans="1:56">
      <c r="A46" t="s">
        <v>3</v>
      </c>
      <c r="B46">
        <v>3011</v>
      </c>
      <c r="C46">
        <v>1464</v>
      </c>
      <c r="D46">
        <v>1139</v>
      </c>
      <c r="E46">
        <v>1046</v>
      </c>
      <c r="F46">
        <v>6833</v>
      </c>
      <c r="G46">
        <v>6801</v>
      </c>
      <c r="H46">
        <v>5304</v>
      </c>
      <c r="AD46">
        <f t="shared" si="117"/>
        <v>3011</v>
      </c>
      <c r="AE46">
        <f t="shared" si="105"/>
        <v>1464</v>
      </c>
      <c r="AF46">
        <f t="shared" si="106"/>
        <v>1139</v>
      </c>
      <c r="AG46">
        <f t="shared" si="107"/>
        <v>1046</v>
      </c>
      <c r="AH46">
        <f t="shared" si="108"/>
        <v>6833</v>
      </c>
      <c r="AI46">
        <f t="shared" si="109"/>
        <v>6801</v>
      </c>
      <c r="AJ46">
        <f t="shared" si="110"/>
        <v>5304</v>
      </c>
      <c r="AK46">
        <f t="shared" si="111"/>
        <v>0</v>
      </c>
      <c r="AL46">
        <f t="shared" si="112"/>
        <v>0</v>
      </c>
      <c r="AM46">
        <f t="shared" si="113"/>
        <v>0</v>
      </c>
      <c r="AN46">
        <f t="shared" si="114"/>
        <v>0</v>
      </c>
      <c r="AO46">
        <f t="shared" si="115"/>
        <v>0</v>
      </c>
      <c r="AP46">
        <f t="shared" si="116"/>
        <v>0</v>
      </c>
    </row>
    <row r="47" spans="1:56">
      <c r="A47" t="s">
        <v>4</v>
      </c>
      <c r="B47">
        <v>3011</v>
      </c>
      <c r="C47">
        <v>1448</v>
      </c>
      <c r="D47">
        <v>1155</v>
      </c>
      <c r="E47">
        <v>1061</v>
      </c>
      <c r="F47">
        <v>6942</v>
      </c>
      <c r="G47">
        <v>7535</v>
      </c>
      <c r="H47">
        <v>5569</v>
      </c>
      <c r="AD47">
        <f t="shared" si="117"/>
        <v>3011</v>
      </c>
      <c r="AE47">
        <f t="shared" si="105"/>
        <v>1448</v>
      </c>
      <c r="AF47">
        <f t="shared" si="106"/>
        <v>1155</v>
      </c>
      <c r="AG47">
        <f t="shared" si="107"/>
        <v>1061</v>
      </c>
      <c r="AH47">
        <f t="shared" si="108"/>
        <v>6942</v>
      </c>
      <c r="AI47">
        <f t="shared" si="109"/>
        <v>7535</v>
      </c>
      <c r="AJ47">
        <f t="shared" si="110"/>
        <v>5569</v>
      </c>
      <c r="AK47">
        <f t="shared" si="111"/>
        <v>0</v>
      </c>
      <c r="AL47">
        <f t="shared" si="112"/>
        <v>0</v>
      </c>
      <c r="AM47">
        <f t="shared" si="113"/>
        <v>0</v>
      </c>
      <c r="AN47">
        <f t="shared" si="114"/>
        <v>0</v>
      </c>
      <c r="AO47">
        <f t="shared" si="115"/>
        <v>0</v>
      </c>
      <c r="AP47">
        <f t="shared" si="116"/>
        <v>0</v>
      </c>
    </row>
    <row r="48" spans="1:56">
      <c r="A48" t="s">
        <v>31</v>
      </c>
      <c r="B48">
        <v>3011</v>
      </c>
      <c r="C48">
        <v>1448</v>
      </c>
      <c r="D48">
        <v>1154</v>
      </c>
      <c r="E48">
        <v>1030</v>
      </c>
      <c r="F48">
        <v>6833</v>
      </c>
      <c r="G48">
        <v>7301</v>
      </c>
      <c r="H48">
        <v>5492</v>
      </c>
      <c r="AD48">
        <f t="shared" si="117"/>
        <v>3011</v>
      </c>
      <c r="AE48">
        <f t="shared" si="105"/>
        <v>1448</v>
      </c>
      <c r="AF48">
        <f t="shared" si="106"/>
        <v>1154</v>
      </c>
      <c r="AG48">
        <f t="shared" si="107"/>
        <v>1030</v>
      </c>
      <c r="AH48">
        <f t="shared" si="108"/>
        <v>6833</v>
      </c>
      <c r="AI48">
        <f t="shared" si="109"/>
        <v>7301</v>
      </c>
      <c r="AJ48">
        <f t="shared" si="110"/>
        <v>5492</v>
      </c>
      <c r="AK48">
        <f t="shared" si="111"/>
        <v>0</v>
      </c>
      <c r="AL48">
        <f t="shared" si="112"/>
        <v>0</v>
      </c>
      <c r="AM48">
        <f t="shared" si="113"/>
        <v>0</v>
      </c>
      <c r="AN48">
        <f t="shared" si="114"/>
        <v>0</v>
      </c>
      <c r="AO48">
        <f t="shared" si="115"/>
        <v>0</v>
      </c>
      <c r="AP48">
        <f t="shared" si="116"/>
        <v>0</v>
      </c>
    </row>
    <row r="49" spans="1:56">
      <c r="A49" t="s">
        <v>32</v>
      </c>
      <c r="B49">
        <v>3011</v>
      </c>
      <c r="C49">
        <v>1448</v>
      </c>
      <c r="D49">
        <v>1155</v>
      </c>
      <c r="E49">
        <v>1045</v>
      </c>
      <c r="F49">
        <v>6895</v>
      </c>
      <c r="G49">
        <v>7286</v>
      </c>
      <c r="H49">
        <v>5569</v>
      </c>
      <c r="AD49">
        <f t="shared" si="117"/>
        <v>3011</v>
      </c>
      <c r="AE49">
        <f t="shared" si="105"/>
        <v>1448</v>
      </c>
      <c r="AF49">
        <f t="shared" si="106"/>
        <v>1155</v>
      </c>
      <c r="AG49">
        <f t="shared" si="107"/>
        <v>1045</v>
      </c>
      <c r="AH49">
        <f t="shared" si="108"/>
        <v>6895</v>
      </c>
      <c r="AI49">
        <f t="shared" si="109"/>
        <v>7286</v>
      </c>
      <c r="AJ49">
        <f t="shared" si="110"/>
        <v>5569</v>
      </c>
      <c r="AK49">
        <f t="shared" si="111"/>
        <v>0</v>
      </c>
      <c r="AL49">
        <f t="shared" si="112"/>
        <v>0</v>
      </c>
      <c r="AM49">
        <f t="shared" si="113"/>
        <v>0</v>
      </c>
      <c r="AN49">
        <f t="shared" si="114"/>
        <v>0</v>
      </c>
      <c r="AO49">
        <f t="shared" si="115"/>
        <v>0</v>
      </c>
      <c r="AP49">
        <f t="shared" si="116"/>
        <v>0</v>
      </c>
    </row>
    <row r="50" spans="1:56">
      <c r="A50" t="s">
        <v>5</v>
      </c>
      <c r="B50">
        <f>(SUM(B43:B49) -MAX(B43:B49))/((COUNT(B43:B49)-1)*1000)</f>
        <v>3.0108333333333333</v>
      </c>
      <c r="C50">
        <f t="shared" ref="C50" si="118">(SUM(C43:C49) -MAX(C43:C49))/((COUNT(C43:C49)-1)*1000)</f>
        <v>1.4558333333333333</v>
      </c>
      <c r="D50">
        <f t="shared" ref="D50" si="119">(SUM(D43:D49) -MAX(D43:D49))/((COUNT(D43:D49)-1)*1000)</f>
        <v>1.1519999999999999</v>
      </c>
      <c r="E50">
        <f t="shared" ref="E50" si="120">(SUM(E43:E49) -MAX(E43:E49))/((COUNT(E43:E49)-1)*1000)</f>
        <v>1.048</v>
      </c>
      <c r="F50">
        <f t="shared" ref="F50" si="121">(SUM(F43:F49) -MAX(F43:F49))/((COUNT(F43:F49)-1)*1000)</f>
        <v>6.8068333333333335</v>
      </c>
      <c r="G50">
        <f t="shared" ref="G50" si="122">(SUM(G43:G49) -MAX(G43:G49))/((COUNT(G43:G49)-1)*1000)</f>
        <v>6.9603333333333337</v>
      </c>
      <c r="H50">
        <f t="shared" ref="H50" si="123">(SUM(H43:H49) -MAX(H43:H49))/((COUNT(H43:H49)-1)*1000)</f>
        <v>5.3846666666666669</v>
      </c>
      <c r="I50">
        <f t="shared" ref="I50" si="124">(SUM(I43:I49) -MAX(I43:I49))/((COUNT(I43:I49)-1)*1000)</f>
        <v>0</v>
      </c>
      <c r="J50">
        <f t="shared" ref="J50" si="125">(SUM(J43:J49) -MAX(J43:J49))/((COUNT(J43:J49)-1)*1000)</f>
        <v>0</v>
      </c>
      <c r="K50">
        <f t="shared" ref="K50:M50" si="126">(SUM(K43:K49) -MAX(K43:K49))/((COUNT(K43:K49)-1)*1000)</f>
        <v>0</v>
      </c>
      <c r="L50">
        <f t="shared" si="126"/>
        <v>0</v>
      </c>
      <c r="M50">
        <f t="shared" si="126"/>
        <v>0</v>
      </c>
      <c r="N50">
        <f t="shared" ref="N50" si="127">(SUM(N43:N49) -MAX(N43:N49))/((COUNT(N43:N49)-1)*1000)</f>
        <v>0</v>
      </c>
      <c r="P50">
        <f>(SUM(P43:P49) -MAX(P43:P49))/((COUNT(P43:P49)-1)*1000)</f>
        <v>0</v>
      </c>
      <c r="Q50">
        <f t="shared" ref="Q50" si="128">(SUM(Q43:Q49) -MAX(Q43:Q49))/((COUNT(Q43:Q49)-1)*1000)</f>
        <v>0</v>
      </c>
      <c r="R50">
        <f t="shared" ref="R50" si="129">(SUM(R43:R49) -MAX(R43:R49))/((COUNT(R43:R49)-1)*1000)</f>
        <v>0</v>
      </c>
      <c r="S50">
        <f t="shared" ref="S50" si="130">(SUM(S43:S49) -MAX(S43:S49))/((COUNT(S43:S49)-1)*1000)</f>
        <v>0</v>
      </c>
      <c r="T50">
        <f t="shared" ref="T50" si="131">(SUM(T43:T49) -MAX(T43:T49))/((COUNT(T43:T49)-1)*1000)</f>
        <v>0</v>
      </c>
      <c r="U50">
        <f t="shared" ref="U50" si="132">(SUM(U43:U49) -MAX(U43:U49))/((COUNT(U43:U49)-1)*1000)</f>
        <v>0</v>
      </c>
      <c r="V50">
        <f t="shared" ref="V50" si="133">(SUM(V43:V49) -MAX(V43:V49))/((COUNT(V43:V49)-1)*1000)</f>
        <v>0</v>
      </c>
      <c r="W50">
        <f t="shared" ref="W50" si="134">(SUM(W43:W49) -MAX(W43:W49))/((COUNT(W43:W49)-1)*1000)</f>
        <v>0</v>
      </c>
      <c r="X50">
        <f t="shared" ref="X50" si="135">(SUM(X43:X49) -MAX(X43:X49))/((COUNT(X43:X49)-1)*1000)</f>
        <v>0</v>
      </c>
      <c r="Y50">
        <f t="shared" ref="Y50:AA50" si="136">(SUM(Y43:Y49) -MAX(Y43:Y49))/((COUNT(Y43:Y49)-1)*1000)</f>
        <v>0</v>
      </c>
      <c r="Z50">
        <f t="shared" si="136"/>
        <v>0</v>
      </c>
      <c r="AA50">
        <f t="shared" si="136"/>
        <v>0</v>
      </c>
      <c r="AB50">
        <f t="shared" ref="AB50" si="137">(SUM(AB43:AB49) -MAX(AB43:AB49))/((COUNT(AB43:AB49)-1)*1000)</f>
        <v>0</v>
      </c>
      <c r="AD50">
        <f>(SUM(AD43:AD49) -MAX(AD43:AD49))/((COUNT(AD43:AD49)-1)*1000)</f>
        <v>3.0108333333333333</v>
      </c>
      <c r="AE50">
        <f t="shared" ref="AE50" si="138">(SUM(AE43:AE49) -MAX(AE43:AE49))/((COUNT(AE43:AE49)-1)*1000)</f>
        <v>1.4558333333333333</v>
      </c>
      <c r="AF50">
        <f t="shared" ref="AF50" si="139">(SUM(AF43:AF49) -MAX(AF43:AF49))/((COUNT(AF43:AF49)-1)*1000)</f>
        <v>1.1519999999999999</v>
      </c>
      <c r="AG50">
        <f t="shared" ref="AG50" si="140">(SUM(AG43:AG49) -MAX(AG43:AG49))/((COUNT(AG43:AG49)-1)*1000)</f>
        <v>1.048</v>
      </c>
      <c r="AH50">
        <f t="shared" ref="AH50" si="141">(SUM(AH43:AH49) -MAX(AH43:AH49))/((COUNT(AH43:AH49)-1)*1000)</f>
        <v>6.8068333333333335</v>
      </c>
      <c r="AI50">
        <f t="shared" ref="AI50" si="142">(SUM(AI43:AI49) -MAX(AI43:AI49))/((COUNT(AI43:AI49)-1)*1000)</f>
        <v>6.9603333333333337</v>
      </c>
      <c r="AJ50">
        <f t="shared" ref="AJ50" si="143">(SUM(AJ43:AJ49) -MAX(AJ43:AJ49))/((COUNT(AJ43:AJ49)-1)*1000)</f>
        <v>5.3846666666666669</v>
      </c>
      <c r="AK50">
        <f t="shared" ref="AK50" si="144">(SUM(AK43:AK49) -MAX(AK43:AK49))/((COUNT(AK43:AK49)-1)*1000)</f>
        <v>0</v>
      </c>
      <c r="AL50">
        <f t="shared" ref="AL50" si="145">(SUM(AL43:AL49) -MAX(AL43:AL49))/((COUNT(AL43:AL49)-1)*1000)</f>
        <v>0</v>
      </c>
      <c r="AM50">
        <f t="shared" ref="AM50:AO50" si="146">(SUM(AM43:AM49) -MAX(AM43:AM49))/((COUNT(AM43:AM49)-1)*1000)</f>
        <v>0</v>
      </c>
      <c r="AN50">
        <f t="shared" si="146"/>
        <v>0</v>
      </c>
      <c r="AO50">
        <f t="shared" si="146"/>
        <v>0</v>
      </c>
      <c r="AP50">
        <f t="shared" ref="AP50" si="147">(SUM(AP43:AP49) -MAX(AP43:AP49))/((COUNT(AP43:AP49)-1)*1000)</f>
        <v>0</v>
      </c>
      <c r="AR50">
        <f>(SUM(AR43:AR49) -MAX(AR43:AR49))/((COUNT(AR43:AR49)-1)*1000)</f>
        <v>0</v>
      </c>
      <c r="AS50">
        <f t="shared" ref="AS50" si="148">(SUM(AS43:AS49) -MAX(AS43:AS49))/((COUNT(AS43:AS49)-1)*1000)</f>
        <v>0</v>
      </c>
      <c r="AT50">
        <f t="shared" ref="AT50" si="149">(SUM(AT43:AT49) -MAX(AT43:AT49))/((COUNT(AT43:AT49)-1)*1000)</f>
        <v>0</v>
      </c>
      <c r="AU50">
        <f t="shared" ref="AU50:BA50" si="150">(SUM(AU43:AU49) -MAX(AU43:AU49))/((COUNT(AU43:AU49)-1)*1000)</f>
        <v>0</v>
      </c>
      <c r="AV50">
        <f t="shared" si="150"/>
        <v>0</v>
      </c>
      <c r="AW50">
        <f t="shared" si="150"/>
        <v>0</v>
      </c>
      <c r="AX50">
        <f t="shared" si="150"/>
        <v>0</v>
      </c>
      <c r="AY50">
        <f t="shared" si="150"/>
        <v>0</v>
      </c>
      <c r="AZ50">
        <f t="shared" si="150"/>
        <v>0</v>
      </c>
      <c r="BA50">
        <f t="shared" si="150"/>
        <v>0</v>
      </c>
      <c r="BB50">
        <f>(SUM(BB43:BB49) -MAX(BB43:BB49))/((COUNT(BB43:BB49)-1)*1000)</f>
        <v>0</v>
      </c>
      <c r="BC50">
        <f t="shared" ref="BC50" si="151">(SUM(BC43:BC49) -MAX(BC43:BC49))/((COUNT(BC43:BC49)-1)*1000)</f>
        <v>0</v>
      </c>
      <c r="BD50">
        <f t="shared" ref="BD50" si="152">(SUM(BD43:BD49) -MAX(BD43:BD49))/((COUNT(BD43:BD49)-1)*1000)</f>
        <v>0</v>
      </c>
    </row>
    <row r="51" spans="1:56">
      <c r="A51" t="s">
        <v>7</v>
      </c>
      <c r="B51">
        <f>STDEV(B44:B49)/1000</f>
        <v>4.0824829046386303E-4</v>
      </c>
      <c r="C51">
        <f t="shared" ref="C51:K51" si="153">STDEV(C44:C49)/1000</f>
        <v>8.5887523346986107E-3</v>
      </c>
      <c r="D51">
        <f t="shared" si="153"/>
        <v>6.3874877690685249E-3</v>
      </c>
      <c r="E51">
        <f t="shared" si="153"/>
        <v>1.1696153213770757E-2</v>
      </c>
      <c r="F51">
        <f t="shared" si="153"/>
        <v>0.11700498564874358</v>
      </c>
      <c r="G51">
        <f t="shared" si="153"/>
        <v>0.49319516083054049</v>
      </c>
      <c r="H51">
        <f t="shared" si="153"/>
        <v>0.18176211559802183</v>
      </c>
      <c r="I51" t="e">
        <f t="shared" si="153"/>
        <v>#DIV/0!</v>
      </c>
      <c r="J51" t="e">
        <f t="shared" si="153"/>
        <v>#DIV/0!</v>
      </c>
      <c r="K51" t="e">
        <f t="shared" si="153"/>
        <v>#DIV/0!</v>
      </c>
      <c r="L51" t="e">
        <f t="shared" ref="L51:N51" si="154">STDEV(L44:L49)/1000</f>
        <v>#DIV/0!</v>
      </c>
      <c r="M51" t="e">
        <f t="shared" si="154"/>
        <v>#DIV/0!</v>
      </c>
      <c r="N51" t="e">
        <f t="shared" si="154"/>
        <v>#DIV/0!</v>
      </c>
      <c r="P51" t="e">
        <f>STDEV(P44:P49)/1000</f>
        <v>#DIV/0!</v>
      </c>
      <c r="Q51" t="e">
        <f t="shared" ref="Q51:Y51" si="155">STDEV(Q44:Q49)/1000</f>
        <v>#DIV/0!</v>
      </c>
      <c r="R51" t="e">
        <f t="shared" si="155"/>
        <v>#DIV/0!</v>
      </c>
      <c r="S51" t="e">
        <f t="shared" si="155"/>
        <v>#DIV/0!</v>
      </c>
      <c r="T51" t="e">
        <f t="shared" si="155"/>
        <v>#DIV/0!</v>
      </c>
      <c r="U51" t="e">
        <f t="shared" si="155"/>
        <v>#DIV/0!</v>
      </c>
      <c r="V51" t="e">
        <f t="shared" si="155"/>
        <v>#DIV/0!</v>
      </c>
      <c r="W51" t="e">
        <f t="shared" si="155"/>
        <v>#DIV/0!</v>
      </c>
      <c r="X51" t="e">
        <f t="shared" si="155"/>
        <v>#DIV/0!</v>
      </c>
      <c r="Y51" t="e">
        <f t="shared" si="155"/>
        <v>#DIV/0!</v>
      </c>
      <c r="Z51" t="e">
        <f t="shared" ref="Z51:AB51" si="156">STDEV(Z44:Z49)/1000</f>
        <v>#DIV/0!</v>
      </c>
      <c r="AA51" t="e">
        <f t="shared" si="156"/>
        <v>#DIV/0!</v>
      </c>
      <c r="AB51" t="e">
        <f t="shared" si="156"/>
        <v>#DIV/0!</v>
      </c>
      <c r="AD51">
        <f>STDEV(AD44:AD49)/1000</f>
        <v>4.0824829046386303E-4</v>
      </c>
      <c r="AE51">
        <f t="shared" ref="AE51:AM51" si="157">STDEV(AE44:AE49)/1000</f>
        <v>8.5887523346986107E-3</v>
      </c>
      <c r="AF51">
        <f t="shared" si="157"/>
        <v>6.3874877690685249E-3</v>
      </c>
      <c r="AG51">
        <f t="shared" si="157"/>
        <v>1.1696153213770757E-2</v>
      </c>
      <c r="AH51">
        <f t="shared" si="157"/>
        <v>0.11700498564874358</v>
      </c>
      <c r="AI51">
        <f t="shared" si="157"/>
        <v>0.49319516083054049</v>
      </c>
      <c r="AJ51">
        <f t="shared" si="157"/>
        <v>0.18176211559802183</v>
      </c>
      <c r="AK51">
        <f t="shared" si="157"/>
        <v>0</v>
      </c>
      <c r="AL51">
        <f t="shared" si="157"/>
        <v>0</v>
      </c>
      <c r="AM51">
        <f t="shared" si="157"/>
        <v>0</v>
      </c>
      <c r="AN51">
        <f t="shared" ref="AN51:AP51" si="158">STDEV(AN44:AN49)/1000</f>
        <v>0</v>
      </c>
      <c r="AO51">
        <f t="shared" si="158"/>
        <v>0</v>
      </c>
      <c r="AP51">
        <f t="shared" si="158"/>
        <v>0</v>
      </c>
      <c r="AR51" t="e">
        <f>STDEV(AR44:AR49)/1000</f>
        <v>#DIV/0!</v>
      </c>
      <c r="AS51" t="e">
        <f t="shared" ref="AS51:BA51" si="159">STDEV(AS44:AS49)/1000</f>
        <v>#DIV/0!</v>
      </c>
      <c r="AT51" t="e">
        <f t="shared" si="159"/>
        <v>#DIV/0!</v>
      </c>
      <c r="AU51" t="e">
        <f t="shared" si="159"/>
        <v>#DIV/0!</v>
      </c>
      <c r="AV51" t="e">
        <f t="shared" si="159"/>
        <v>#DIV/0!</v>
      </c>
      <c r="AW51" t="e">
        <f t="shared" si="159"/>
        <v>#DIV/0!</v>
      </c>
      <c r="AX51" t="e">
        <f t="shared" si="159"/>
        <v>#DIV/0!</v>
      </c>
      <c r="AY51" t="e">
        <f t="shared" si="159"/>
        <v>#DIV/0!</v>
      </c>
      <c r="AZ51" t="e">
        <f t="shared" si="159"/>
        <v>#DIV/0!</v>
      </c>
      <c r="BA51" t="e">
        <f t="shared" si="159"/>
        <v>#DIV/0!</v>
      </c>
      <c r="BB51" t="e">
        <f>STDEV(BB44:BB49)/1000</f>
        <v>#DIV/0!</v>
      </c>
      <c r="BC51" t="e">
        <f t="shared" ref="BC51:BD51" si="160">STDEV(BC44:BC49)/1000</f>
        <v>#DIV/0!</v>
      </c>
      <c r="BD51" t="e">
        <f t="shared" si="160"/>
        <v>#DIV/0!</v>
      </c>
    </row>
    <row r="52" spans="1:56">
      <c r="A52" t="s">
        <v>8</v>
      </c>
      <c r="B52">
        <f>CONFIDENCE(0.05,B51,5)/2</f>
        <v>1.7891941437171572E-4</v>
      </c>
      <c r="C52">
        <f t="shared" ref="C52" si="161">CONFIDENCE(0.05,C51,5)/2</f>
        <v>3.7641175083965362E-3</v>
      </c>
      <c r="D52">
        <f t="shared" ref="D52" si="162">CONFIDENCE(0.05,D51,5)/2</f>
        <v>2.799388503622892E-3</v>
      </c>
      <c r="E52">
        <f t="shared" ref="E52" si="163">CONFIDENCE(0.05,E51,5)/2</f>
        <v>5.1259709649536462E-3</v>
      </c>
      <c r="F52">
        <f t="shared" ref="F52" si="164">CONFIDENCE(0.05,F51,5)/2</f>
        <v>5.1278753640481595E-2</v>
      </c>
      <c r="G52">
        <f t="shared" ref="G52" si="165">CONFIDENCE(0.05,G51,5)/2</f>
        <v>0.21614833768563052</v>
      </c>
      <c r="H52">
        <f t="shared" ref="H52" si="166">CONFIDENCE(0.05,H51,5)/2</f>
        <v>7.9659295672276198E-2</v>
      </c>
      <c r="I52" t="e">
        <f t="shared" ref="I52" si="167">CONFIDENCE(0.05,I51,5)/2</f>
        <v>#DIV/0!</v>
      </c>
      <c r="J52" t="e">
        <f t="shared" ref="J52" si="168">CONFIDENCE(0.05,J51,5)/2</f>
        <v>#DIV/0!</v>
      </c>
      <c r="K52" t="e">
        <f t="shared" ref="K52:M52" si="169">CONFIDENCE(0.05,K51,5)/2</f>
        <v>#DIV/0!</v>
      </c>
      <c r="L52" t="e">
        <f t="shared" si="169"/>
        <v>#DIV/0!</v>
      </c>
      <c r="M52" t="e">
        <f t="shared" si="169"/>
        <v>#DIV/0!</v>
      </c>
      <c r="N52" t="e">
        <f t="shared" ref="N52" si="170">CONFIDENCE(0.05,N51,5)/2</f>
        <v>#DIV/0!</v>
      </c>
      <c r="P52" t="e">
        <f>CONFIDENCE(0.05,P51,5)/2</f>
        <v>#DIV/0!</v>
      </c>
      <c r="Q52" t="e">
        <f t="shared" ref="Q52" si="171">CONFIDENCE(0.05,Q51,5)/2</f>
        <v>#DIV/0!</v>
      </c>
      <c r="R52" t="e">
        <f t="shared" ref="R52" si="172">CONFIDENCE(0.05,R51,5)/2</f>
        <v>#DIV/0!</v>
      </c>
      <c r="S52" t="e">
        <f t="shared" ref="S52" si="173">CONFIDENCE(0.05,S51,5)/2</f>
        <v>#DIV/0!</v>
      </c>
      <c r="T52" t="e">
        <f t="shared" ref="T52" si="174">CONFIDENCE(0.05,T51,5)/2</f>
        <v>#DIV/0!</v>
      </c>
      <c r="U52" t="e">
        <f t="shared" ref="U52" si="175">CONFIDENCE(0.05,U51,5)/2</f>
        <v>#DIV/0!</v>
      </c>
      <c r="V52" t="e">
        <f t="shared" ref="V52" si="176">CONFIDENCE(0.05,V51,5)/2</f>
        <v>#DIV/0!</v>
      </c>
      <c r="W52" t="e">
        <f t="shared" ref="W52" si="177">CONFIDENCE(0.05,W51,5)/2</f>
        <v>#DIV/0!</v>
      </c>
      <c r="X52" t="e">
        <f t="shared" ref="X52" si="178">CONFIDENCE(0.05,X51,5)/2</f>
        <v>#DIV/0!</v>
      </c>
      <c r="Y52" t="e">
        <f t="shared" ref="Y52:AA52" si="179">CONFIDENCE(0.05,Y51,5)/2</f>
        <v>#DIV/0!</v>
      </c>
      <c r="Z52" t="e">
        <f t="shared" si="179"/>
        <v>#DIV/0!</v>
      </c>
      <c r="AA52" t="e">
        <f t="shared" si="179"/>
        <v>#DIV/0!</v>
      </c>
      <c r="AB52" t="e">
        <f t="shared" ref="AB52" si="180">CONFIDENCE(0.05,AB51,5)/2</f>
        <v>#DIV/0!</v>
      </c>
      <c r="AD52">
        <f>CONFIDENCE(0.05,AD51,5)/2</f>
        <v>1.7891941437171572E-4</v>
      </c>
      <c r="AE52">
        <f t="shared" ref="AE52" si="181">CONFIDENCE(0.05,AE51,5)/2</f>
        <v>3.7641175083965362E-3</v>
      </c>
      <c r="AF52">
        <f t="shared" ref="AF52" si="182">CONFIDENCE(0.05,AF51,5)/2</f>
        <v>2.799388503622892E-3</v>
      </c>
      <c r="AG52">
        <f t="shared" ref="AG52" si="183">CONFIDENCE(0.05,AG51,5)/2</f>
        <v>5.1259709649536462E-3</v>
      </c>
      <c r="AH52">
        <f t="shared" ref="AH52" si="184">CONFIDENCE(0.05,AH51,5)/2</f>
        <v>5.1278753640481595E-2</v>
      </c>
      <c r="AI52">
        <f t="shared" ref="AI52" si="185">CONFIDENCE(0.05,AI51,5)/2</f>
        <v>0.21614833768563052</v>
      </c>
      <c r="AJ52">
        <f t="shared" ref="AJ52" si="186">CONFIDENCE(0.05,AJ51,5)/2</f>
        <v>7.9659295672276198E-2</v>
      </c>
      <c r="AK52" t="e">
        <f t="shared" ref="AK52" si="187">CONFIDENCE(0.05,AK51,5)/2</f>
        <v>#NUM!</v>
      </c>
      <c r="AL52" t="e">
        <f t="shared" ref="AL52" si="188">CONFIDENCE(0.05,AL51,5)/2</f>
        <v>#NUM!</v>
      </c>
      <c r="AM52" t="e">
        <f t="shared" ref="AM52:AO52" si="189">CONFIDENCE(0.05,AM51,5)/2</f>
        <v>#NUM!</v>
      </c>
      <c r="AN52" t="e">
        <f t="shared" si="189"/>
        <v>#NUM!</v>
      </c>
      <c r="AO52" t="e">
        <f t="shared" si="189"/>
        <v>#NUM!</v>
      </c>
      <c r="AP52" t="e">
        <f t="shared" ref="AP52" si="190">CONFIDENCE(0.05,AP51,5)/2</f>
        <v>#NUM!</v>
      </c>
      <c r="AR52" t="e">
        <f>CONFIDENCE(0.05,AR51,5)/2</f>
        <v>#DIV/0!</v>
      </c>
      <c r="AS52" t="e">
        <f t="shared" ref="AS52:BA52" si="191">CONFIDENCE(0.05,AS51,5)/2</f>
        <v>#DIV/0!</v>
      </c>
      <c r="AT52" t="e">
        <f t="shared" si="191"/>
        <v>#DIV/0!</v>
      </c>
      <c r="AU52" t="e">
        <f t="shared" si="191"/>
        <v>#DIV/0!</v>
      </c>
      <c r="AV52" t="e">
        <f t="shared" si="191"/>
        <v>#DIV/0!</v>
      </c>
      <c r="AW52" t="e">
        <f t="shared" si="191"/>
        <v>#DIV/0!</v>
      </c>
      <c r="AX52" t="e">
        <f t="shared" si="191"/>
        <v>#DIV/0!</v>
      </c>
      <c r="AY52" t="e">
        <f t="shared" si="191"/>
        <v>#DIV/0!</v>
      </c>
      <c r="AZ52" t="e">
        <f t="shared" si="191"/>
        <v>#DIV/0!</v>
      </c>
      <c r="BA52" t="e">
        <f t="shared" si="191"/>
        <v>#DIV/0!</v>
      </c>
      <c r="BB52" t="e">
        <f>CONFIDENCE(0.05,BB51,5)/2</f>
        <v>#DIV/0!</v>
      </c>
      <c r="BC52" t="e">
        <f t="shared" ref="BC52:BD52" si="192">CONFIDENCE(0.05,BC51,5)/2</f>
        <v>#DIV/0!</v>
      </c>
      <c r="BD52" t="e">
        <f t="shared" si="192"/>
        <v>#DIV/0!</v>
      </c>
    </row>
    <row r="53" spans="1:56">
      <c r="A53" t="s">
        <v>13</v>
      </c>
    </row>
    <row r="54" spans="1:56">
      <c r="A54" t="s">
        <v>10</v>
      </c>
      <c r="O54" t="s">
        <v>27</v>
      </c>
    </row>
    <row r="55" spans="1:56">
      <c r="A55" s="1" t="s">
        <v>42</v>
      </c>
      <c r="B55" s="1"/>
    </row>
    <row r="56" spans="1:56">
      <c r="A56" t="s">
        <v>61</v>
      </c>
    </row>
    <row r="57" spans="1:56">
      <c r="A57" t="s">
        <v>43</v>
      </c>
      <c r="B57" t="s">
        <v>92</v>
      </c>
      <c r="P57" t="s">
        <v>28</v>
      </c>
      <c r="AD57" t="s">
        <v>29</v>
      </c>
      <c r="AR57" t="s">
        <v>30</v>
      </c>
    </row>
    <row r="58" spans="1:56">
      <c r="A58" t="s">
        <v>6</v>
      </c>
      <c r="B58" t="s">
        <v>35</v>
      </c>
      <c r="C58" t="s">
        <v>66</v>
      </c>
      <c r="F58" t="s">
        <v>68</v>
      </c>
      <c r="I58" t="s">
        <v>67</v>
      </c>
      <c r="L58" t="s">
        <v>90</v>
      </c>
      <c r="P58" t="s">
        <v>35</v>
      </c>
      <c r="Q58" t="s">
        <v>66</v>
      </c>
      <c r="T58" t="s">
        <v>68</v>
      </c>
      <c r="W58" t="s">
        <v>67</v>
      </c>
      <c r="Z58" t="s">
        <v>90</v>
      </c>
      <c r="AD58" t="s">
        <v>35</v>
      </c>
      <c r="AE58" t="s">
        <v>66</v>
      </c>
      <c r="AH58" t="s">
        <v>68</v>
      </c>
      <c r="AK58" t="s">
        <v>67</v>
      </c>
      <c r="AN58" t="s">
        <v>90</v>
      </c>
      <c r="AR58" t="s">
        <v>35</v>
      </c>
      <c r="AS58" t="s">
        <v>66</v>
      </c>
      <c r="AV58" t="s">
        <v>68</v>
      </c>
      <c r="AY58" t="s">
        <v>67</v>
      </c>
      <c r="BB58" t="s">
        <v>90</v>
      </c>
    </row>
    <row r="59" spans="1:56">
      <c r="C59">
        <v>2</v>
      </c>
      <c r="D59">
        <v>4</v>
      </c>
      <c r="E59">
        <v>6</v>
      </c>
      <c r="F59">
        <v>2</v>
      </c>
      <c r="G59">
        <v>4</v>
      </c>
      <c r="H59">
        <v>6</v>
      </c>
      <c r="I59">
        <v>2</v>
      </c>
      <c r="J59">
        <v>4</v>
      </c>
      <c r="K59">
        <v>6</v>
      </c>
      <c r="L59">
        <v>2</v>
      </c>
      <c r="M59">
        <v>4</v>
      </c>
      <c r="N59">
        <v>6</v>
      </c>
      <c r="Q59">
        <v>2</v>
      </c>
      <c r="R59">
        <v>4</v>
      </c>
      <c r="S59">
        <v>6</v>
      </c>
      <c r="T59">
        <v>2</v>
      </c>
      <c r="U59">
        <v>4</v>
      </c>
      <c r="V59">
        <v>6</v>
      </c>
      <c r="W59">
        <v>2</v>
      </c>
      <c r="X59">
        <v>4</v>
      </c>
      <c r="Y59">
        <v>6</v>
      </c>
      <c r="Z59">
        <v>2</v>
      </c>
      <c r="AA59">
        <v>4</v>
      </c>
      <c r="AB59">
        <v>6</v>
      </c>
      <c r="AE59">
        <v>2</v>
      </c>
      <c r="AF59">
        <v>4</v>
      </c>
      <c r="AG59">
        <v>6</v>
      </c>
      <c r="AH59">
        <v>2</v>
      </c>
      <c r="AI59">
        <v>4</v>
      </c>
      <c r="AJ59">
        <v>6</v>
      </c>
      <c r="AK59">
        <v>2</v>
      </c>
      <c r="AL59">
        <v>4</v>
      </c>
      <c r="AM59">
        <v>6</v>
      </c>
      <c r="AN59">
        <v>2</v>
      </c>
      <c r="AO59">
        <v>4</v>
      </c>
      <c r="AP59">
        <v>6</v>
      </c>
      <c r="AS59">
        <v>2</v>
      </c>
      <c r="AT59">
        <v>4</v>
      </c>
      <c r="AU59">
        <v>6</v>
      </c>
      <c r="AV59">
        <v>2</v>
      </c>
      <c r="AW59">
        <v>4</v>
      </c>
      <c r="AX59">
        <v>6</v>
      </c>
      <c r="AY59">
        <v>2</v>
      </c>
      <c r="AZ59">
        <v>4</v>
      </c>
      <c r="BA59">
        <v>6</v>
      </c>
      <c r="BB59">
        <v>2</v>
      </c>
      <c r="BC59">
        <v>4</v>
      </c>
      <c r="BD59">
        <v>6</v>
      </c>
    </row>
    <row r="60" spans="1:56">
      <c r="A60" t="s">
        <v>0</v>
      </c>
      <c r="H60">
        <v>3620</v>
      </c>
      <c r="AD60">
        <f>B60-P60</f>
        <v>0</v>
      </c>
      <c r="AE60">
        <f t="shared" ref="AE60:AE66" si="193">C60-Q60</f>
        <v>0</v>
      </c>
      <c r="AF60">
        <f t="shared" ref="AF60:AF66" si="194">D60-R60</f>
        <v>0</v>
      </c>
      <c r="AG60">
        <f t="shared" ref="AG60:AG66" si="195">E60-S60</f>
        <v>0</v>
      </c>
      <c r="AH60">
        <f t="shared" ref="AH60:AH66" si="196">F60-T60</f>
        <v>0</v>
      </c>
      <c r="AI60">
        <f t="shared" ref="AI60:AI66" si="197">G60-U60</f>
        <v>0</v>
      </c>
      <c r="AJ60">
        <f t="shared" ref="AJ60:AJ66" si="198">H60-V60</f>
        <v>3620</v>
      </c>
      <c r="AK60">
        <f t="shared" ref="AK60:AK66" si="199">I60-W60</f>
        <v>0</v>
      </c>
      <c r="AL60">
        <f t="shared" ref="AL60:AL66" si="200">J60-X60</f>
        <v>0</v>
      </c>
      <c r="AM60">
        <f t="shared" ref="AM60:AM66" si="201">K60-Y60</f>
        <v>0</v>
      </c>
      <c r="AN60">
        <f t="shared" ref="AN60:AN66" si="202">L60-Z60</f>
        <v>0</v>
      </c>
      <c r="AO60">
        <f t="shared" ref="AO60:AO66" si="203">M60-AA60</f>
        <v>0</v>
      </c>
      <c r="AP60">
        <f t="shared" ref="AP60:AP66" si="204">N60-AB60</f>
        <v>0</v>
      </c>
    </row>
    <row r="61" spans="1:56">
      <c r="A61" t="s">
        <v>1</v>
      </c>
      <c r="H61">
        <v>998</v>
      </c>
      <c r="AD61">
        <f t="shared" ref="AD61:AD66" si="205">B61-P61</f>
        <v>0</v>
      </c>
      <c r="AE61">
        <f t="shared" si="193"/>
        <v>0</v>
      </c>
      <c r="AF61">
        <f t="shared" si="194"/>
        <v>0</v>
      </c>
      <c r="AG61">
        <f t="shared" si="195"/>
        <v>0</v>
      </c>
      <c r="AH61">
        <f t="shared" si="196"/>
        <v>0</v>
      </c>
      <c r="AI61">
        <f t="shared" si="197"/>
        <v>0</v>
      </c>
      <c r="AJ61">
        <f t="shared" si="198"/>
        <v>998</v>
      </c>
      <c r="AK61">
        <f t="shared" si="199"/>
        <v>0</v>
      </c>
      <c r="AL61">
        <f t="shared" si="200"/>
        <v>0</v>
      </c>
      <c r="AM61">
        <f t="shared" si="201"/>
        <v>0</v>
      </c>
      <c r="AN61">
        <f t="shared" si="202"/>
        <v>0</v>
      </c>
      <c r="AO61">
        <f t="shared" si="203"/>
        <v>0</v>
      </c>
      <c r="AP61">
        <f t="shared" si="204"/>
        <v>0</v>
      </c>
    </row>
    <row r="62" spans="1:56">
      <c r="A62" t="s">
        <v>2</v>
      </c>
      <c r="H62">
        <v>998</v>
      </c>
      <c r="AD62">
        <f t="shared" si="205"/>
        <v>0</v>
      </c>
      <c r="AE62">
        <f t="shared" si="193"/>
        <v>0</v>
      </c>
      <c r="AF62">
        <f t="shared" si="194"/>
        <v>0</v>
      </c>
      <c r="AG62">
        <f t="shared" si="195"/>
        <v>0</v>
      </c>
      <c r="AH62">
        <f t="shared" si="196"/>
        <v>0</v>
      </c>
      <c r="AI62">
        <f t="shared" si="197"/>
        <v>0</v>
      </c>
      <c r="AJ62">
        <f t="shared" si="198"/>
        <v>998</v>
      </c>
      <c r="AK62">
        <f t="shared" si="199"/>
        <v>0</v>
      </c>
      <c r="AL62">
        <f t="shared" si="200"/>
        <v>0</v>
      </c>
      <c r="AM62">
        <f t="shared" si="201"/>
        <v>0</v>
      </c>
      <c r="AN62">
        <f t="shared" si="202"/>
        <v>0</v>
      </c>
      <c r="AO62">
        <f t="shared" si="203"/>
        <v>0</v>
      </c>
      <c r="AP62">
        <f t="shared" si="204"/>
        <v>0</v>
      </c>
    </row>
    <row r="63" spans="1:56">
      <c r="A63" t="s">
        <v>3</v>
      </c>
      <c r="H63">
        <v>999</v>
      </c>
      <c r="AD63">
        <f t="shared" si="205"/>
        <v>0</v>
      </c>
      <c r="AE63">
        <f t="shared" si="193"/>
        <v>0</v>
      </c>
      <c r="AF63">
        <f t="shared" si="194"/>
        <v>0</v>
      </c>
      <c r="AG63">
        <f t="shared" si="195"/>
        <v>0</v>
      </c>
      <c r="AH63">
        <f t="shared" si="196"/>
        <v>0</v>
      </c>
      <c r="AI63">
        <f t="shared" si="197"/>
        <v>0</v>
      </c>
      <c r="AJ63">
        <f t="shared" si="198"/>
        <v>999</v>
      </c>
      <c r="AK63">
        <f t="shared" si="199"/>
        <v>0</v>
      </c>
      <c r="AL63">
        <f t="shared" si="200"/>
        <v>0</v>
      </c>
      <c r="AM63">
        <f t="shared" si="201"/>
        <v>0</v>
      </c>
      <c r="AN63">
        <f t="shared" si="202"/>
        <v>0</v>
      </c>
      <c r="AO63">
        <f t="shared" si="203"/>
        <v>0</v>
      </c>
      <c r="AP63">
        <f t="shared" si="204"/>
        <v>0</v>
      </c>
    </row>
    <row r="64" spans="1:56">
      <c r="A64" t="s">
        <v>4</v>
      </c>
      <c r="H64">
        <v>998</v>
      </c>
      <c r="AD64">
        <f t="shared" si="205"/>
        <v>0</v>
      </c>
      <c r="AE64">
        <f t="shared" si="193"/>
        <v>0</v>
      </c>
      <c r="AF64">
        <f t="shared" si="194"/>
        <v>0</v>
      </c>
      <c r="AG64">
        <f t="shared" si="195"/>
        <v>0</v>
      </c>
      <c r="AH64">
        <f t="shared" si="196"/>
        <v>0</v>
      </c>
      <c r="AI64">
        <f t="shared" si="197"/>
        <v>0</v>
      </c>
      <c r="AJ64">
        <f t="shared" si="198"/>
        <v>998</v>
      </c>
      <c r="AK64">
        <f t="shared" si="199"/>
        <v>0</v>
      </c>
      <c r="AL64">
        <f t="shared" si="200"/>
        <v>0</v>
      </c>
      <c r="AM64">
        <f t="shared" si="201"/>
        <v>0</v>
      </c>
      <c r="AN64">
        <f t="shared" si="202"/>
        <v>0</v>
      </c>
      <c r="AO64">
        <f t="shared" si="203"/>
        <v>0</v>
      </c>
      <c r="AP64">
        <f t="shared" si="204"/>
        <v>0</v>
      </c>
    </row>
    <row r="65" spans="1:56">
      <c r="A65" t="s">
        <v>31</v>
      </c>
      <c r="H65">
        <v>999</v>
      </c>
      <c r="AD65">
        <f t="shared" si="205"/>
        <v>0</v>
      </c>
      <c r="AE65">
        <f t="shared" si="193"/>
        <v>0</v>
      </c>
      <c r="AF65">
        <f t="shared" si="194"/>
        <v>0</v>
      </c>
      <c r="AG65">
        <f t="shared" si="195"/>
        <v>0</v>
      </c>
      <c r="AH65">
        <f t="shared" si="196"/>
        <v>0</v>
      </c>
      <c r="AI65">
        <f t="shared" si="197"/>
        <v>0</v>
      </c>
      <c r="AJ65">
        <f t="shared" si="198"/>
        <v>999</v>
      </c>
      <c r="AK65">
        <f t="shared" si="199"/>
        <v>0</v>
      </c>
      <c r="AL65">
        <f t="shared" si="200"/>
        <v>0</v>
      </c>
      <c r="AM65">
        <f t="shared" si="201"/>
        <v>0</v>
      </c>
      <c r="AN65">
        <f t="shared" si="202"/>
        <v>0</v>
      </c>
      <c r="AO65">
        <f t="shared" si="203"/>
        <v>0</v>
      </c>
      <c r="AP65">
        <f t="shared" si="204"/>
        <v>0</v>
      </c>
    </row>
    <row r="66" spans="1:56">
      <c r="A66" t="s">
        <v>32</v>
      </c>
      <c r="H66">
        <v>1014</v>
      </c>
      <c r="AD66">
        <f t="shared" si="205"/>
        <v>0</v>
      </c>
      <c r="AE66">
        <f t="shared" si="193"/>
        <v>0</v>
      </c>
      <c r="AF66">
        <f t="shared" si="194"/>
        <v>0</v>
      </c>
      <c r="AG66">
        <f t="shared" si="195"/>
        <v>0</v>
      </c>
      <c r="AH66">
        <f t="shared" si="196"/>
        <v>0</v>
      </c>
      <c r="AI66">
        <f t="shared" si="197"/>
        <v>0</v>
      </c>
      <c r="AJ66">
        <f t="shared" si="198"/>
        <v>1014</v>
      </c>
      <c r="AK66">
        <f t="shared" si="199"/>
        <v>0</v>
      </c>
      <c r="AL66">
        <f t="shared" si="200"/>
        <v>0</v>
      </c>
      <c r="AM66">
        <f t="shared" si="201"/>
        <v>0</v>
      </c>
      <c r="AN66">
        <f t="shared" si="202"/>
        <v>0</v>
      </c>
      <c r="AO66">
        <f t="shared" si="203"/>
        <v>0</v>
      </c>
      <c r="AP66">
        <f t="shared" si="204"/>
        <v>0</v>
      </c>
    </row>
    <row r="67" spans="1:56">
      <c r="A67" t="s">
        <v>5</v>
      </c>
      <c r="B67">
        <f>(SUM(B60:B66) -MAX(B60:B66))/((COUNT(B60:B66)-1)*1000)</f>
        <v>0</v>
      </c>
      <c r="C67">
        <f t="shared" ref="C67" si="206">(SUM(C60:C66) -MAX(C60:C66))/((COUNT(C60:C66)-1)*1000)</f>
        <v>0</v>
      </c>
      <c r="D67">
        <f t="shared" ref="D67" si="207">(SUM(D60:D66) -MAX(D60:D66))/((COUNT(D60:D66)-1)*1000)</f>
        <v>0</v>
      </c>
      <c r="E67">
        <f t="shared" ref="E67" si="208">(SUM(E60:E66) -MAX(E60:E66))/((COUNT(E60:E66)-1)*1000)</f>
        <v>0</v>
      </c>
      <c r="F67">
        <f t="shared" ref="F67" si="209">(SUM(F60:F66) -MAX(F60:F66))/((COUNT(F60:F66)-1)*1000)</f>
        <v>0</v>
      </c>
      <c r="G67">
        <f t="shared" ref="G67" si="210">(SUM(G60:G66) -MAX(G60:G66))/((COUNT(G60:G66)-1)*1000)</f>
        <v>0</v>
      </c>
      <c r="H67">
        <f t="shared" ref="H67" si="211">(SUM(H60:H66) -MAX(H60:H66))/((COUNT(H60:H66)-1)*1000)</f>
        <v>1.0009999999999999</v>
      </c>
      <c r="I67">
        <f t="shared" ref="I67" si="212">(SUM(I60:I66) -MAX(I60:I66))/((COUNT(I60:I66)-1)*1000)</f>
        <v>0</v>
      </c>
      <c r="J67">
        <f t="shared" ref="J67" si="213">(SUM(J60:J66) -MAX(J60:J66))/((COUNT(J60:J66)-1)*1000)</f>
        <v>0</v>
      </c>
      <c r="K67">
        <f t="shared" ref="K67:M67" si="214">(SUM(K60:K66) -MAX(K60:K66))/((COUNT(K60:K66)-1)*1000)</f>
        <v>0</v>
      </c>
      <c r="L67">
        <f t="shared" si="214"/>
        <v>0</v>
      </c>
      <c r="M67">
        <f t="shared" si="214"/>
        <v>0</v>
      </c>
      <c r="N67">
        <f t="shared" ref="N67" si="215">(SUM(N60:N66) -MAX(N60:N66))/((COUNT(N60:N66)-1)*1000)</f>
        <v>0</v>
      </c>
      <c r="P67">
        <f>(SUM(P60:P66) -MAX(P60:P66))/((COUNT(P60:P66)-1)*1000)</f>
        <v>0</v>
      </c>
      <c r="Q67">
        <f t="shared" ref="Q67" si="216">(SUM(Q60:Q66) -MAX(Q60:Q66))/((COUNT(Q60:Q66)-1)*1000)</f>
        <v>0</v>
      </c>
      <c r="R67">
        <f t="shared" ref="R67" si="217">(SUM(R60:R66) -MAX(R60:R66))/((COUNT(R60:R66)-1)*1000)</f>
        <v>0</v>
      </c>
      <c r="S67">
        <f t="shared" ref="S67" si="218">(SUM(S60:S66) -MAX(S60:S66))/((COUNT(S60:S66)-1)*1000)</f>
        <v>0</v>
      </c>
      <c r="T67">
        <f t="shared" ref="T67" si="219">(SUM(T60:T66) -MAX(T60:T66))/((COUNT(T60:T66)-1)*1000)</f>
        <v>0</v>
      </c>
      <c r="U67">
        <f t="shared" ref="U67" si="220">(SUM(U60:U66) -MAX(U60:U66))/((COUNT(U60:U66)-1)*1000)</f>
        <v>0</v>
      </c>
      <c r="V67">
        <f t="shared" ref="V67" si="221">(SUM(V60:V66) -MAX(V60:V66))/((COUNT(V60:V66)-1)*1000)</f>
        <v>0</v>
      </c>
      <c r="W67">
        <f t="shared" ref="W67" si="222">(SUM(W60:W66) -MAX(W60:W66))/((COUNT(W60:W66)-1)*1000)</f>
        <v>0</v>
      </c>
      <c r="X67">
        <f t="shared" ref="X67" si="223">(SUM(X60:X66) -MAX(X60:X66))/((COUNT(X60:X66)-1)*1000)</f>
        <v>0</v>
      </c>
      <c r="Y67">
        <f t="shared" ref="Y67:AA67" si="224">(SUM(Y60:Y66) -MAX(Y60:Y66))/((COUNT(Y60:Y66)-1)*1000)</f>
        <v>0</v>
      </c>
      <c r="Z67">
        <f t="shared" si="224"/>
        <v>0</v>
      </c>
      <c r="AA67">
        <f t="shared" si="224"/>
        <v>0</v>
      </c>
      <c r="AB67">
        <f t="shared" ref="AB67" si="225">(SUM(AB60:AB66) -MAX(AB60:AB66))/((COUNT(AB60:AB66)-1)*1000)</f>
        <v>0</v>
      </c>
      <c r="AD67">
        <f>(SUM(AD60:AD66) -MAX(AD60:AD66))/((COUNT(AD60:AD66)-1)*1000)</f>
        <v>0</v>
      </c>
      <c r="AE67">
        <f t="shared" ref="AE67" si="226">(SUM(AE60:AE66) -MAX(AE60:AE66))/((COUNT(AE60:AE66)-1)*1000)</f>
        <v>0</v>
      </c>
      <c r="AF67">
        <f t="shared" ref="AF67" si="227">(SUM(AF60:AF66) -MAX(AF60:AF66))/((COUNT(AF60:AF66)-1)*1000)</f>
        <v>0</v>
      </c>
      <c r="AG67">
        <f t="shared" ref="AG67" si="228">(SUM(AG60:AG66) -MAX(AG60:AG66))/((COUNT(AG60:AG66)-1)*1000)</f>
        <v>0</v>
      </c>
      <c r="AH67">
        <f t="shared" ref="AH67" si="229">(SUM(AH60:AH66) -MAX(AH60:AH66))/((COUNT(AH60:AH66)-1)*1000)</f>
        <v>0</v>
      </c>
      <c r="AI67">
        <f t="shared" ref="AI67" si="230">(SUM(AI60:AI66) -MAX(AI60:AI66))/((COUNT(AI60:AI66)-1)*1000)</f>
        <v>0</v>
      </c>
      <c r="AJ67">
        <f t="shared" ref="AJ67" si="231">(SUM(AJ60:AJ66) -MAX(AJ60:AJ66))/((COUNT(AJ60:AJ66)-1)*1000)</f>
        <v>1.0009999999999999</v>
      </c>
      <c r="AK67">
        <f t="shared" ref="AK67" si="232">(SUM(AK60:AK66) -MAX(AK60:AK66))/((COUNT(AK60:AK66)-1)*1000)</f>
        <v>0</v>
      </c>
      <c r="AL67">
        <f t="shared" ref="AL67" si="233">(SUM(AL60:AL66) -MAX(AL60:AL66))/((COUNT(AL60:AL66)-1)*1000)</f>
        <v>0</v>
      </c>
      <c r="AM67">
        <f t="shared" ref="AM67:AO67" si="234">(SUM(AM60:AM66) -MAX(AM60:AM66))/((COUNT(AM60:AM66)-1)*1000)</f>
        <v>0</v>
      </c>
      <c r="AN67">
        <f t="shared" si="234"/>
        <v>0</v>
      </c>
      <c r="AO67">
        <f t="shared" si="234"/>
        <v>0</v>
      </c>
      <c r="AP67">
        <f t="shared" ref="AP67" si="235">(SUM(AP60:AP66) -MAX(AP60:AP66))/((COUNT(AP60:AP66)-1)*1000)</f>
        <v>0</v>
      </c>
      <c r="AR67">
        <f>(SUM(AR60:AR66) -MAX(AR60:AR66))/((COUNT(AR60:AR66)-1)*1000)</f>
        <v>0</v>
      </c>
      <c r="AS67">
        <f t="shared" ref="AS67" si="236">(SUM(AS60:AS66) -MAX(AS60:AS66))/((COUNT(AS60:AS66)-1)*1000)</f>
        <v>0</v>
      </c>
      <c r="AT67">
        <f t="shared" ref="AT67" si="237">(SUM(AT60:AT66) -MAX(AT60:AT66))/((COUNT(AT60:AT66)-1)*1000)</f>
        <v>0</v>
      </c>
      <c r="AU67">
        <f t="shared" ref="AU67:BA67" si="238">(SUM(AU60:AU66) -MAX(AU60:AU66))/((COUNT(AU60:AU66)-1)*1000)</f>
        <v>0</v>
      </c>
      <c r="AV67">
        <f t="shared" si="238"/>
        <v>0</v>
      </c>
      <c r="AW67">
        <f t="shared" si="238"/>
        <v>0</v>
      </c>
      <c r="AX67">
        <f t="shared" si="238"/>
        <v>0</v>
      </c>
      <c r="AY67">
        <f t="shared" si="238"/>
        <v>0</v>
      </c>
      <c r="AZ67">
        <f t="shared" si="238"/>
        <v>0</v>
      </c>
      <c r="BA67">
        <f t="shared" si="238"/>
        <v>0</v>
      </c>
      <c r="BB67">
        <f>(SUM(BB60:BB66) -MAX(BB60:BB66))/((COUNT(BB60:BB66)-1)*1000)</f>
        <v>0</v>
      </c>
      <c r="BC67">
        <f t="shared" ref="BC67" si="239">(SUM(BC60:BC66) -MAX(BC60:BC66))/((COUNT(BC60:BC66)-1)*1000)</f>
        <v>0</v>
      </c>
      <c r="BD67">
        <f t="shared" ref="BD67" si="240">(SUM(BD60:BD66) -MAX(BD60:BD66))/((COUNT(BD60:BD66)-1)*1000)</f>
        <v>0</v>
      </c>
    </row>
    <row r="68" spans="1:56">
      <c r="A68" t="s">
        <v>7</v>
      </c>
      <c r="B68" t="e">
        <f>STDEV(B61:B66)/1000</f>
        <v>#DIV/0!</v>
      </c>
      <c r="C68" t="e">
        <f t="shared" ref="C68:K68" si="241">STDEV(C61:C66)/1000</f>
        <v>#DIV/0!</v>
      </c>
      <c r="D68" t="e">
        <f t="shared" si="241"/>
        <v>#DIV/0!</v>
      </c>
      <c r="E68" t="e">
        <f t="shared" si="241"/>
        <v>#DIV/0!</v>
      </c>
      <c r="F68" t="e">
        <f t="shared" si="241"/>
        <v>#DIV/0!</v>
      </c>
      <c r="G68" t="e">
        <f t="shared" si="241"/>
        <v>#DIV/0!</v>
      </c>
      <c r="H68">
        <f t="shared" si="241"/>
        <v>6.3874877690685249E-3</v>
      </c>
      <c r="I68" t="e">
        <f t="shared" si="241"/>
        <v>#DIV/0!</v>
      </c>
      <c r="J68" t="e">
        <f t="shared" si="241"/>
        <v>#DIV/0!</v>
      </c>
      <c r="K68" t="e">
        <f t="shared" si="241"/>
        <v>#DIV/0!</v>
      </c>
      <c r="L68" t="e">
        <f t="shared" ref="L68:N68" si="242">STDEV(L61:L66)/1000</f>
        <v>#DIV/0!</v>
      </c>
      <c r="M68" t="e">
        <f t="shared" si="242"/>
        <v>#DIV/0!</v>
      </c>
      <c r="N68" t="e">
        <f t="shared" si="242"/>
        <v>#DIV/0!</v>
      </c>
      <c r="P68" t="e">
        <f>STDEV(P61:P66)/1000</f>
        <v>#DIV/0!</v>
      </c>
      <c r="Q68" t="e">
        <f t="shared" ref="Q68:Y68" si="243">STDEV(Q61:Q66)/1000</f>
        <v>#DIV/0!</v>
      </c>
      <c r="R68" t="e">
        <f t="shared" si="243"/>
        <v>#DIV/0!</v>
      </c>
      <c r="S68" t="e">
        <f t="shared" si="243"/>
        <v>#DIV/0!</v>
      </c>
      <c r="T68" t="e">
        <f t="shared" si="243"/>
        <v>#DIV/0!</v>
      </c>
      <c r="U68" t="e">
        <f t="shared" si="243"/>
        <v>#DIV/0!</v>
      </c>
      <c r="V68" t="e">
        <f t="shared" si="243"/>
        <v>#DIV/0!</v>
      </c>
      <c r="W68" t="e">
        <f t="shared" si="243"/>
        <v>#DIV/0!</v>
      </c>
      <c r="X68" t="e">
        <f t="shared" si="243"/>
        <v>#DIV/0!</v>
      </c>
      <c r="Y68" t="e">
        <f t="shared" si="243"/>
        <v>#DIV/0!</v>
      </c>
      <c r="Z68" t="e">
        <f t="shared" ref="Z68:AB68" si="244">STDEV(Z61:Z66)/1000</f>
        <v>#DIV/0!</v>
      </c>
      <c r="AA68" t="e">
        <f t="shared" si="244"/>
        <v>#DIV/0!</v>
      </c>
      <c r="AB68" t="e">
        <f t="shared" si="244"/>
        <v>#DIV/0!</v>
      </c>
      <c r="AD68">
        <f>STDEV(AD61:AD66)/1000</f>
        <v>0</v>
      </c>
      <c r="AE68">
        <f t="shared" ref="AE68:AM68" si="245">STDEV(AE61:AE66)/1000</f>
        <v>0</v>
      </c>
      <c r="AF68">
        <f t="shared" si="245"/>
        <v>0</v>
      </c>
      <c r="AG68">
        <f t="shared" si="245"/>
        <v>0</v>
      </c>
      <c r="AH68">
        <f t="shared" si="245"/>
        <v>0</v>
      </c>
      <c r="AI68">
        <f t="shared" si="245"/>
        <v>0</v>
      </c>
      <c r="AJ68">
        <f t="shared" si="245"/>
        <v>6.3874877690685249E-3</v>
      </c>
      <c r="AK68">
        <f t="shared" si="245"/>
        <v>0</v>
      </c>
      <c r="AL68">
        <f t="shared" si="245"/>
        <v>0</v>
      </c>
      <c r="AM68">
        <f t="shared" si="245"/>
        <v>0</v>
      </c>
      <c r="AN68">
        <f t="shared" ref="AN68:AP68" si="246">STDEV(AN61:AN66)/1000</f>
        <v>0</v>
      </c>
      <c r="AO68">
        <f t="shared" si="246"/>
        <v>0</v>
      </c>
      <c r="AP68">
        <f t="shared" si="246"/>
        <v>0</v>
      </c>
      <c r="AR68" t="e">
        <f>STDEV(AR61:AR66)/1000</f>
        <v>#DIV/0!</v>
      </c>
      <c r="AS68" t="e">
        <f t="shared" ref="AS68:BA68" si="247">STDEV(AS61:AS66)/1000</f>
        <v>#DIV/0!</v>
      </c>
      <c r="AT68" t="e">
        <f t="shared" si="247"/>
        <v>#DIV/0!</v>
      </c>
      <c r="AU68" t="e">
        <f t="shared" si="247"/>
        <v>#DIV/0!</v>
      </c>
      <c r="AV68" t="e">
        <f t="shared" si="247"/>
        <v>#DIV/0!</v>
      </c>
      <c r="AW68" t="e">
        <f t="shared" si="247"/>
        <v>#DIV/0!</v>
      </c>
      <c r="AX68" t="e">
        <f t="shared" si="247"/>
        <v>#DIV/0!</v>
      </c>
      <c r="AY68" t="e">
        <f t="shared" si="247"/>
        <v>#DIV/0!</v>
      </c>
      <c r="AZ68" t="e">
        <f t="shared" si="247"/>
        <v>#DIV/0!</v>
      </c>
      <c r="BA68" t="e">
        <f t="shared" si="247"/>
        <v>#DIV/0!</v>
      </c>
      <c r="BB68" t="e">
        <f>STDEV(BB61:BB66)/1000</f>
        <v>#DIV/0!</v>
      </c>
      <c r="BC68" t="e">
        <f t="shared" ref="BC68:BD68" si="248">STDEV(BC61:BC66)/1000</f>
        <v>#DIV/0!</v>
      </c>
      <c r="BD68" t="e">
        <f t="shared" si="248"/>
        <v>#DIV/0!</v>
      </c>
    </row>
    <row r="69" spans="1:56">
      <c r="A69" t="s">
        <v>8</v>
      </c>
      <c r="B69" t="e">
        <f>CONFIDENCE(0.05,B68,5)/2</f>
        <v>#DIV/0!</v>
      </c>
      <c r="C69" t="e">
        <f t="shared" ref="C69" si="249">CONFIDENCE(0.05,C68,5)/2</f>
        <v>#DIV/0!</v>
      </c>
      <c r="D69" t="e">
        <f t="shared" ref="D69" si="250">CONFIDENCE(0.05,D68,5)/2</f>
        <v>#DIV/0!</v>
      </c>
      <c r="E69" t="e">
        <f t="shared" ref="E69" si="251">CONFIDENCE(0.05,E68,5)/2</f>
        <v>#DIV/0!</v>
      </c>
      <c r="F69" t="e">
        <f t="shared" ref="F69" si="252">CONFIDENCE(0.05,F68,5)/2</f>
        <v>#DIV/0!</v>
      </c>
      <c r="G69" t="e">
        <f t="shared" ref="G69" si="253">CONFIDENCE(0.05,G68,5)/2</f>
        <v>#DIV/0!</v>
      </c>
      <c r="H69">
        <f t="shared" ref="H69" si="254">CONFIDENCE(0.05,H68,5)/2</f>
        <v>2.799388503622892E-3</v>
      </c>
      <c r="I69" t="e">
        <f t="shared" ref="I69" si="255">CONFIDENCE(0.05,I68,5)/2</f>
        <v>#DIV/0!</v>
      </c>
      <c r="J69" t="e">
        <f t="shared" ref="J69" si="256">CONFIDENCE(0.05,J68,5)/2</f>
        <v>#DIV/0!</v>
      </c>
      <c r="K69" t="e">
        <f t="shared" ref="K69:M69" si="257">CONFIDENCE(0.05,K68,5)/2</f>
        <v>#DIV/0!</v>
      </c>
      <c r="L69" t="e">
        <f t="shared" si="257"/>
        <v>#DIV/0!</v>
      </c>
      <c r="M69" t="e">
        <f t="shared" si="257"/>
        <v>#DIV/0!</v>
      </c>
      <c r="N69" t="e">
        <f t="shared" ref="N69" si="258">CONFIDENCE(0.05,N68,5)/2</f>
        <v>#DIV/0!</v>
      </c>
      <c r="P69" t="e">
        <f>CONFIDENCE(0.05,P68,5)/2</f>
        <v>#DIV/0!</v>
      </c>
      <c r="Q69" t="e">
        <f t="shared" ref="Q69" si="259">CONFIDENCE(0.05,Q68,5)/2</f>
        <v>#DIV/0!</v>
      </c>
      <c r="R69" t="e">
        <f t="shared" ref="R69" si="260">CONFIDENCE(0.05,R68,5)/2</f>
        <v>#DIV/0!</v>
      </c>
      <c r="S69" t="e">
        <f t="shared" ref="S69" si="261">CONFIDENCE(0.05,S68,5)/2</f>
        <v>#DIV/0!</v>
      </c>
      <c r="T69" t="e">
        <f t="shared" ref="T69" si="262">CONFIDENCE(0.05,T68,5)/2</f>
        <v>#DIV/0!</v>
      </c>
      <c r="U69" t="e">
        <f t="shared" ref="U69" si="263">CONFIDENCE(0.05,U68,5)/2</f>
        <v>#DIV/0!</v>
      </c>
      <c r="V69" t="e">
        <f t="shared" ref="V69" si="264">CONFIDENCE(0.05,V68,5)/2</f>
        <v>#DIV/0!</v>
      </c>
      <c r="W69" t="e">
        <f t="shared" ref="W69" si="265">CONFIDENCE(0.05,W68,5)/2</f>
        <v>#DIV/0!</v>
      </c>
      <c r="X69" t="e">
        <f t="shared" ref="X69" si="266">CONFIDENCE(0.05,X68,5)/2</f>
        <v>#DIV/0!</v>
      </c>
      <c r="Y69" t="e">
        <f t="shared" ref="Y69:AA69" si="267">CONFIDENCE(0.05,Y68,5)/2</f>
        <v>#DIV/0!</v>
      </c>
      <c r="Z69" t="e">
        <f t="shared" si="267"/>
        <v>#DIV/0!</v>
      </c>
      <c r="AA69" t="e">
        <f t="shared" si="267"/>
        <v>#DIV/0!</v>
      </c>
      <c r="AB69" t="e">
        <f t="shared" ref="AB69" si="268">CONFIDENCE(0.05,AB68,5)/2</f>
        <v>#DIV/0!</v>
      </c>
      <c r="AD69" t="e">
        <f>CONFIDENCE(0.05,AD68,5)/2</f>
        <v>#NUM!</v>
      </c>
      <c r="AE69" t="e">
        <f t="shared" ref="AE69" si="269">CONFIDENCE(0.05,AE68,5)/2</f>
        <v>#NUM!</v>
      </c>
      <c r="AF69" t="e">
        <f t="shared" ref="AF69" si="270">CONFIDENCE(0.05,AF68,5)/2</f>
        <v>#NUM!</v>
      </c>
      <c r="AG69" t="e">
        <f t="shared" ref="AG69" si="271">CONFIDENCE(0.05,AG68,5)/2</f>
        <v>#NUM!</v>
      </c>
      <c r="AH69" t="e">
        <f t="shared" ref="AH69" si="272">CONFIDENCE(0.05,AH68,5)/2</f>
        <v>#NUM!</v>
      </c>
      <c r="AI69" t="e">
        <f t="shared" ref="AI69" si="273">CONFIDENCE(0.05,AI68,5)/2</f>
        <v>#NUM!</v>
      </c>
      <c r="AJ69">
        <f t="shared" ref="AJ69" si="274">CONFIDENCE(0.05,AJ68,5)/2</f>
        <v>2.799388503622892E-3</v>
      </c>
      <c r="AK69" t="e">
        <f t="shared" ref="AK69" si="275">CONFIDENCE(0.05,AK68,5)/2</f>
        <v>#NUM!</v>
      </c>
      <c r="AL69" t="e">
        <f t="shared" ref="AL69" si="276">CONFIDENCE(0.05,AL68,5)/2</f>
        <v>#NUM!</v>
      </c>
      <c r="AM69" t="e">
        <f t="shared" ref="AM69:AO69" si="277">CONFIDENCE(0.05,AM68,5)/2</f>
        <v>#NUM!</v>
      </c>
      <c r="AN69" t="e">
        <f t="shared" si="277"/>
        <v>#NUM!</v>
      </c>
      <c r="AO69" t="e">
        <f t="shared" si="277"/>
        <v>#NUM!</v>
      </c>
      <c r="AP69" t="e">
        <f t="shared" ref="AP69" si="278">CONFIDENCE(0.05,AP68,5)/2</f>
        <v>#NUM!</v>
      </c>
      <c r="AR69" t="e">
        <f>CONFIDENCE(0.05,AR68,5)/2</f>
        <v>#DIV/0!</v>
      </c>
      <c r="AS69" t="e">
        <f t="shared" ref="AS69:BA69" si="279">CONFIDENCE(0.05,AS68,5)/2</f>
        <v>#DIV/0!</v>
      </c>
      <c r="AT69" t="e">
        <f t="shared" si="279"/>
        <v>#DIV/0!</v>
      </c>
      <c r="AU69" t="e">
        <f t="shared" si="279"/>
        <v>#DIV/0!</v>
      </c>
      <c r="AV69" t="e">
        <f t="shared" si="279"/>
        <v>#DIV/0!</v>
      </c>
      <c r="AW69" t="e">
        <f t="shared" si="279"/>
        <v>#DIV/0!</v>
      </c>
      <c r="AX69" t="e">
        <f t="shared" si="279"/>
        <v>#DIV/0!</v>
      </c>
      <c r="AY69" t="e">
        <f t="shared" si="279"/>
        <v>#DIV/0!</v>
      </c>
      <c r="AZ69" t="e">
        <f t="shared" si="279"/>
        <v>#DIV/0!</v>
      </c>
      <c r="BA69" t="e">
        <f t="shared" si="279"/>
        <v>#DIV/0!</v>
      </c>
      <c r="BB69" t="e">
        <f>CONFIDENCE(0.05,BB68,5)/2</f>
        <v>#DIV/0!</v>
      </c>
      <c r="BC69" t="e">
        <f t="shared" ref="BC69:BD69" si="280">CONFIDENCE(0.05,BC68,5)/2</f>
        <v>#DIV/0!</v>
      </c>
      <c r="BD69" t="e">
        <f t="shared" si="280"/>
        <v>#DIV/0!</v>
      </c>
    </row>
    <row r="70" spans="1:56">
      <c r="A70" t="s">
        <v>13</v>
      </c>
    </row>
    <row r="71" spans="1:56">
      <c r="A71" t="s">
        <v>10</v>
      </c>
      <c r="O71" t="s">
        <v>27</v>
      </c>
    </row>
    <row r="72" spans="1:56">
      <c r="A72" s="1" t="s">
        <v>48</v>
      </c>
      <c r="B72" s="1"/>
    </row>
    <row r="73" spans="1:56">
      <c r="A73" s="1" t="s">
        <v>48</v>
      </c>
      <c r="B73" s="1"/>
    </row>
    <row r="74" spans="1:56">
      <c r="A74" t="s">
        <v>63</v>
      </c>
      <c r="B74" s="1"/>
    </row>
    <row r="75" spans="1:56">
      <c r="A75" t="s">
        <v>43</v>
      </c>
      <c r="B75" t="s">
        <v>92</v>
      </c>
      <c r="P75" t="s">
        <v>28</v>
      </c>
      <c r="AD75" t="s">
        <v>29</v>
      </c>
      <c r="AR75" t="s">
        <v>30</v>
      </c>
    </row>
    <row r="76" spans="1:56">
      <c r="A76" t="s">
        <v>6</v>
      </c>
      <c r="B76" t="s">
        <v>35</v>
      </c>
      <c r="C76" t="s">
        <v>66</v>
      </c>
      <c r="F76" t="s">
        <v>68</v>
      </c>
      <c r="I76" t="s">
        <v>67</v>
      </c>
      <c r="L76" t="s">
        <v>90</v>
      </c>
      <c r="P76" t="s">
        <v>35</v>
      </c>
      <c r="Q76" t="s">
        <v>66</v>
      </c>
      <c r="T76" t="s">
        <v>68</v>
      </c>
      <c r="W76" t="s">
        <v>67</v>
      </c>
      <c r="Z76" t="s">
        <v>90</v>
      </c>
      <c r="AD76" t="s">
        <v>35</v>
      </c>
      <c r="AE76" t="s">
        <v>66</v>
      </c>
      <c r="AH76" t="s">
        <v>68</v>
      </c>
      <c r="AK76" t="s">
        <v>67</v>
      </c>
      <c r="AN76" t="s">
        <v>90</v>
      </c>
      <c r="AR76" t="s">
        <v>35</v>
      </c>
      <c r="AS76" t="s">
        <v>66</v>
      </c>
      <c r="AV76" t="s">
        <v>68</v>
      </c>
      <c r="AY76" t="s">
        <v>67</v>
      </c>
      <c r="BB76" t="s">
        <v>90</v>
      </c>
    </row>
    <row r="77" spans="1:56">
      <c r="C77">
        <v>3</v>
      </c>
      <c r="D77">
        <v>5</v>
      </c>
      <c r="E77">
        <v>7</v>
      </c>
      <c r="F77">
        <v>3</v>
      </c>
      <c r="G77">
        <v>5</v>
      </c>
      <c r="H77">
        <v>7</v>
      </c>
      <c r="I77">
        <v>3</v>
      </c>
      <c r="J77">
        <v>5</v>
      </c>
      <c r="K77">
        <v>7</v>
      </c>
      <c r="L77">
        <v>3</v>
      </c>
      <c r="M77">
        <v>5</v>
      </c>
      <c r="N77">
        <v>7</v>
      </c>
      <c r="Q77">
        <v>3</v>
      </c>
      <c r="R77">
        <v>5</v>
      </c>
      <c r="S77">
        <v>7</v>
      </c>
      <c r="T77">
        <v>3</v>
      </c>
      <c r="U77">
        <v>5</v>
      </c>
      <c r="V77">
        <v>7</v>
      </c>
      <c r="W77">
        <v>3</v>
      </c>
      <c r="X77">
        <v>5</v>
      </c>
      <c r="Y77">
        <v>7</v>
      </c>
      <c r="Z77">
        <v>3</v>
      </c>
      <c r="AA77">
        <v>5</v>
      </c>
      <c r="AB77">
        <v>7</v>
      </c>
      <c r="AE77">
        <v>3</v>
      </c>
      <c r="AF77">
        <v>5</v>
      </c>
      <c r="AG77">
        <v>7</v>
      </c>
      <c r="AH77">
        <v>3</v>
      </c>
      <c r="AI77">
        <v>5</v>
      </c>
      <c r="AJ77">
        <v>7</v>
      </c>
      <c r="AK77">
        <v>3</v>
      </c>
      <c r="AL77">
        <v>5</v>
      </c>
      <c r="AM77">
        <v>7</v>
      </c>
      <c r="AN77">
        <v>3</v>
      </c>
      <c r="AO77">
        <v>5</v>
      </c>
      <c r="AP77">
        <v>7</v>
      </c>
      <c r="AS77">
        <v>3</v>
      </c>
      <c r="AT77">
        <v>5</v>
      </c>
      <c r="AU77">
        <v>7</v>
      </c>
      <c r="AV77">
        <v>3</v>
      </c>
      <c r="AW77">
        <v>5</v>
      </c>
      <c r="AX77">
        <v>7</v>
      </c>
      <c r="AY77">
        <v>3</v>
      </c>
      <c r="AZ77">
        <v>5</v>
      </c>
      <c r="BA77">
        <v>7</v>
      </c>
      <c r="BB77">
        <v>3</v>
      </c>
      <c r="BC77">
        <v>5</v>
      </c>
      <c r="BD77">
        <v>7</v>
      </c>
    </row>
    <row r="78" spans="1:56">
      <c r="A78" t="s">
        <v>0</v>
      </c>
      <c r="B78">
        <v>301320</v>
      </c>
      <c r="C78">
        <v>172149</v>
      </c>
      <c r="D78">
        <v>154225</v>
      </c>
      <c r="E78">
        <v>86660</v>
      </c>
      <c r="F78">
        <v>1322693</v>
      </c>
      <c r="G78">
        <v>3086722</v>
      </c>
      <c r="H78">
        <v>3173694</v>
      </c>
      <c r="I78">
        <v>1388645</v>
      </c>
      <c r="J78">
        <v>3197079</v>
      </c>
      <c r="K78">
        <v>1807950</v>
      </c>
      <c r="L78">
        <v>1330606</v>
      </c>
      <c r="M78">
        <v>3106909</v>
      </c>
      <c r="N78">
        <v>3821465</v>
      </c>
      <c r="P78">
        <v>577</v>
      </c>
      <c r="Q78">
        <v>671</v>
      </c>
      <c r="R78">
        <v>656</v>
      </c>
      <c r="S78">
        <v>671</v>
      </c>
      <c r="T78">
        <v>718</v>
      </c>
      <c r="U78">
        <v>811</v>
      </c>
      <c r="V78">
        <v>1046</v>
      </c>
      <c r="W78">
        <v>702</v>
      </c>
      <c r="X78">
        <v>734</v>
      </c>
      <c r="Y78">
        <v>764</v>
      </c>
      <c r="Z78">
        <v>686</v>
      </c>
      <c r="AA78">
        <v>733</v>
      </c>
      <c r="AB78">
        <v>765</v>
      </c>
      <c r="AD78">
        <f t="shared" ref="AD78:AN78" si="281">B78-P78</f>
        <v>300743</v>
      </c>
      <c r="AE78">
        <f t="shared" si="281"/>
        <v>171478</v>
      </c>
      <c r="AF78">
        <f t="shared" si="281"/>
        <v>153569</v>
      </c>
      <c r="AG78">
        <f t="shared" si="281"/>
        <v>85989</v>
      </c>
      <c r="AH78">
        <f t="shared" si="281"/>
        <v>1321975</v>
      </c>
      <c r="AI78">
        <f t="shared" si="281"/>
        <v>3085911</v>
      </c>
      <c r="AJ78">
        <f t="shared" si="281"/>
        <v>3172648</v>
      </c>
      <c r="AK78">
        <f t="shared" si="281"/>
        <v>1387943</v>
      </c>
      <c r="AL78">
        <f t="shared" si="281"/>
        <v>3196345</v>
      </c>
      <c r="AM78">
        <f t="shared" si="281"/>
        <v>1807186</v>
      </c>
      <c r="AN78">
        <f t="shared" si="281"/>
        <v>1329920</v>
      </c>
      <c r="AO78">
        <f t="shared" ref="AO78" si="282">M78-AA78</f>
        <v>3106176</v>
      </c>
      <c r="AP78">
        <f t="shared" ref="AP78" si="283">N78-AB78</f>
        <v>3820700</v>
      </c>
      <c r="AR78">
        <v>49235</v>
      </c>
      <c r="AS78">
        <v>55553</v>
      </c>
      <c r="AT78">
        <v>54617</v>
      </c>
      <c r="AU78">
        <v>57253</v>
      </c>
      <c r="AV78">
        <v>109826</v>
      </c>
      <c r="AW78">
        <v>269184</v>
      </c>
      <c r="AX78">
        <v>780810</v>
      </c>
      <c r="AY78">
        <v>81777</v>
      </c>
      <c r="AZ78">
        <v>121729</v>
      </c>
      <c r="BA78">
        <v>184567</v>
      </c>
      <c r="BB78">
        <v>77564</v>
      </c>
      <c r="BC78">
        <v>105817</v>
      </c>
      <c r="BD78">
        <v>198984</v>
      </c>
    </row>
    <row r="79" spans="1:56">
      <c r="A79" t="s">
        <v>1</v>
      </c>
      <c r="B79">
        <v>3104</v>
      </c>
      <c r="C79">
        <v>1575</v>
      </c>
      <c r="D79">
        <v>1482</v>
      </c>
      <c r="E79">
        <v>1966</v>
      </c>
      <c r="F79">
        <v>4025</v>
      </c>
      <c r="G79">
        <v>5241</v>
      </c>
      <c r="H79">
        <v>5507</v>
      </c>
      <c r="I79">
        <v>3807</v>
      </c>
      <c r="J79">
        <v>4758</v>
      </c>
      <c r="K79">
        <v>4602</v>
      </c>
      <c r="L79">
        <v>3043</v>
      </c>
      <c r="M79">
        <v>4805</v>
      </c>
      <c r="N79">
        <v>5772</v>
      </c>
      <c r="P79">
        <v>546</v>
      </c>
      <c r="Q79">
        <v>608</v>
      </c>
      <c r="R79">
        <v>609</v>
      </c>
      <c r="S79">
        <v>593</v>
      </c>
      <c r="T79">
        <v>687</v>
      </c>
      <c r="U79">
        <v>795</v>
      </c>
      <c r="V79">
        <v>998</v>
      </c>
      <c r="W79">
        <v>671</v>
      </c>
      <c r="X79">
        <v>702</v>
      </c>
      <c r="Y79">
        <v>764</v>
      </c>
      <c r="Z79">
        <v>656</v>
      </c>
      <c r="AA79">
        <v>702</v>
      </c>
      <c r="AB79">
        <v>764</v>
      </c>
      <c r="AD79">
        <f t="shared" ref="AD79:AD84" si="284">B79-P79</f>
        <v>2558</v>
      </c>
      <c r="AE79">
        <f t="shared" ref="AE79:AM84" si="285">C79-Q79</f>
        <v>967</v>
      </c>
      <c r="AF79">
        <f t="shared" si="285"/>
        <v>873</v>
      </c>
      <c r="AG79">
        <f t="shared" si="285"/>
        <v>1373</v>
      </c>
      <c r="AH79">
        <f t="shared" si="285"/>
        <v>3338</v>
      </c>
      <c r="AI79">
        <f t="shared" si="285"/>
        <v>4446</v>
      </c>
      <c r="AJ79">
        <f t="shared" si="285"/>
        <v>4509</v>
      </c>
      <c r="AK79">
        <f t="shared" si="285"/>
        <v>3136</v>
      </c>
      <c r="AL79">
        <f t="shared" si="285"/>
        <v>4056</v>
      </c>
      <c r="AM79">
        <f t="shared" si="285"/>
        <v>3838</v>
      </c>
      <c r="AN79">
        <f t="shared" ref="AN79:AN84" si="286">L79-Z79</f>
        <v>2387</v>
      </c>
      <c r="AO79">
        <f t="shared" ref="AO79:AO84" si="287">M79-AA79</f>
        <v>4103</v>
      </c>
      <c r="AP79">
        <f t="shared" ref="AP79:AP84" si="288">N79-AB79</f>
        <v>5008</v>
      </c>
      <c r="AR79">
        <v>49235</v>
      </c>
      <c r="AS79">
        <v>55553</v>
      </c>
      <c r="AT79">
        <v>54617</v>
      </c>
      <c r="AU79">
        <v>57253</v>
      </c>
      <c r="AV79">
        <v>109826</v>
      </c>
      <c r="AW79">
        <v>269184</v>
      </c>
      <c r="AX79">
        <v>780810</v>
      </c>
      <c r="AY79">
        <v>81777</v>
      </c>
      <c r="AZ79">
        <v>121729</v>
      </c>
      <c r="BA79">
        <v>184567</v>
      </c>
      <c r="BB79">
        <v>77564</v>
      </c>
      <c r="BC79">
        <v>105817</v>
      </c>
      <c r="BD79">
        <v>164850</v>
      </c>
    </row>
    <row r="80" spans="1:56">
      <c r="A80" t="s">
        <v>2</v>
      </c>
      <c r="B80">
        <v>3136</v>
      </c>
      <c r="C80">
        <v>1576</v>
      </c>
      <c r="D80">
        <v>1482</v>
      </c>
      <c r="E80">
        <v>1981</v>
      </c>
      <c r="F80">
        <v>3993</v>
      </c>
      <c r="G80">
        <v>5210</v>
      </c>
      <c r="H80">
        <v>5491</v>
      </c>
      <c r="I80">
        <v>3791</v>
      </c>
      <c r="J80">
        <v>4742</v>
      </c>
      <c r="K80">
        <v>4571</v>
      </c>
      <c r="L80">
        <v>3027</v>
      </c>
      <c r="M80">
        <v>4758</v>
      </c>
      <c r="N80">
        <v>5085</v>
      </c>
      <c r="P80">
        <v>546</v>
      </c>
      <c r="Q80">
        <v>609</v>
      </c>
      <c r="R80">
        <v>608</v>
      </c>
      <c r="S80">
        <v>608</v>
      </c>
      <c r="T80">
        <v>686</v>
      </c>
      <c r="U80">
        <v>796</v>
      </c>
      <c r="V80">
        <v>1014</v>
      </c>
      <c r="W80">
        <v>670</v>
      </c>
      <c r="X80">
        <v>686</v>
      </c>
      <c r="Y80">
        <v>733</v>
      </c>
      <c r="Z80">
        <v>656</v>
      </c>
      <c r="AA80">
        <v>702</v>
      </c>
      <c r="AB80">
        <v>733</v>
      </c>
      <c r="AD80">
        <f t="shared" si="284"/>
        <v>2590</v>
      </c>
      <c r="AE80">
        <f t="shared" si="285"/>
        <v>967</v>
      </c>
      <c r="AF80">
        <f t="shared" si="285"/>
        <v>874</v>
      </c>
      <c r="AG80">
        <f t="shared" si="285"/>
        <v>1373</v>
      </c>
      <c r="AH80">
        <f t="shared" si="285"/>
        <v>3307</v>
      </c>
      <c r="AI80">
        <f t="shared" si="285"/>
        <v>4414</v>
      </c>
      <c r="AJ80">
        <f t="shared" si="285"/>
        <v>4477</v>
      </c>
      <c r="AK80">
        <f t="shared" si="285"/>
        <v>3121</v>
      </c>
      <c r="AL80">
        <f t="shared" si="285"/>
        <v>4056</v>
      </c>
      <c r="AM80">
        <f t="shared" si="285"/>
        <v>3838</v>
      </c>
      <c r="AN80">
        <f t="shared" si="286"/>
        <v>2371</v>
      </c>
      <c r="AO80">
        <f t="shared" si="287"/>
        <v>4056</v>
      </c>
      <c r="AP80">
        <f t="shared" si="288"/>
        <v>4352</v>
      </c>
      <c r="AR80">
        <v>55007</v>
      </c>
      <c r="AS80">
        <v>61512</v>
      </c>
      <c r="AT80">
        <v>62948</v>
      </c>
      <c r="AU80">
        <v>58158</v>
      </c>
      <c r="AV80">
        <v>179509</v>
      </c>
      <c r="AW80">
        <v>398307</v>
      </c>
      <c r="AX80">
        <v>738846</v>
      </c>
      <c r="AY80">
        <v>115021</v>
      </c>
      <c r="AZ80">
        <v>148093</v>
      </c>
      <c r="BA80">
        <v>149576</v>
      </c>
      <c r="BB80">
        <v>82916</v>
      </c>
      <c r="BC80">
        <v>101511</v>
      </c>
      <c r="BD80">
        <v>145145</v>
      </c>
    </row>
    <row r="81" spans="1:56">
      <c r="A81" t="s">
        <v>3</v>
      </c>
      <c r="B81">
        <v>3136</v>
      </c>
      <c r="C81">
        <v>1576</v>
      </c>
      <c r="D81">
        <v>1482</v>
      </c>
      <c r="E81">
        <v>1982</v>
      </c>
      <c r="F81">
        <v>3994</v>
      </c>
      <c r="G81">
        <v>5242</v>
      </c>
      <c r="H81">
        <v>5429</v>
      </c>
      <c r="I81">
        <v>3728</v>
      </c>
      <c r="J81">
        <v>4774</v>
      </c>
      <c r="K81">
        <v>4540</v>
      </c>
      <c r="L81">
        <v>3074</v>
      </c>
      <c r="M81">
        <v>4742</v>
      </c>
      <c r="N81">
        <v>5070</v>
      </c>
      <c r="P81">
        <v>546</v>
      </c>
      <c r="Q81">
        <v>608</v>
      </c>
      <c r="R81">
        <v>608</v>
      </c>
      <c r="S81">
        <v>609</v>
      </c>
      <c r="T81">
        <v>671</v>
      </c>
      <c r="U81">
        <v>796</v>
      </c>
      <c r="V81">
        <v>998</v>
      </c>
      <c r="W81">
        <v>655</v>
      </c>
      <c r="X81">
        <v>687</v>
      </c>
      <c r="Y81">
        <v>733</v>
      </c>
      <c r="Z81">
        <v>671</v>
      </c>
      <c r="AA81">
        <v>686</v>
      </c>
      <c r="AB81">
        <v>733</v>
      </c>
      <c r="AD81">
        <f t="shared" si="284"/>
        <v>2590</v>
      </c>
      <c r="AE81">
        <f t="shared" si="285"/>
        <v>968</v>
      </c>
      <c r="AF81">
        <f t="shared" si="285"/>
        <v>874</v>
      </c>
      <c r="AG81">
        <f t="shared" si="285"/>
        <v>1373</v>
      </c>
      <c r="AH81">
        <f t="shared" si="285"/>
        <v>3323</v>
      </c>
      <c r="AI81">
        <f t="shared" si="285"/>
        <v>4446</v>
      </c>
      <c r="AJ81">
        <f t="shared" si="285"/>
        <v>4431</v>
      </c>
      <c r="AK81">
        <f t="shared" si="285"/>
        <v>3073</v>
      </c>
      <c r="AL81">
        <f t="shared" si="285"/>
        <v>4087</v>
      </c>
      <c r="AM81">
        <f t="shared" si="285"/>
        <v>3807</v>
      </c>
      <c r="AN81">
        <f t="shared" si="286"/>
        <v>2403</v>
      </c>
      <c r="AO81">
        <f t="shared" si="287"/>
        <v>4056</v>
      </c>
      <c r="AP81">
        <f t="shared" si="288"/>
        <v>4337</v>
      </c>
      <c r="AR81">
        <v>55147</v>
      </c>
      <c r="AS81">
        <v>61855</v>
      </c>
      <c r="AT81">
        <v>60513</v>
      </c>
      <c r="AU81">
        <v>58361</v>
      </c>
      <c r="AV81">
        <v>181179</v>
      </c>
      <c r="AW81">
        <v>415420</v>
      </c>
      <c r="AX81">
        <v>753760</v>
      </c>
      <c r="AY81">
        <v>116550</v>
      </c>
      <c r="AZ81">
        <v>151042</v>
      </c>
      <c r="BA81">
        <v>155769</v>
      </c>
      <c r="BB81">
        <v>83134</v>
      </c>
      <c r="BC81">
        <v>102791</v>
      </c>
      <c r="BD81">
        <v>145145</v>
      </c>
    </row>
    <row r="82" spans="1:56">
      <c r="A82" t="s">
        <v>4</v>
      </c>
      <c r="B82">
        <v>3104</v>
      </c>
      <c r="C82">
        <v>1576</v>
      </c>
      <c r="D82">
        <v>1482</v>
      </c>
      <c r="E82">
        <v>1966</v>
      </c>
      <c r="F82">
        <v>4024</v>
      </c>
      <c r="G82">
        <v>5210</v>
      </c>
      <c r="H82">
        <v>5491</v>
      </c>
      <c r="I82">
        <v>3759</v>
      </c>
      <c r="J82">
        <v>4742</v>
      </c>
      <c r="K82">
        <v>4618</v>
      </c>
      <c r="L82">
        <v>3043</v>
      </c>
      <c r="M82">
        <v>4727</v>
      </c>
      <c r="N82">
        <v>5085</v>
      </c>
      <c r="P82">
        <v>546</v>
      </c>
      <c r="Q82">
        <v>609</v>
      </c>
      <c r="R82">
        <v>609</v>
      </c>
      <c r="S82">
        <v>609</v>
      </c>
      <c r="T82">
        <v>686</v>
      </c>
      <c r="U82">
        <v>780</v>
      </c>
      <c r="V82">
        <v>1014</v>
      </c>
      <c r="W82">
        <v>655</v>
      </c>
      <c r="X82">
        <v>686</v>
      </c>
      <c r="Y82">
        <v>733</v>
      </c>
      <c r="Z82">
        <v>671</v>
      </c>
      <c r="AA82">
        <v>702</v>
      </c>
      <c r="AB82">
        <v>733</v>
      </c>
      <c r="AD82">
        <f t="shared" si="284"/>
        <v>2558</v>
      </c>
      <c r="AE82">
        <f t="shared" si="285"/>
        <v>967</v>
      </c>
      <c r="AF82">
        <f t="shared" si="285"/>
        <v>873</v>
      </c>
      <c r="AG82">
        <f t="shared" si="285"/>
        <v>1357</v>
      </c>
      <c r="AH82">
        <f t="shared" si="285"/>
        <v>3338</v>
      </c>
      <c r="AI82">
        <f t="shared" si="285"/>
        <v>4430</v>
      </c>
      <c r="AJ82">
        <f t="shared" si="285"/>
        <v>4477</v>
      </c>
      <c r="AK82">
        <f t="shared" si="285"/>
        <v>3104</v>
      </c>
      <c r="AL82">
        <f t="shared" si="285"/>
        <v>4056</v>
      </c>
      <c r="AM82">
        <f t="shared" si="285"/>
        <v>3885</v>
      </c>
      <c r="AN82">
        <f t="shared" si="286"/>
        <v>2372</v>
      </c>
      <c r="AO82">
        <f t="shared" si="287"/>
        <v>4025</v>
      </c>
      <c r="AP82">
        <f t="shared" si="288"/>
        <v>4352</v>
      </c>
      <c r="AR82">
        <v>49235</v>
      </c>
      <c r="AS82">
        <v>55553</v>
      </c>
      <c r="AT82">
        <v>54617</v>
      </c>
      <c r="AU82">
        <v>57253</v>
      </c>
      <c r="AV82">
        <v>109826</v>
      </c>
      <c r="AW82">
        <v>269184</v>
      </c>
      <c r="AX82">
        <v>780810</v>
      </c>
      <c r="AY82">
        <v>81777</v>
      </c>
      <c r="AZ82">
        <v>121729</v>
      </c>
      <c r="BA82">
        <v>184567</v>
      </c>
      <c r="BB82">
        <v>77564</v>
      </c>
      <c r="BC82">
        <v>105817</v>
      </c>
      <c r="BD82">
        <v>198984</v>
      </c>
    </row>
    <row r="83" spans="1:56">
      <c r="A83" t="s">
        <v>31</v>
      </c>
      <c r="B83">
        <v>3105</v>
      </c>
      <c r="C83">
        <v>1560</v>
      </c>
      <c r="D83">
        <v>1482</v>
      </c>
      <c r="E83">
        <v>1966</v>
      </c>
      <c r="F83">
        <v>4025</v>
      </c>
      <c r="G83">
        <v>5258</v>
      </c>
      <c r="H83">
        <v>5444</v>
      </c>
      <c r="I83">
        <v>3775</v>
      </c>
      <c r="J83">
        <v>4789</v>
      </c>
      <c r="K83">
        <v>4586</v>
      </c>
      <c r="L83">
        <v>3042</v>
      </c>
      <c r="M83">
        <v>4742</v>
      </c>
      <c r="N83">
        <v>5133</v>
      </c>
      <c r="P83">
        <v>531</v>
      </c>
      <c r="Q83">
        <v>608</v>
      </c>
      <c r="R83">
        <v>608</v>
      </c>
      <c r="S83">
        <v>608</v>
      </c>
      <c r="T83">
        <v>686</v>
      </c>
      <c r="U83">
        <v>796</v>
      </c>
      <c r="V83">
        <v>998</v>
      </c>
      <c r="W83">
        <v>655</v>
      </c>
      <c r="X83">
        <v>687</v>
      </c>
      <c r="Y83">
        <v>733</v>
      </c>
      <c r="Z83">
        <v>655</v>
      </c>
      <c r="AA83">
        <v>686</v>
      </c>
      <c r="AB83">
        <v>733</v>
      </c>
      <c r="AD83">
        <f t="shared" si="284"/>
        <v>2574</v>
      </c>
      <c r="AE83">
        <f t="shared" si="285"/>
        <v>952</v>
      </c>
      <c r="AF83">
        <f t="shared" si="285"/>
        <v>874</v>
      </c>
      <c r="AG83">
        <f t="shared" si="285"/>
        <v>1358</v>
      </c>
      <c r="AH83">
        <f t="shared" si="285"/>
        <v>3339</v>
      </c>
      <c r="AI83">
        <f t="shared" si="285"/>
        <v>4462</v>
      </c>
      <c r="AJ83">
        <f t="shared" si="285"/>
        <v>4446</v>
      </c>
      <c r="AK83">
        <f t="shared" si="285"/>
        <v>3120</v>
      </c>
      <c r="AL83">
        <f t="shared" si="285"/>
        <v>4102</v>
      </c>
      <c r="AM83">
        <f t="shared" si="285"/>
        <v>3853</v>
      </c>
      <c r="AN83">
        <f t="shared" si="286"/>
        <v>2387</v>
      </c>
      <c r="AO83">
        <f t="shared" si="287"/>
        <v>4056</v>
      </c>
      <c r="AP83">
        <f t="shared" si="288"/>
        <v>4400</v>
      </c>
      <c r="AR83">
        <v>55007</v>
      </c>
      <c r="AS83">
        <v>61512</v>
      </c>
      <c r="AT83">
        <v>62948</v>
      </c>
      <c r="AU83">
        <v>58158</v>
      </c>
      <c r="AV83">
        <v>179509</v>
      </c>
      <c r="AW83">
        <v>398307</v>
      </c>
      <c r="AX83">
        <v>738846</v>
      </c>
      <c r="AY83">
        <v>115021</v>
      </c>
      <c r="AZ83">
        <v>148093</v>
      </c>
      <c r="BA83">
        <v>149576</v>
      </c>
      <c r="BB83">
        <v>82916</v>
      </c>
      <c r="BC83">
        <v>101511</v>
      </c>
      <c r="BD83">
        <v>164850</v>
      </c>
    </row>
    <row r="84" spans="1:56">
      <c r="A84" t="s">
        <v>32</v>
      </c>
      <c r="B84">
        <v>3105</v>
      </c>
      <c r="C84">
        <v>1575</v>
      </c>
      <c r="D84">
        <v>1483</v>
      </c>
      <c r="E84">
        <v>1981</v>
      </c>
      <c r="F84">
        <v>4025</v>
      </c>
      <c r="G84">
        <v>5226</v>
      </c>
      <c r="H84">
        <v>5444</v>
      </c>
      <c r="I84">
        <v>3744</v>
      </c>
      <c r="J84">
        <v>4774</v>
      </c>
      <c r="K84">
        <v>4586</v>
      </c>
      <c r="L84">
        <v>3027</v>
      </c>
      <c r="M84">
        <v>4743</v>
      </c>
      <c r="N84">
        <v>5117</v>
      </c>
      <c r="P84">
        <v>546</v>
      </c>
      <c r="Q84">
        <v>608</v>
      </c>
      <c r="R84">
        <v>608</v>
      </c>
      <c r="S84">
        <v>608</v>
      </c>
      <c r="T84">
        <v>671</v>
      </c>
      <c r="U84">
        <v>795</v>
      </c>
      <c r="V84">
        <v>998</v>
      </c>
      <c r="W84">
        <v>640</v>
      </c>
      <c r="X84">
        <v>687</v>
      </c>
      <c r="Y84">
        <v>733</v>
      </c>
      <c r="Z84">
        <v>655</v>
      </c>
      <c r="AA84">
        <v>702</v>
      </c>
      <c r="AB84">
        <v>733</v>
      </c>
      <c r="AD84">
        <f t="shared" si="284"/>
        <v>2559</v>
      </c>
      <c r="AE84">
        <f t="shared" si="285"/>
        <v>967</v>
      </c>
      <c r="AF84">
        <f t="shared" si="285"/>
        <v>875</v>
      </c>
      <c r="AG84">
        <f t="shared" si="285"/>
        <v>1373</v>
      </c>
      <c r="AH84">
        <f t="shared" si="285"/>
        <v>3354</v>
      </c>
      <c r="AI84">
        <f t="shared" si="285"/>
        <v>4431</v>
      </c>
      <c r="AJ84">
        <f t="shared" si="285"/>
        <v>4446</v>
      </c>
      <c r="AK84">
        <f t="shared" si="285"/>
        <v>3104</v>
      </c>
      <c r="AL84">
        <f t="shared" si="285"/>
        <v>4087</v>
      </c>
      <c r="AM84">
        <f t="shared" si="285"/>
        <v>3853</v>
      </c>
      <c r="AN84">
        <f t="shared" si="286"/>
        <v>2372</v>
      </c>
      <c r="AO84">
        <f t="shared" si="287"/>
        <v>4041</v>
      </c>
      <c r="AP84">
        <f t="shared" si="288"/>
        <v>4384</v>
      </c>
      <c r="AR84">
        <v>55147</v>
      </c>
      <c r="AS84">
        <v>61855</v>
      </c>
      <c r="AT84">
        <v>60513</v>
      </c>
      <c r="AU84">
        <v>58361</v>
      </c>
      <c r="AV84">
        <v>181179</v>
      </c>
      <c r="AW84">
        <v>415420</v>
      </c>
      <c r="AX84">
        <v>753760</v>
      </c>
      <c r="AY84">
        <v>116550</v>
      </c>
      <c r="AZ84">
        <v>151042</v>
      </c>
      <c r="BA84">
        <v>155769</v>
      </c>
      <c r="BB84">
        <v>83134</v>
      </c>
      <c r="BC84">
        <v>102791</v>
      </c>
      <c r="BD84">
        <v>145145</v>
      </c>
    </row>
    <row r="85" spans="1:56">
      <c r="A85" t="s">
        <v>5</v>
      </c>
      <c r="B85">
        <f>(SUM(B78:B84) -MAX(B78:B84))/((COUNT(B78:B84)-1)*1000)</f>
        <v>3.1150000000000002</v>
      </c>
      <c r="C85">
        <f t="shared" ref="C85" si="289">(SUM(C78:C84) -MAX(C78:C84))/((COUNT(C78:C84)-1)*1000)</f>
        <v>1.573</v>
      </c>
      <c r="D85">
        <f t="shared" ref="D85" si="290">(SUM(D78:D84) -MAX(D78:D84))/((COUNT(D78:D84)-1)*1000)</f>
        <v>1.4821666666666666</v>
      </c>
      <c r="E85">
        <f t="shared" ref="E85" si="291">(SUM(E78:E84) -MAX(E78:E84))/((COUNT(E78:E84)-1)*1000)</f>
        <v>1.9736666666666667</v>
      </c>
      <c r="F85">
        <f t="shared" ref="F85" si="292">(SUM(F78:F84) -MAX(F78:F84))/((COUNT(F78:F84)-1)*1000)</f>
        <v>4.0143333333333331</v>
      </c>
      <c r="G85">
        <f>(SUM(G78:G84) -MAX(G78:G84))/((COUNT(G78:G84)-1)*1000)</f>
        <v>5.2311666666666667</v>
      </c>
      <c r="H85">
        <f t="shared" ref="H85" si="293">(SUM(H78:H84) -MAX(H78:H84))/((COUNT(H78:H84)-1)*1000)</f>
        <v>5.4676666666666662</v>
      </c>
      <c r="I85">
        <f t="shared" ref="I85" si="294">(SUM(I78:I84) -MAX(I78:I84))/((COUNT(I78:I84)-1)*1000)</f>
        <v>3.7673333333333332</v>
      </c>
      <c r="J85">
        <f t="shared" ref="J85" si="295">(SUM(J78:J84) -MAX(J78:J84))/((COUNT(J78:J84)-1)*1000)</f>
        <v>4.7631666666666668</v>
      </c>
      <c r="K85">
        <f t="shared" ref="K85" si="296">(SUM(K78:K84) -MAX(K78:K84))/((COUNT(K78:K84)-1)*1000)</f>
        <v>4.5838333333333336</v>
      </c>
      <c r="L85">
        <f t="shared" ref="L85" si="297">(SUM(L78:L84) -MAX(L78:L84))/((COUNT(L78:L84)-1)*1000)</f>
        <v>3.0426666666666669</v>
      </c>
      <c r="M85">
        <f t="shared" ref="M85:N85" si="298">(SUM(M78:M84) -MAX(M78:M84))/((COUNT(M78:M84)-1)*1000)</f>
        <v>4.7528333333333332</v>
      </c>
      <c r="N85">
        <f t="shared" si="298"/>
        <v>5.2103333333333337</v>
      </c>
      <c r="P85">
        <f>(SUM(P78:P84) -MAX(P78:P84))/((COUNT(P78:P84)-1)*1000)</f>
        <v>0.54349999999999998</v>
      </c>
      <c r="Q85">
        <f t="shared" ref="Q85" si="299">(SUM(Q78:Q84) -MAX(Q78:Q84))/((COUNT(Q78:Q84)-1)*1000)</f>
        <v>0.60833333333333328</v>
      </c>
      <c r="R85">
        <f t="shared" ref="R85" si="300">(SUM(R78:R84) -MAX(R78:R84))/((COUNT(R78:R84)-1)*1000)</f>
        <v>0.60833333333333328</v>
      </c>
      <c r="S85">
        <f t="shared" ref="S85" si="301">(SUM(S78:S84) -MAX(S78:S84))/((COUNT(S78:S84)-1)*1000)</f>
        <v>0.60583333333333333</v>
      </c>
      <c r="T85">
        <f t="shared" ref="T85" si="302">(SUM(T78:T84) -MAX(T78:T84))/((COUNT(T78:T84)-1)*1000)</f>
        <v>0.6811666666666667</v>
      </c>
      <c r="U85">
        <f t="shared" ref="U85" si="303">(SUM(U78:U84) -MAX(U78:U84))/((COUNT(U78:U84)-1)*1000)</f>
        <v>0.79300000000000004</v>
      </c>
      <c r="V85">
        <f t="shared" ref="V85" si="304">(SUM(V78:V84) -MAX(V78:V84))/((COUNT(V78:V84)-1)*1000)</f>
        <v>1.0033333333333334</v>
      </c>
      <c r="W85">
        <f t="shared" ref="W85" si="305">(SUM(W78:W84) -MAX(W78:W84))/((COUNT(W78:W84)-1)*1000)</f>
        <v>0.65766666666666662</v>
      </c>
      <c r="X85">
        <f t="shared" ref="X85" si="306">(SUM(X78:X84) -MAX(X78:X84))/((COUNT(X78:X84)-1)*1000)</f>
        <v>0.68916666666666671</v>
      </c>
      <c r="Y85">
        <f t="shared" ref="Y85:AA85" si="307">(SUM(Y78:Y84) -MAX(Y78:Y84))/((COUNT(Y78:Y84)-1)*1000)</f>
        <v>0.73816666666666664</v>
      </c>
      <c r="Z85">
        <f t="shared" si="307"/>
        <v>0.66066666666666662</v>
      </c>
      <c r="AA85">
        <f t="shared" si="307"/>
        <v>0.69666666666666666</v>
      </c>
      <c r="AB85">
        <f t="shared" ref="AB85" si="308">(SUM(AB78:AB84) -MAX(AB78:AB84))/((COUNT(AB78:AB84)-1)*1000)</f>
        <v>0.73816666666666664</v>
      </c>
      <c r="AD85">
        <f>(SUM(AD78:AD84) -MAX(AD78:AD84))/((COUNT(AD78:AD84)-1)*1000)</f>
        <v>2.5714999999999999</v>
      </c>
      <c r="AE85">
        <f t="shared" ref="AE85" si="309">(SUM(AE78:AE84) -MAX(AE78:AE84))/((COUNT(AE78:AE84)-1)*1000)</f>
        <v>0.96466666666666667</v>
      </c>
      <c r="AF85">
        <f t="shared" ref="AF85" si="310">(SUM(AF78:AF84) -MAX(AF78:AF84))/((COUNT(AF78:AF84)-1)*1000)</f>
        <v>0.87383333333333335</v>
      </c>
      <c r="AG85">
        <f t="shared" ref="AG85" si="311">(SUM(AG78:AG84) -MAX(AG78:AG84))/((COUNT(AG78:AG84)-1)*1000)</f>
        <v>1.3678333333333332</v>
      </c>
      <c r="AH85">
        <f t="shared" ref="AH85" si="312">(SUM(AH78:AH84) -MAX(AH78:AH84))/((COUNT(AH78:AH84)-1)*1000)</f>
        <v>3.3331666666666666</v>
      </c>
      <c r="AI85">
        <f t="shared" ref="AI85" si="313">(SUM(AI78:AI84) -MAX(AI78:AI84))/((COUNT(AI78:AI84)-1)*1000)</f>
        <v>4.4381666666666666</v>
      </c>
      <c r="AJ85">
        <f t="shared" ref="AJ85" si="314">(SUM(AJ78:AJ84) -MAX(AJ78:AJ84))/((COUNT(AJ78:AJ84)-1)*1000)</f>
        <v>4.4643333333333333</v>
      </c>
      <c r="AK85">
        <f t="shared" ref="AK85" si="315">(SUM(AK78:AK84) -MAX(AK78:AK84))/((COUNT(AK78:AK84)-1)*1000)</f>
        <v>3.1096666666666666</v>
      </c>
      <c r="AL85">
        <f t="shared" ref="AL85" si="316">(SUM(AL78:AL84) -MAX(AL78:AL84))/((COUNT(AL78:AL84)-1)*1000)</f>
        <v>4.0739999999999998</v>
      </c>
      <c r="AM85">
        <f t="shared" ref="AM85:AO85" si="317">(SUM(AM78:AM84) -MAX(AM78:AM84))/((COUNT(AM78:AM84)-1)*1000)</f>
        <v>3.8456666666666668</v>
      </c>
      <c r="AN85">
        <f t="shared" si="317"/>
        <v>2.3820000000000001</v>
      </c>
      <c r="AO85">
        <f t="shared" si="317"/>
        <v>4.0561666666666669</v>
      </c>
      <c r="AP85">
        <f t="shared" ref="AP85" si="318">(SUM(AP78:AP84) -MAX(AP78:AP84))/((COUNT(AP78:AP84)-1)*1000)</f>
        <v>4.4721666666666664</v>
      </c>
      <c r="AR85">
        <f>(SUM(AR78:AR84) -MAX(AR78:AR84))/((COUNT(AR78:AR84)-1)*1000)</f>
        <v>52.144333333333336</v>
      </c>
      <c r="AS85">
        <f t="shared" ref="AS85" si="319">(SUM(AS78:AS84) -MAX(AS78:AS84))/((COUNT(AS78:AS84)-1)*1000)</f>
        <v>58.589666666666666</v>
      </c>
      <c r="AT85">
        <f t="shared" ref="AT85" si="320">(SUM(AT78:AT84) -MAX(AT78:AT84))/((COUNT(AT78:AT84)-1)*1000)</f>
        <v>57.970833333333331</v>
      </c>
      <c r="AU85">
        <f t="shared" ref="AU85:BA85" si="321">(SUM(AU78:AU84) -MAX(AU78:AU84))/((COUNT(AU78:AU84)-1)*1000)</f>
        <v>57.739333333333335</v>
      </c>
      <c r="AV85">
        <f t="shared" si="321"/>
        <v>144.94583333333333</v>
      </c>
      <c r="AW85">
        <f t="shared" si="321"/>
        <v>336.59766666666667</v>
      </c>
      <c r="AX85">
        <f t="shared" si="321"/>
        <v>757.80533333333335</v>
      </c>
      <c r="AY85">
        <f t="shared" si="321"/>
        <v>98.653833333333338</v>
      </c>
      <c r="AZ85">
        <f t="shared" si="321"/>
        <v>135.4025</v>
      </c>
      <c r="BA85">
        <f t="shared" si="321"/>
        <v>163.304</v>
      </c>
      <c r="BB85">
        <f>(SUM(BB78:BB84) -MAX(BB78:BB84))/((COUNT(BB78:BB84)-1)*1000)</f>
        <v>80.276333333333326</v>
      </c>
      <c r="BC85">
        <f t="shared" ref="BC85" si="322">(SUM(BC78:BC84) -MAX(BC78:BC84))/((COUNT(BC78:BC84)-1)*1000)</f>
        <v>103.373</v>
      </c>
      <c r="BD85">
        <f t="shared" ref="BD85" si="323">(SUM(BD78:BD84) -MAX(BD78:BD84))/((COUNT(BD78:BD84)-1)*1000)</f>
        <v>160.6865</v>
      </c>
    </row>
    <row r="86" spans="1:56">
      <c r="A86" t="s">
        <v>7</v>
      </c>
      <c r="B86">
        <f>STDEV(B79:B84)/1000</f>
        <v>1.6272676485446395E-2</v>
      </c>
      <c r="C86">
        <f t="shared" ref="C86:F86" si="324">STDEV(C79:C84)/1000</f>
        <v>6.3874877690685249E-3</v>
      </c>
      <c r="D86">
        <f t="shared" si="324"/>
        <v>4.0824829046386303E-4</v>
      </c>
      <c r="E86">
        <f t="shared" si="324"/>
        <v>8.4063468085975555E-3</v>
      </c>
      <c r="F86">
        <f t="shared" si="324"/>
        <v>1.6145174717719011E-2</v>
      </c>
      <c r="G86">
        <f>STDEV(G79:G84)/1000</f>
        <v>1.9270876126130161E-2</v>
      </c>
      <c r="H86">
        <f t="shared" ref="H86:K86" si="325">STDEV(H79:H84)/1000</f>
        <v>3.2407817986847762E-2</v>
      </c>
      <c r="I86">
        <f t="shared" si="325"/>
        <v>2.9507061301757471E-2</v>
      </c>
      <c r="J86">
        <f t="shared" si="325"/>
        <v>1.9104100781472375E-2</v>
      </c>
      <c r="K86">
        <f t="shared" si="325"/>
        <v>2.6806093834530857E-2</v>
      </c>
      <c r="L86">
        <f t="shared" ref="L86:N86" si="326">STDEV(L79:L84)/1000</f>
        <v>1.7165857586126113E-2</v>
      </c>
      <c r="M86">
        <f t="shared" si="326"/>
        <v>2.7374562401409331E-2</v>
      </c>
      <c r="N86">
        <f t="shared" si="326"/>
        <v>0.27614175103860816</v>
      </c>
      <c r="P86">
        <f>STDEV(P79:P84)/1000</f>
        <v>6.1237243569579455E-3</v>
      </c>
      <c r="Q86">
        <f t="shared" ref="Q86:Y86" si="327">STDEV(Q79:Q84)/1000</f>
        <v>5.1639777949432232E-4</v>
      </c>
      <c r="R86">
        <f t="shared" si="327"/>
        <v>5.1639777949432232E-4</v>
      </c>
      <c r="S86">
        <f t="shared" si="327"/>
        <v>6.306081720585114E-3</v>
      </c>
      <c r="T86">
        <f t="shared" si="327"/>
        <v>7.884584115011882E-3</v>
      </c>
      <c r="U86">
        <f t="shared" si="327"/>
        <v>6.3874877690685249E-3</v>
      </c>
      <c r="V86">
        <f t="shared" si="327"/>
        <v>8.2623644719053979E-3</v>
      </c>
      <c r="W86">
        <f t="shared" si="327"/>
        <v>1.1518101695448677E-2</v>
      </c>
      <c r="X86">
        <f t="shared" si="327"/>
        <v>6.306081720585114E-3</v>
      </c>
      <c r="Y86">
        <f t="shared" si="327"/>
        <v>1.265569700438098E-2</v>
      </c>
      <c r="Z86">
        <f t="shared" ref="Z86:AB86" si="328">STDEV(Z79:Z84)/1000</f>
        <v>8.016649341632558E-3</v>
      </c>
      <c r="AA86">
        <f t="shared" si="328"/>
        <v>8.262364471911034E-3</v>
      </c>
      <c r="AB86">
        <f t="shared" si="328"/>
        <v>1.265569700438098E-2</v>
      </c>
      <c r="AD86">
        <f>STDEV(AD79:AD84)/1000</f>
        <v>1.5565988564816564E-2</v>
      </c>
      <c r="AE86">
        <f t="shared" ref="AE86:AM86" si="329">STDEV(AE79:AE84)/1000</f>
        <v>6.2182527020542173E-3</v>
      </c>
      <c r="AF86">
        <f t="shared" si="329"/>
        <v>7.5277265270908098E-4</v>
      </c>
      <c r="AG86">
        <f t="shared" si="329"/>
        <v>8.0104098938063618E-3</v>
      </c>
      <c r="AH86">
        <f t="shared" si="329"/>
        <v>1.6142077520169558E-2</v>
      </c>
      <c r="AI86">
        <f t="shared" si="329"/>
        <v>1.6690316553788706E-2</v>
      </c>
      <c r="AJ86">
        <f t="shared" si="329"/>
        <v>2.8633313930903515E-2</v>
      </c>
      <c r="AK86">
        <f t="shared" si="329"/>
        <v>2.1620977467893612E-2</v>
      </c>
      <c r="AL86">
        <f t="shared" si="329"/>
        <v>2.0464603587658375E-2</v>
      </c>
      <c r="AM86">
        <f t="shared" si="329"/>
        <v>2.5562994086485123E-2</v>
      </c>
      <c r="AN86">
        <f t="shared" ref="AN86:AP86" si="330">STDEV(AN79:AN84)/1000</f>
        <v>1.2743625857659193E-2</v>
      </c>
      <c r="AO86">
        <f t="shared" si="330"/>
        <v>2.6056988825757924E-2</v>
      </c>
      <c r="AP86">
        <f t="shared" si="330"/>
        <v>0.26353323636055032</v>
      </c>
      <c r="AR86">
        <f>STDEV(AR79:AR84)/1000</f>
        <v>3.0174454538014093</v>
      </c>
      <c r="AS86">
        <f t="shared" ref="AS86:BA86" si="331">STDEV(AS79:AS84)/1000</f>
        <v>3.1694906846368864</v>
      </c>
      <c r="AT86">
        <f t="shared" si="331"/>
        <v>3.8314070870460126</v>
      </c>
      <c r="AU86">
        <f t="shared" si="331"/>
        <v>0.52762335050677966</v>
      </c>
      <c r="AV86">
        <f t="shared" si="331"/>
        <v>36.422996395134767</v>
      </c>
      <c r="AW86">
        <f t="shared" si="331"/>
        <v>71.508108252607798</v>
      </c>
      <c r="AX86">
        <f t="shared" si="331"/>
        <v>19.026673179163488</v>
      </c>
      <c r="AY86">
        <f t="shared" si="331"/>
        <v>17.575220836924561</v>
      </c>
      <c r="AZ86">
        <f t="shared" si="331"/>
        <v>14.436107813396243</v>
      </c>
      <c r="BA86">
        <f t="shared" si="331"/>
        <v>16.701489490461622</v>
      </c>
      <c r="BB86">
        <f>STDEV(BB79:BB84)/1000</f>
        <v>2.8217329899668351</v>
      </c>
      <c r="BC86">
        <f t="shared" ref="BC86:BD86" si="332">STDEV(BC79:BC84)/1000</f>
        <v>1.977766821442811</v>
      </c>
      <c r="BD86">
        <f t="shared" si="332"/>
        <v>21.099680744030231</v>
      </c>
    </row>
    <row r="87" spans="1:56">
      <c r="A87" t="s">
        <v>8</v>
      </c>
      <c r="B87">
        <f>CONFIDENCE(0.05,B86,5)/2</f>
        <v>7.1316838675021359E-3</v>
      </c>
      <c r="C87">
        <f t="shared" ref="C87" si="333">CONFIDENCE(0.05,C86,5)/2</f>
        <v>2.799388503622892E-3</v>
      </c>
      <c r="D87">
        <f t="shared" ref="D87" si="334">CONFIDENCE(0.05,D86,5)/2</f>
        <v>1.7891941437171572E-4</v>
      </c>
      <c r="E87">
        <f t="shared" ref="E87" si="335">CONFIDENCE(0.05,E86,5)/2</f>
        <v>3.6841762308198835E-3</v>
      </c>
      <c r="F87">
        <f t="shared" ref="F87" si="336">CONFIDENCE(0.05,F86,5)/2</f>
        <v>7.0758047808139298E-3</v>
      </c>
      <c r="G87">
        <f>CONFIDENCE(0.05,G86,5)/2</f>
        <v>8.4456786506061001E-3</v>
      </c>
      <c r="H87">
        <f t="shared" ref="H87" si="337">CONFIDENCE(0.05,H86,5)/2</f>
        <v>1.4203091478187617E-2</v>
      </c>
      <c r="I87">
        <f t="shared" ref="I87" si="338">CONFIDENCE(0.05,I86,5)/2</f>
        <v>1.2931802168582696E-2</v>
      </c>
      <c r="J87">
        <f t="shared" ref="J87" si="339">CONFIDENCE(0.05,J86,5)/2</f>
        <v>8.372587476203612E-3</v>
      </c>
      <c r="K87">
        <f t="shared" ref="K87:M87" si="340">CONFIDENCE(0.05,K86,5)/2</f>
        <v>1.1748072735388613E-2</v>
      </c>
      <c r="L87">
        <f t="shared" si="340"/>
        <v>7.5231305512835226E-3</v>
      </c>
      <c r="M87">
        <f t="shared" si="340"/>
        <v>1.1997210491627736E-2</v>
      </c>
      <c r="N87">
        <f t="shared" ref="N87" si="341">CONFIDENCE(0.05,N86,5)/2</f>
        <v>0.12102223458981334</v>
      </c>
      <c r="P87">
        <f>CONFIDENCE(0.05,P86,5)/2</f>
        <v>2.6837912155757357E-3</v>
      </c>
      <c r="Q87">
        <f t="shared" ref="Q87" si="342">CONFIDENCE(0.05,Q86,5)/2</f>
        <v>2.2631714681523436E-4</v>
      </c>
      <c r="R87">
        <f t="shared" ref="R87" si="343">CONFIDENCE(0.05,R86,5)/2</f>
        <v>2.2631714681523436E-4</v>
      </c>
      <c r="S87">
        <f t="shared" ref="S87" si="344">CONFIDENCE(0.05,S86,5)/2</f>
        <v>2.7637113854054019E-3</v>
      </c>
      <c r="T87">
        <f t="shared" ref="T87" si="345">CONFIDENCE(0.05,T86,5)/2</f>
        <v>3.4555078499399865E-3</v>
      </c>
      <c r="U87">
        <f t="shared" ref="U87" si="346">CONFIDENCE(0.05,U86,5)/2</f>
        <v>2.799388503622892E-3</v>
      </c>
      <c r="V87">
        <f t="shared" ref="V87" si="347">CONFIDENCE(0.05,V86,5)/2</f>
        <v>3.6210743490421022E-3</v>
      </c>
      <c r="W87">
        <f t="shared" ref="W87" si="348">CONFIDENCE(0.05,W86,5)/2</f>
        <v>5.0479378803570526E-3</v>
      </c>
      <c r="X87">
        <f t="shared" ref="X87" si="349">CONFIDENCE(0.05,X86,5)/2</f>
        <v>2.7637113854054019E-3</v>
      </c>
      <c r="Y87">
        <f t="shared" ref="Y87:AA87" si="350">CONFIDENCE(0.05,Y86,5)/2</f>
        <v>5.5465018455237245E-3</v>
      </c>
      <c r="Z87">
        <f t="shared" si="350"/>
        <v>3.5133869239196746E-3</v>
      </c>
      <c r="AA87">
        <f t="shared" si="350"/>
        <v>3.6210743490445725E-3</v>
      </c>
      <c r="AB87">
        <f t="shared" ref="AB87" si="351">CONFIDENCE(0.05,AB86,5)/2</f>
        <v>5.5465018455237245E-3</v>
      </c>
      <c r="AD87">
        <f>CONFIDENCE(0.05,AD86,5)/2</f>
        <v>6.8219699217095158E-3</v>
      </c>
      <c r="AE87">
        <f t="shared" ref="AE87" si="352">CONFIDENCE(0.05,AE86,5)/2</f>
        <v>2.725219328175878E-3</v>
      </c>
      <c r="AF87">
        <f t="shared" ref="AF87" si="353">CONFIDENCE(0.05,AF86,5)/2</f>
        <v>3.2991109901456814E-4</v>
      </c>
      <c r="AG87">
        <f t="shared" ref="AG87" si="354">CONFIDENCE(0.05,AG86,5)/2</f>
        <v>3.5106524155894682E-3</v>
      </c>
      <c r="AH87">
        <f t="shared" ref="AH87" si="355">CONFIDENCE(0.05,AH86,5)/2</f>
        <v>7.0744473990815727E-3</v>
      </c>
      <c r="AI87">
        <f t="shared" ref="AI87" si="356">CONFIDENCE(0.05,AI86,5)/2</f>
        <v>7.3147193343771249E-3</v>
      </c>
      <c r="AJ87">
        <f t="shared" ref="AJ87" si="357">CONFIDENCE(0.05,AJ86,5)/2</f>
        <v>1.2548872535921185E-2</v>
      </c>
      <c r="AK87">
        <f t="shared" ref="AK87" si="358">CONFIDENCE(0.05,AK86,5)/2</f>
        <v>9.4756370499535676E-3</v>
      </c>
      <c r="AL87">
        <f t="shared" ref="AL87" si="359">CONFIDENCE(0.05,AL86,5)/2</f>
        <v>8.9688431642734722E-3</v>
      </c>
      <c r="AM87">
        <f t="shared" ref="AM87:AO87" si="360">CONFIDENCE(0.05,AM86,5)/2</f>
        <v>1.1203270260715036E-2</v>
      </c>
      <c r="AN87">
        <f t="shared" si="360"/>
        <v>5.5850376564564267E-3</v>
      </c>
      <c r="AO87">
        <f t="shared" si="360"/>
        <v>1.1419769022664466E-2</v>
      </c>
      <c r="AP87">
        <f t="shared" ref="AP87" si="361">CONFIDENCE(0.05,AP86,5)/2</f>
        <v>0.11549641093055917</v>
      </c>
      <c r="AR87">
        <f>CONFIDENCE(0.05,AR86,5)/2</f>
        <v>1.3224294776086336</v>
      </c>
      <c r="AS87">
        <f t="shared" ref="AS87:BA87" si="362">CONFIDENCE(0.05,AS86,5)/2</f>
        <v>1.3890650136158662</v>
      </c>
      <c r="AT87">
        <f t="shared" si="362"/>
        <v>1.6791573369603452</v>
      </c>
      <c r="AU87">
        <f t="shared" si="362"/>
        <v>0.23123687982686533</v>
      </c>
      <c r="AV87">
        <f t="shared" si="362"/>
        <v>15.962788667837598</v>
      </c>
      <c r="AW87">
        <f t="shared" si="362"/>
        <v>31.339234358700502</v>
      </c>
      <c r="AX87">
        <f t="shared" si="362"/>
        <v>8.3386539568603411</v>
      </c>
      <c r="AY87">
        <f t="shared" si="362"/>
        <v>7.702538609587795</v>
      </c>
      <c r="AZ87">
        <f t="shared" si="362"/>
        <v>6.3267869483177561</v>
      </c>
      <c r="BA87">
        <f t="shared" si="362"/>
        <v>7.3196159997962482</v>
      </c>
      <c r="BB87">
        <f>CONFIDENCE(0.05,BB86,5)/2</f>
        <v>1.236656284597242</v>
      </c>
      <c r="BC87">
        <f t="shared" ref="BC87:BD87" si="363">CONFIDENCE(0.05,BC86,5)/2</f>
        <v>0.86677859949956138</v>
      </c>
      <c r="BD87">
        <f t="shared" si="363"/>
        <v>9.2471728855560755</v>
      </c>
    </row>
    <row r="88" spans="1:56">
      <c r="A88" t="s">
        <v>13</v>
      </c>
      <c r="B88">
        <v>13</v>
      </c>
      <c r="C88">
        <v>13</v>
      </c>
      <c r="D88">
        <v>13</v>
      </c>
      <c r="E88">
        <v>13</v>
      </c>
      <c r="F88">
        <v>13</v>
      </c>
      <c r="G88">
        <v>13</v>
      </c>
      <c r="H88">
        <v>13</v>
      </c>
      <c r="I88">
        <v>13</v>
      </c>
      <c r="J88">
        <v>13</v>
      </c>
      <c r="K88">
        <v>13</v>
      </c>
      <c r="L88">
        <v>13</v>
      </c>
      <c r="M88">
        <v>13</v>
      </c>
      <c r="N88">
        <v>13</v>
      </c>
    </row>
    <row r="89" spans="1:56">
      <c r="A89" t="s">
        <v>10</v>
      </c>
      <c r="B89">
        <v>1440</v>
      </c>
      <c r="C89">
        <v>1570</v>
      </c>
      <c r="D89">
        <v>1540</v>
      </c>
      <c r="E89">
        <v>1490</v>
      </c>
      <c r="F89">
        <v>2260</v>
      </c>
      <c r="G89">
        <v>2700</v>
      </c>
      <c r="H89">
        <v>2970</v>
      </c>
      <c r="I89">
        <v>1830</v>
      </c>
      <c r="J89">
        <v>1880</v>
      </c>
      <c r="K89">
        <v>1790</v>
      </c>
      <c r="L89">
        <v>1830</v>
      </c>
      <c r="M89">
        <v>1880</v>
      </c>
      <c r="N89">
        <v>1790</v>
      </c>
      <c r="O89" t="s">
        <v>27</v>
      </c>
    </row>
    <row r="90" spans="1:56">
      <c r="A90" s="1" t="s">
        <v>42</v>
      </c>
      <c r="B90" s="1"/>
    </row>
    <row r="91" spans="1:56">
      <c r="A91" t="s">
        <v>64</v>
      </c>
    </row>
    <row r="92" spans="1:56">
      <c r="A92" t="s">
        <v>43</v>
      </c>
      <c r="B92" t="s">
        <v>92</v>
      </c>
      <c r="P92" t="s">
        <v>28</v>
      </c>
      <c r="AD92" t="s">
        <v>29</v>
      </c>
    </row>
    <row r="93" spans="1:56">
      <c r="A93" t="s">
        <v>6</v>
      </c>
      <c r="B93" t="s">
        <v>35</v>
      </c>
      <c r="C93" t="s">
        <v>66</v>
      </c>
      <c r="F93" t="s">
        <v>68</v>
      </c>
      <c r="I93" t="s">
        <v>67</v>
      </c>
      <c r="L93" t="s">
        <v>90</v>
      </c>
      <c r="P93" t="s">
        <v>35</v>
      </c>
      <c r="Q93" t="s">
        <v>66</v>
      </c>
      <c r="T93" t="s">
        <v>68</v>
      </c>
      <c r="W93" t="s">
        <v>67</v>
      </c>
      <c r="Z93" t="s">
        <v>90</v>
      </c>
      <c r="AD93" t="s">
        <v>35</v>
      </c>
      <c r="AE93" t="s">
        <v>66</v>
      </c>
      <c r="AH93" t="s">
        <v>68</v>
      </c>
      <c r="AK93" t="s">
        <v>67</v>
      </c>
      <c r="AN93" t="s">
        <v>90</v>
      </c>
    </row>
    <row r="94" spans="1:56">
      <c r="C94">
        <v>3</v>
      </c>
      <c r="D94">
        <v>5</v>
      </c>
      <c r="E94">
        <v>7</v>
      </c>
      <c r="F94">
        <v>3</v>
      </c>
      <c r="G94">
        <v>5</v>
      </c>
      <c r="H94">
        <v>7</v>
      </c>
      <c r="I94">
        <v>3</v>
      </c>
      <c r="J94">
        <v>5</v>
      </c>
      <c r="K94">
        <v>7</v>
      </c>
      <c r="L94">
        <v>3</v>
      </c>
      <c r="M94">
        <v>5</v>
      </c>
      <c r="N94">
        <v>7</v>
      </c>
      <c r="Q94">
        <v>3</v>
      </c>
      <c r="R94">
        <v>5</v>
      </c>
      <c r="S94">
        <v>7</v>
      </c>
      <c r="T94">
        <v>3</v>
      </c>
      <c r="U94">
        <v>5</v>
      </c>
      <c r="V94">
        <v>7</v>
      </c>
      <c r="W94">
        <v>3</v>
      </c>
      <c r="X94">
        <v>5</v>
      </c>
      <c r="Y94">
        <v>7</v>
      </c>
      <c r="Z94">
        <v>3</v>
      </c>
      <c r="AA94">
        <v>5</v>
      </c>
      <c r="AB94">
        <v>7</v>
      </c>
      <c r="AE94">
        <v>3</v>
      </c>
      <c r="AF94">
        <v>5</v>
      </c>
      <c r="AG94">
        <v>7</v>
      </c>
      <c r="AH94">
        <v>3</v>
      </c>
      <c r="AI94">
        <v>5</v>
      </c>
      <c r="AJ94">
        <v>7</v>
      </c>
      <c r="AK94">
        <v>3</v>
      </c>
      <c r="AL94">
        <v>5</v>
      </c>
      <c r="AM94">
        <v>7</v>
      </c>
      <c r="AN94">
        <v>3</v>
      </c>
      <c r="AO94">
        <v>5</v>
      </c>
      <c r="AP94">
        <v>7</v>
      </c>
    </row>
    <row r="95" spans="1:56">
      <c r="A95" t="s">
        <v>0</v>
      </c>
      <c r="B95">
        <v>8115245</v>
      </c>
      <c r="C95">
        <v>826324</v>
      </c>
      <c r="D95">
        <v>709727</v>
      </c>
      <c r="E95">
        <v>1257791</v>
      </c>
      <c r="F95">
        <v>7718867</v>
      </c>
      <c r="G95">
        <v>13861446</v>
      </c>
      <c r="H95" t="s">
        <v>93</v>
      </c>
      <c r="I95">
        <v>7694026</v>
      </c>
      <c r="J95">
        <v>9581323</v>
      </c>
      <c r="K95">
        <v>20844969</v>
      </c>
      <c r="P95">
        <v>5179</v>
      </c>
      <c r="Q95">
        <v>6724</v>
      </c>
      <c r="R95">
        <v>6412</v>
      </c>
      <c r="S95">
        <v>6131</v>
      </c>
      <c r="T95">
        <v>7020</v>
      </c>
      <c r="U95">
        <v>7083</v>
      </c>
      <c r="V95" t="s">
        <v>58</v>
      </c>
      <c r="W95">
        <v>6895</v>
      </c>
      <c r="X95">
        <v>6848</v>
      </c>
      <c r="Y95">
        <v>6630</v>
      </c>
      <c r="Z95">
        <v>6895</v>
      </c>
      <c r="AA95">
        <v>6848</v>
      </c>
      <c r="AB95">
        <v>6630</v>
      </c>
      <c r="AD95">
        <f t="shared" ref="AD95:AM95" si="364">B95-P95</f>
        <v>8110066</v>
      </c>
      <c r="AE95">
        <f t="shared" si="364"/>
        <v>819600</v>
      </c>
      <c r="AF95">
        <f t="shared" si="364"/>
        <v>703315</v>
      </c>
      <c r="AG95">
        <f t="shared" si="364"/>
        <v>1251660</v>
      </c>
      <c r="AH95">
        <f t="shared" si="364"/>
        <v>7711847</v>
      </c>
      <c r="AI95">
        <f t="shared" si="364"/>
        <v>13854363</v>
      </c>
      <c r="AJ95" t="e">
        <f t="shared" si="364"/>
        <v>#VALUE!</v>
      </c>
      <c r="AK95">
        <f t="shared" si="364"/>
        <v>7687131</v>
      </c>
      <c r="AL95">
        <f t="shared" si="364"/>
        <v>9574475</v>
      </c>
      <c r="AM95">
        <f t="shared" si="364"/>
        <v>20838339</v>
      </c>
    </row>
    <row r="96" spans="1:56">
      <c r="A96" t="s">
        <v>1</v>
      </c>
      <c r="B96">
        <v>21201</v>
      </c>
      <c r="C96">
        <v>12699</v>
      </c>
      <c r="D96">
        <v>13042</v>
      </c>
      <c r="E96">
        <v>14074</v>
      </c>
      <c r="F96">
        <v>59952</v>
      </c>
      <c r="G96">
        <v>95240</v>
      </c>
      <c r="H96" t="s">
        <v>58</v>
      </c>
      <c r="I96">
        <v>101699</v>
      </c>
      <c r="J96">
        <v>123040</v>
      </c>
      <c r="K96">
        <v>89812</v>
      </c>
      <c r="P96">
        <v>5132</v>
      </c>
      <c r="Q96">
        <v>6568</v>
      </c>
      <c r="R96">
        <v>6365</v>
      </c>
      <c r="S96">
        <v>6101</v>
      </c>
      <c r="T96">
        <v>7020</v>
      </c>
      <c r="U96">
        <v>7036</v>
      </c>
      <c r="V96" t="s">
        <v>58</v>
      </c>
      <c r="W96">
        <v>6802</v>
      </c>
      <c r="X96">
        <v>6817</v>
      </c>
      <c r="Y96">
        <v>6443</v>
      </c>
      <c r="Z96">
        <v>6802</v>
      </c>
      <c r="AA96">
        <v>6817</v>
      </c>
      <c r="AB96">
        <v>6443</v>
      </c>
      <c r="AD96">
        <f t="shared" ref="AD96:AD101" si="365">B96-P96</f>
        <v>16069</v>
      </c>
      <c r="AE96">
        <f t="shared" ref="AE96:AE101" si="366">C96-Q96</f>
        <v>6131</v>
      </c>
      <c r="AF96">
        <f t="shared" ref="AF96:AF101" si="367">D96-R96</f>
        <v>6677</v>
      </c>
      <c r="AG96">
        <f t="shared" ref="AG96:AG101" si="368">E96-S96</f>
        <v>7973</v>
      </c>
      <c r="AH96">
        <f t="shared" ref="AH96:AH101" si="369">F96-T96</f>
        <v>52932</v>
      </c>
      <c r="AI96">
        <f t="shared" ref="AI96:AI101" si="370">G96-U96</f>
        <v>88204</v>
      </c>
      <c r="AJ96" t="e">
        <f t="shared" ref="AJ96:AJ101" si="371">H96-V96</f>
        <v>#VALUE!</v>
      </c>
      <c r="AK96">
        <f t="shared" ref="AK96:AK101" si="372">I96-W96</f>
        <v>94897</v>
      </c>
      <c r="AL96">
        <f t="shared" ref="AL96:AL101" si="373">J96-X96</f>
        <v>116223</v>
      </c>
      <c r="AM96">
        <f t="shared" ref="AM96:AM101" si="374">K96-Y96</f>
        <v>83369</v>
      </c>
    </row>
    <row r="97" spans="1:49">
      <c r="A97" t="s">
        <v>2</v>
      </c>
      <c r="B97">
        <v>21217</v>
      </c>
      <c r="C97">
        <v>12621</v>
      </c>
      <c r="D97">
        <v>13026</v>
      </c>
      <c r="E97">
        <v>14043</v>
      </c>
      <c r="F97">
        <v>59313</v>
      </c>
      <c r="G97">
        <v>95147</v>
      </c>
      <c r="H97" t="s">
        <v>58</v>
      </c>
      <c r="I97">
        <v>101559</v>
      </c>
      <c r="J97">
        <v>123118</v>
      </c>
      <c r="K97">
        <v>89422</v>
      </c>
      <c r="P97">
        <v>5164</v>
      </c>
      <c r="Q97">
        <v>6490</v>
      </c>
      <c r="R97">
        <v>6349</v>
      </c>
      <c r="S97">
        <v>6101</v>
      </c>
      <c r="T97">
        <v>6958</v>
      </c>
      <c r="U97">
        <v>7020</v>
      </c>
      <c r="V97" t="s">
        <v>58</v>
      </c>
      <c r="W97">
        <v>6787</v>
      </c>
      <c r="X97">
        <v>6770</v>
      </c>
      <c r="Y97">
        <v>6412</v>
      </c>
      <c r="Z97">
        <v>6787</v>
      </c>
      <c r="AA97">
        <v>6770</v>
      </c>
      <c r="AB97">
        <v>6412</v>
      </c>
      <c r="AD97">
        <f t="shared" si="365"/>
        <v>16053</v>
      </c>
      <c r="AE97">
        <f t="shared" si="366"/>
        <v>6131</v>
      </c>
      <c r="AF97">
        <f t="shared" si="367"/>
        <v>6677</v>
      </c>
      <c r="AG97">
        <f t="shared" si="368"/>
        <v>7942</v>
      </c>
      <c r="AH97">
        <f t="shared" si="369"/>
        <v>52355</v>
      </c>
      <c r="AI97">
        <f t="shared" si="370"/>
        <v>88127</v>
      </c>
      <c r="AJ97" t="e">
        <f t="shared" si="371"/>
        <v>#VALUE!</v>
      </c>
      <c r="AK97">
        <f t="shared" si="372"/>
        <v>94772</v>
      </c>
      <c r="AL97">
        <f t="shared" si="373"/>
        <v>116348</v>
      </c>
      <c r="AM97">
        <f t="shared" si="374"/>
        <v>83010</v>
      </c>
    </row>
    <row r="98" spans="1:49">
      <c r="A98" t="s">
        <v>3</v>
      </c>
      <c r="B98">
        <v>21201</v>
      </c>
      <c r="C98">
        <v>12621</v>
      </c>
      <c r="D98">
        <v>12933</v>
      </c>
      <c r="E98">
        <v>14043</v>
      </c>
      <c r="F98">
        <v>59126</v>
      </c>
      <c r="G98">
        <v>94976</v>
      </c>
      <c r="H98" t="s">
        <v>58</v>
      </c>
      <c r="I98">
        <v>101574</v>
      </c>
      <c r="J98">
        <v>123258</v>
      </c>
      <c r="K98">
        <v>89609</v>
      </c>
      <c r="P98">
        <v>5164</v>
      </c>
      <c r="Q98">
        <v>6490</v>
      </c>
      <c r="R98">
        <v>6334</v>
      </c>
      <c r="S98">
        <v>6101</v>
      </c>
      <c r="T98">
        <v>6989</v>
      </c>
      <c r="U98">
        <v>7021</v>
      </c>
      <c r="V98" t="s">
        <v>58</v>
      </c>
      <c r="W98">
        <v>6786</v>
      </c>
      <c r="X98">
        <v>6770</v>
      </c>
      <c r="Y98">
        <v>6443</v>
      </c>
      <c r="Z98">
        <v>6786</v>
      </c>
      <c r="AA98">
        <v>6770</v>
      </c>
      <c r="AB98">
        <v>6443</v>
      </c>
      <c r="AD98">
        <f t="shared" si="365"/>
        <v>16037</v>
      </c>
      <c r="AE98">
        <f t="shared" si="366"/>
        <v>6131</v>
      </c>
      <c r="AF98">
        <f t="shared" si="367"/>
        <v>6599</v>
      </c>
      <c r="AG98">
        <f t="shared" si="368"/>
        <v>7942</v>
      </c>
      <c r="AH98">
        <f t="shared" si="369"/>
        <v>52137</v>
      </c>
      <c r="AI98">
        <f t="shared" si="370"/>
        <v>87955</v>
      </c>
      <c r="AJ98" t="e">
        <f t="shared" si="371"/>
        <v>#VALUE!</v>
      </c>
      <c r="AK98">
        <f t="shared" si="372"/>
        <v>94788</v>
      </c>
      <c r="AL98">
        <f t="shared" si="373"/>
        <v>116488</v>
      </c>
      <c r="AM98">
        <f t="shared" si="374"/>
        <v>83166</v>
      </c>
    </row>
    <row r="99" spans="1:49">
      <c r="A99" t="s">
        <v>4</v>
      </c>
      <c r="B99">
        <v>21247</v>
      </c>
      <c r="C99">
        <v>12621</v>
      </c>
      <c r="D99">
        <v>12996</v>
      </c>
      <c r="E99">
        <v>14028</v>
      </c>
      <c r="F99">
        <v>59172</v>
      </c>
      <c r="G99">
        <v>95022</v>
      </c>
      <c r="H99" t="s">
        <v>58</v>
      </c>
      <c r="I99">
        <v>101481</v>
      </c>
      <c r="J99">
        <v>122994</v>
      </c>
      <c r="K99">
        <v>89656</v>
      </c>
      <c r="P99">
        <v>5179</v>
      </c>
      <c r="Q99">
        <v>6506</v>
      </c>
      <c r="R99">
        <v>6365</v>
      </c>
      <c r="S99">
        <v>6086</v>
      </c>
      <c r="T99">
        <v>6973</v>
      </c>
      <c r="U99">
        <v>7035</v>
      </c>
      <c r="V99" t="s">
        <v>58</v>
      </c>
      <c r="W99">
        <v>6787</v>
      </c>
      <c r="X99">
        <v>6771</v>
      </c>
      <c r="Y99">
        <v>6396</v>
      </c>
      <c r="Z99">
        <v>6787</v>
      </c>
      <c r="AA99">
        <v>6771</v>
      </c>
      <c r="AB99">
        <v>6396</v>
      </c>
      <c r="AD99">
        <f t="shared" si="365"/>
        <v>16068</v>
      </c>
      <c r="AE99">
        <f t="shared" si="366"/>
        <v>6115</v>
      </c>
      <c r="AF99">
        <f t="shared" si="367"/>
        <v>6631</v>
      </c>
      <c r="AG99">
        <f t="shared" si="368"/>
        <v>7942</v>
      </c>
      <c r="AH99">
        <f t="shared" si="369"/>
        <v>52199</v>
      </c>
      <c r="AI99">
        <f t="shared" si="370"/>
        <v>87987</v>
      </c>
      <c r="AJ99" t="e">
        <f t="shared" si="371"/>
        <v>#VALUE!</v>
      </c>
      <c r="AK99">
        <f t="shared" si="372"/>
        <v>94694</v>
      </c>
      <c r="AL99">
        <f t="shared" si="373"/>
        <v>116223</v>
      </c>
      <c r="AM99">
        <f t="shared" si="374"/>
        <v>83260</v>
      </c>
    </row>
    <row r="100" spans="1:49">
      <c r="A100" t="s">
        <v>31</v>
      </c>
      <c r="B100">
        <v>21232</v>
      </c>
      <c r="C100">
        <v>12636</v>
      </c>
      <c r="D100">
        <v>12980</v>
      </c>
      <c r="E100">
        <v>14027</v>
      </c>
      <c r="F100">
        <v>59188</v>
      </c>
      <c r="G100">
        <v>95084</v>
      </c>
      <c r="H100" t="s">
        <v>58</v>
      </c>
      <c r="I100">
        <v>101371</v>
      </c>
      <c r="J100">
        <v>123056</v>
      </c>
      <c r="K100">
        <v>89765</v>
      </c>
      <c r="P100">
        <v>5164</v>
      </c>
      <c r="Q100">
        <v>6505</v>
      </c>
      <c r="R100">
        <v>6350</v>
      </c>
      <c r="S100">
        <v>6101</v>
      </c>
      <c r="T100">
        <v>6989</v>
      </c>
      <c r="U100">
        <v>7035</v>
      </c>
      <c r="V100" t="s">
        <v>58</v>
      </c>
      <c r="W100">
        <v>6786</v>
      </c>
      <c r="X100">
        <v>6770</v>
      </c>
      <c r="Y100">
        <v>6396</v>
      </c>
      <c r="Z100">
        <v>6786</v>
      </c>
      <c r="AA100">
        <v>6770</v>
      </c>
      <c r="AB100">
        <v>6396</v>
      </c>
      <c r="AD100">
        <f t="shared" si="365"/>
        <v>16068</v>
      </c>
      <c r="AE100">
        <f t="shared" si="366"/>
        <v>6131</v>
      </c>
      <c r="AF100">
        <f t="shared" si="367"/>
        <v>6630</v>
      </c>
      <c r="AG100">
        <f t="shared" si="368"/>
        <v>7926</v>
      </c>
      <c r="AH100">
        <f t="shared" si="369"/>
        <v>52199</v>
      </c>
      <c r="AI100">
        <f t="shared" si="370"/>
        <v>88049</v>
      </c>
      <c r="AJ100" t="e">
        <f t="shared" si="371"/>
        <v>#VALUE!</v>
      </c>
      <c r="AK100">
        <f t="shared" si="372"/>
        <v>94585</v>
      </c>
      <c r="AL100">
        <f t="shared" si="373"/>
        <v>116286</v>
      </c>
      <c r="AM100">
        <f t="shared" si="374"/>
        <v>83369</v>
      </c>
    </row>
    <row r="101" spans="1:49">
      <c r="A101" t="s">
        <v>32</v>
      </c>
      <c r="B101">
        <v>21200</v>
      </c>
      <c r="C101">
        <v>12652</v>
      </c>
      <c r="D101">
        <v>12964</v>
      </c>
      <c r="E101">
        <v>14027</v>
      </c>
      <c r="F101">
        <v>59235</v>
      </c>
      <c r="G101">
        <v>95069</v>
      </c>
      <c r="H101" t="s">
        <v>58</v>
      </c>
      <c r="I101">
        <v>101543</v>
      </c>
      <c r="J101">
        <v>123072</v>
      </c>
      <c r="K101">
        <v>89469</v>
      </c>
      <c r="P101">
        <v>5163</v>
      </c>
      <c r="Q101">
        <v>6521</v>
      </c>
      <c r="R101">
        <v>6349</v>
      </c>
      <c r="S101">
        <v>6101</v>
      </c>
      <c r="T101">
        <v>6989</v>
      </c>
      <c r="U101">
        <v>7036</v>
      </c>
      <c r="V101" t="s">
        <v>58</v>
      </c>
      <c r="W101">
        <v>6787</v>
      </c>
      <c r="X101">
        <v>6802</v>
      </c>
      <c r="Y101">
        <v>6412</v>
      </c>
      <c r="Z101">
        <v>6787</v>
      </c>
      <c r="AA101">
        <v>6802</v>
      </c>
      <c r="AB101">
        <v>6412</v>
      </c>
      <c r="AD101">
        <f t="shared" si="365"/>
        <v>16037</v>
      </c>
      <c r="AE101">
        <f t="shared" si="366"/>
        <v>6131</v>
      </c>
      <c r="AF101">
        <f t="shared" si="367"/>
        <v>6615</v>
      </c>
      <c r="AG101">
        <f t="shared" si="368"/>
        <v>7926</v>
      </c>
      <c r="AH101">
        <f t="shared" si="369"/>
        <v>52246</v>
      </c>
      <c r="AI101">
        <f t="shared" si="370"/>
        <v>88033</v>
      </c>
      <c r="AJ101" t="e">
        <f t="shared" si="371"/>
        <v>#VALUE!</v>
      </c>
      <c r="AK101">
        <f t="shared" si="372"/>
        <v>94756</v>
      </c>
      <c r="AL101">
        <f t="shared" si="373"/>
        <v>116270</v>
      </c>
      <c r="AM101">
        <f t="shared" si="374"/>
        <v>83057</v>
      </c>
    </row>
    <row r="102" spans="1:49">
      <c r="A102" t="s">
        <v>5</v>
      </c>
      <c r="B102">
        <f>(SUM(B95:B101) -MAX(B95:B101))/((COUNT(B95:B101)-1)*1000)</f>
        <v>21.216333333333335</v>
      </c>
      <c r="C102">
        <f t="shared" ref="C102:K102" si="375">(SUM(C95:C101) -MAX(C95:C101))/((COUNT(C95:C101)-1)*1000)</f>
        <v>12.641666666666667</v>
      </c>
      <c r="D102">
        <f t="shared" si="375"/>
        <v>12.990166666666667</v>
      </c>
      <c r="E102">
        <f t="shared" si="375"/>
        <v>14.040333333333333</v>
      </c>
      <c r="F102">
        <f t="shared" si="375"/>
        <v>59.331000000000003</v>
      </c>
      <c r="G102">
        <f t="shared" si="375"/>
        <v>95.089666666666673</v>
      </c>
      <c r="H102">
        <f>(SUM(H95:H101) -MAX(H95:H101))/((COUNT(H95:H101)-1)*1000)</f>
        <v>0</v>
      </c>
      <c r="I102">
        <f t="shared" si="375"/>
        <v>101.53783333333334</v>
      </c>
      <c r="J102">
        <f t="shared" si="375"/>
        <v>123.08966666666667</v>
      </c>
      <c r="K102">
        <f t="shared" si="375"/>
        <v>89.622166666666672</v>
      </c>
      <c r="L102">
        <f t="shared" ref="L102:N102" si="376">(SUM(L95:L101) -MAX(L95:L101))/((COUNT(L95:L101)-1)*1000)</f>
        <v>0</v>
      </c>
      <c r="M102">
        <f t="shared" si="376"/>
        <v>0</v>
      </c>
      <c r="N102">
        <f t="shared" si="376"/>
        <v>0</v>
      </c>
      <c r="P102">
        <f>(SUM(P95:P101) -MAX(P95:P101))/((COUNT(P95:P101)-1)*1000)</f>
        <v>5.1609999999999996</v>
      </c>
      <c r="Q102">
        <f t="shared" ref="Q102" si="377">(SUM(Q95:Q101) -MAX(Q95:Q101))/((COUNT(Q95:Q101)-1)*1000)</f>
        <v>6.5133333333333336</v>
      </c>
      <c r="R102">
        <f t="shared" ref="R102" si="378">(SUM(R95:R101) -MAX(R95:R101))/((COUNT(R95:R101)-1)*1000)</f>
        <v>6.3520000000000003</v>
      </c>
      <c r="S102">
        <f t="shared" ref="S102" si="379">(SUM(S95:S101) -MAX(S95:S101))/((COUNT(S95:S101)-1)*1000)</f>
        <v>6.0984999999999996</v>
      </c>
      <c r="T102">
        <f t="shared" ref="T102" si="380">(SUM(T95:T101) -MAX(T95:T101))/((COUNT(T95:T101)-1)*1000)</f>
        <v>6.9863333333333335</v>
      </c>
      <c r="U102">
        <f t="shared" ref="U102" si="381">(SUM(U95:U101) -MAX(U95:U101))/((COUNT(U95:U101)-1)*1000)</f>
        <v>7.0305</v>
      </c>
      <c r="V102">
        <f t="shared" ref="V102" si="382">(SUM(V95:V101) -MAX(V95:V101))/((COUNT(V95:V101)-1)*1000)</f>
        <v>0</v>
      </c>
      <c r="W102">
        <f t="shared" ref="W102" si="383">(SUM(W95:W101) -MAX(W95:W101))/((COUNT(W95:W101)-1)*1000)</f>
        <v>6.7891666666666666</v>
      </c>
      <c r="X102">
        <f t="shared" ref="X102" si="384">(SUM(X95:X101) -MAX(X95:X101))/((COUNT(X95:X101)-1)*1000)</f>
        <v>6.7833333333333332</v>
      </c>
      <c r="Y102">
        <f t="shared" ref="Y102:AA102" si="385">(SUM(Y95:Y101) -MAX(Y95:Y101))/((COUNT(Y95:Y101)-1)*1000)</f>
        <v>6.4169999999999998</v>
      </c>
      <c r="Z102">
        <f t="shared" si="385"/>
        <v>6.7891666666666666</v>
      </c>
      <c r="AA102">
        <f t="shared" si="385"/>
        <v>6.7833333333333332</v>
      </c>
      <c r="AB102">
        <f t="shared" ref="AB102" si="386">(SUM(AB95:AB101) -MAX(AB95:AB101))/((COUNT(AB95:AB101)-1)*1000)</f>
        <v>6.4169999999999998</v>
      </c>
      <c r="AD102">
        <f>(SUM(AD95:AD101) -MAX(AD95:AD101))/((COUNT(AD95:AD101)-1)*1000)</f>
        <v>16.055333333333333</v>
      </c>
      <c r="AE102">
        <f t="shared" ref="AE102" si="387">(SUM(AE95:AE101) -MAX(AE95:AE101))/((COUNT(AE95:AE101)-1)*1000)</f>
        <v>6.128333333333333</v>
      </c>
      <c r="AF102">
        <f t="shared" ref="AF102" si="388">(SUM(AF95:AF101) -MAX(AF95:AF101))/((COUNT(AF95:AF101)-1)*1000)</f>
        <v>6.6381666666666668</v>
      </c>
      <c r="AG102">
        <f t="shared" ref="AG102" si="389">(SUM(AG95:AG101) -MAX(AG95:AG101))/((COUNT(AG95:AG101)-1)*1000)</f>
        <v>7.9418333333333333</v>
      </c>
      <c r="AH102">
        <f t="shared" ref="AH102" si="390">(SUM(AH95:AH101) -MAX(AH95:AH101))/((COUNT(AH95:AH101)-1)*1000)</f>
        <v>52.344666666666669</v>
      </c>
      <c r="AI102">
        <f t="shared" ref="AI102" si="391">(SUM(AI95:AI101) -MAX(AI95:AI101))/((COUNT(AI95:AI101)-1)*1000)</f>
        <v>88.05916666666667</v>
      </c>
      <c r="AJ102" t="e">
        <f t="shared" ref="AJ102" si="392">(SUM(AJ95:AJ101) -MAX(AJ95:AJ101))/((COUNT(AJ95:AJ101)-1)*1000)</f>
        <v>#VALUE!</v>
      </c>
      <c r="AK102">
        <f t="shared" ref="AK102" si="393">(SUM(AK95:AK101) -MAX(AK95:AK101))/((COUNT(AK95:AK101)-1)*1000)</f>
        <v>94.748666666666665</v>
      </c>
      <c r="AL102">
        <f t="shared" ref="AL102" si="394">(SUM(AL95:AL101) -MAX(AL95:AL101))/((COUNT(AL95:AL101)-1)*1000)</f>
        <v>116.30633333333333</v>
      </c>
      <c r="AM102">
        <f t="shared" ref="AM102:AO102" si="395">(SUM(AM95:AM101) -MAX(AM95:AM101))/((COUNT(AM95:AM101)-1)*1000)</f>
        <v>83.20516666666667</v>
      </c>
      <c r="AN102">
        <f t="shared" si="395"/>
        <v>0</v>
      </c>
      <c r="AO102">
        <f t="shared" si="395"/>
        <v>0</v>
      </c>
      <c r="AP102">
        <f t="shared" ref="AP102" si="396">(SUM(AP95:AP101) -MAX(AP95:AP101))/((COUNT(AP95:AP101)-1)*1000)</f>
        <v>0</v>
      </c>
    </row>
    <row r="103" spans="1:49">
      <c r="A103" t="s">
        <v>7</v>
      </c>
      <c r="B103">
        <f>STDEV(B96:B101)/1000</f>
        <v>1.9612920911951277E-2</v>
      </c>
      <c r="C103">
        <f t="shared" ref="C103:K103" si="397">STDEV(C96:C101)/1000</f>
        <v>3.0683328806937065E-2</v>
      </c>
      <c r="D103">
        <f t="shared" si="397"/>
        <v>4.0151795310728183E-2</v>
      </c>
      <c r="E103">
        <f t="shared" si="397"/>
        <v>1.8195237471678463E-2</v>
      </c>
      <c r="F103">
        <f t="shared" si="397"/>
        <v>0.31078481301376359</v>
      </c>
      <c r="G103">
        <f t="shared" si="397"/>
        <v>9.3643294832973997E-2</v>
      </c>
      <c r="H103" t="e">
        <f t="shared" si="397"/>
        <v>#DIV/0!</v>
      </c>
      <c r="I103">
        <f t="shared" si="397"/>
        <v>0.10846274322169476</v>
      </c>
      <c r="J103">
        <f t="shared" si="397"/>
        <v>9.1873100881865385E-2</v>
      </c>
      <c r="K103">
        <f t="shared" si="397"/>
        <v>0.15574519789443042</v>
      </c>
      <c r="L103" t="e">
        <f t="shared" ref="L103:N103" si="398">STDEV(L96:L101)/1000</f>
        <v>#DIV/0!</v>
      </c>
      <c r="M103" t="e">
        <f t="shared" si="398"/>
        <v>#DIV/0!</v>
      </c>
      <c r="N103" t="e">
        <f t="shared" si="398"/>
        <v>#DIV/0!</v>
      </c>
      <c r="P103">
        <f>STDEV(P96:P101)/1000</f>
        <v>1.5466091943344964E-2</v>
      </c>
      <c r="Q103">
        <f t="shared" ref="Q103:Y103" si="399">STDEV(Q96:Q101)/1000</f>
        <v>2.91867549869569E-2</v>
      </c>
      <c r="R103">
        <f t="shared" si="399"/>
        <v>1.1696153213770757E-2</v>
      </c>
      <c r="S103">
        <f t="shared" si="399"/>
        <v>6.1237243569579455E-3</v>
      </c>
      <c r="T103">
        <f t="shared" si="399"/>
        <v>2.0665591369779211E-2</v>
      </c>
      <c r="U103">
        <f t="shared" si="399"/>
        <v>7.7653074633268699E-3</v>
      </c>
      <c r="V103" t="e">
        <f t="shared" si="399"/>
        <v>#DIV/0!</v>
      </c>
      <c r="W103">
        <f t="shared" si="399"/>
        <v>6.3060817202675885E-3</v>
      </c>
      <c r="X103">
        <f t="shared" si="399"/>
        <v>2.0819862311328888E-2</v>
      </c>
      <c r="Y103">
        <f t="shared" si="399"/>
        <v>2.1372880011828074E-2</v>
      </c>
      <c r="Z103">
        <f t="shared" ref="Z103:AB103" si="400">STDEV(Z96:Z101)/1000</f>
        <v>6.3060817202675885E-3</v>
      </c>
      <c r="AA103">
        <f t="shared" si="400"/>
        <v>2.0819862311328888E-2</v>
      </c>
      <c r="AB103">
        <f t="shared" si="400"/>
        <v>2.1372880011828074E-2</v>
      </c>
      <c r="AD103">
        <f>STDEV(AD96:AD101)/1000</f>
        <v>1.5396969398254063E-2</v>
      </c>
      <c r="AE103">
        <f t="shared" ref="AE103:AM103" si="401">STDEV(AE96:AE101)/1000</f>
        <v>6.5319726475738926E-3</v>
      </c>
      <c r="AF103">
        <f t="shared" si="401"/>
        <v>3.2264015042592784E-2</v>
      </c>
      <c r="AG103">
        <f t="shared" si="401"/>
        <v>1.7162944580190576E-2</v>
      </c>
      <c r="AH103">
        <f t="shared" si="401"/>
        <v>0.29677106777243939</v>
      </c>
      <c r="AI103">
        <f t="shared" si="401"/>
        <v>9.2113878797797311E-2</v>
      </c>
      <c r="AJ103" t="e">
        <f t="shared" si="401"/>
        <v>#VALUE!</v>
      </c>
      <c r="AK103">
        <f t="shared" si="401"/>
        <v>0.10384924971888479</v>
      </c>
      <c r="AL103">
        <f t="shared" si="401"/>
        <v>0.1003606828675922</v>
      </c>
      <c r="AM103">
        <f t="shared" si="401"/>
        <v>0.15379651058192215</v>
      </c>
      <c r="AN103" t="e">
        <f t="shared" ref="AN103:AP103" si="402">STDEV(AN96:AN101)/1000</f>
        <v>#DIV/0!</v>
      </c>
      <c r="AO103" t="e">
        <f t="shared" si="402"/>
        <v>#DIV/0!</v>
      </c>
      <c r="AP103" t="e">
        <f t="shared" si="402"/>
        <v>#DIV/0!</v>
      </c>
    </row>
    <row r="104" spans="1:49">
      <c r="A104" t="s">
        <v>8</v>
      </c>
      <c r="B104">
        <f>CONFIDENCE(0.05,B103,5)/2</f>
        <v>8.5955836329355498E-3</v>
      </c>
      <c r="C104">
        <f t="shared" ref="C104:K104" si="403">CONFIDENCE(0.05,C103,5)/2</f>
        <v>1.3447314659601542E-2</v>
      </c>
      <c r="D104">
        <f t="shared" si="403"/>
        <v>1.7596976817235169E-2</v>
      </c>
      <c r="E104">
        <f t="shared" si="403"/>
        <v>7.9742678875349103E-3</v>
      </c>
      <c r="F104">
        <f t="shared" si="403"/>
        <v>0.13620494693772095</v>
      </c>
      <c r="G104">
        <f t="shared" si="403"/>
        <v>4.1040229347480112E-2</v>
      </c>
      <c r="H104" t="e">
        <f t="shared" si="403"/>
        <v>#DIV/0!</v>
      </c>
      <c r="I104">
        <f t="shared" si="403"/>
        <v>4.7535019623292644E-2</v>
      </c>
      <c r="J104">
        <f t="shared" si="403"/>
        <v>4.0264421897810612E-2</v>
      </c>
      <c r="K104">
        <f t="shared" si="403"/>
        <v>6.8257088270514313E-2</v>
      </c>
      <c r="L104" t="e">
        <f t="shared" ref="L104:N104" si="404">CONFIDENCE(0.05,L103,5)/2</f>
        <v>#DIV/0!</v>
      </c>
      <c r="M104" t="e">
        <f t="shared" si="404"/>
        <v>#DIV/0!</v>
      </c>
      <c r="N104" t="e">
        <f t="shared" si="404"/>
        <v>#DIV/0!</v>
      </c>
      <c r="P104">
        <f>CONFIDENCE(0.05,P103,5)/2</f>
        <v>6.7781891014858636E-3</v>
      </c>
      <c r="Q104">
        <f t="shared" ref="Q104" si="405">CONFIDENCE(0.05,Q103,5)/2</f>
        <v>1.2791424316176836E-2</v>
      </c>
      <c r="R104">
        <f t="shared" ref="R104" si="406">CONFIDENCE(0.05,R103,5)/2</f>
        <v>5.1259709649536462E-3</v>
      </c>
      <c r="S104">
        <f t="shared" ref="S104" si="407">CONFIDENCE(0.05,S103,5)/2</f>
        <v>2.6837912155757357E-3</v>
      </c>
      <c r="T104">
        <f t="shared" ref="T104" si="408">CONFIDENCE(0.05,T103,5)/2</f>
        <v>9.0569283249781751E-3</v>
      </c>
      <c r="U104">
        <f t="shared" ref="U104" si="409">CONFIDENCE(0.05,U103,5)/2</f>
        <v>3.4032335130567788E-3</v>
      </c>
      <c r="V104" t="e">
        <f t="shared" ref="V104" si="410">CONFIDENCE(0.05,V103,5)/2</f>
        <v>#DIV/0!</v>
      </c>
      <c r="W104">
        <f t="shared" ref="W104" si="411">CONFIDENCE(0.05,W103,5)/2</f>
        <v>2.7637113852662432E-3</v>
      </c>
      <c r="X104">
        <f t="shared" ref="X104" si="412">CONFIDENCE(0.05,X103,5)/2</f>
        <v>9.1245393037903081E-3</v>
      </c>
      <c r="Y104">
        <f t="shared" ref="Y104:AA104" si="413">CONFIDENCE(0.05,Y103,5)/2</f>
        <v>9.3669055437029906E-3</v>
      </c>
      <c r="Z104">
        <f t="shared" si="413"/>
        <v>2.7637113852662432E-3</v>
      </c>
      <c r="AA104">
        <f t="shared" si="413"/>
        <v>9.1245393037903081E-3</v>
      </c>
      <c r="AB104">
        <f t="shared" ref="AB104" si="414">CONFIDENCE(0.05,AB103,5)/2</f>
        <v>9.3669055437029906E-3</v>
      </c>
      <c r="AD104">
        <f>CONFIDENCE(0.05,AD103,5)/2</f>
        <v>6.7478953670687654E-3</v>
      </c>
      <c r="AE104">
        <f t="shared" ref="AE104" si="415">CONFIDENCE(0.05,AE103,5)/2</f>
        <v>2.8627106300141039E-3</v>
      </c>
      <c r="AF104">
        <f t="shared" ref="AF104" si="416">CONFIDENCE(0.05,AF103,5)/2</f>
        <v>1.4140068217167234E-2</v>
      </c>
      <c r="AG104">
        <f t="shared" ref="AG104" si="417">CONFIDENCE(0.05,AG103,5)/2</f>
        <v>7.5218538936018568E-3</v>
      </c>
      <c r="AH104">
        <f t="shared" ref="AH104" si="418">CONFIDENCE(0.05,AH103,5)/2</f>
        <v>0.13006326514676173</v>
      </c>
      <c r="AI104">
        <f t="shared" ref="AI104" si="419">CONFIDENCE(0.05,AI103,5)/2</f>
        <v>4.0369945533104301E-2</v>
      </c>
      <c r="AJ104" t="e">
        <f t="shared" ref="AJ104" si="420">CONFIDENCE(0.05,AJ103,5)/2</f>
        <v>#VALUE!</v>
      </c>
      <c r="AK104">
        <f t="shared" ref="AK104" si="421">CONFIDENCE(0.05,AK103,5)/2</f>
        <v>4.551310410028437E-2</v>
      </c>
      <c r="AL104">
        <f t="shared" ref="AL104" si="422">CONFIDENCE(0.05,AL103,5)/2</f>
        <v>4.3984200360551257E-2</v>
      </c>
      <c r="AM104">
        <f t="shared" ref="AM104:AO104" si="423">CONFIDENCE(0.05,AM103,5)/2</f>
        <v>6.7403054093539749E-2</v>
      </c>
      <c r="AN104" t="e">
        <f t="shared" si="423"/>
        <v>#DIV/0!</v>
      </c>
      <c r="AO104" t="e">
        <f t="shared" si="423"/>
        <v>#DIV/0!</v>
      </c>
      <c r="AP104" t="e">
        <f t="shared" ref="AP104" si="424">CONFIDENCE(0.05,AP103,5)/2</f>
        <v>#DIV/0!</v>
      </c>
    </row>
    <row r="105" spans="1:49">
      <c r="A105" t="s">
        <v>13</v>
      </c>
    </row>
    <row r="106" spans="1:49">
      <c r="A106" t="s">
        <v>10</v>
      </c>
      <c r="O106" t="s">
        <v>27</v>
      </c>
    </row>
    <row r="107" spans="1:49">
      <c r="A107" s="1" t="s">
        <v>48</v>
      </c>
      <c r="B107" s="1"/>
    </row>
    <row r="108" spans="1:49">
      <c r="A108" s="1" t="s">
        <v>48</v>
      </c>
      <c r="B108" s="1"/>
    </row>
    <row r="109" spans="1:49">
      <c r="A109" s="1" t="s">
        <v>48</v>
      </c>
      <c r="B109" s="1"/>
    </row>
    <row r="110" spans="1:49">
      <c r="A110" t="s">
        <v>56</v>
      </c>
      <c r="B110" s="1"/>
    </row>
    <row r="111" spans="1:49">
      <c r="A111" t="s">
        <v>43</v>
      </c>
      <c r="B111" t="s">
        <v>92</v>
      </c>
      <c r="P111" t="s">
        <v>28</v>
      </c>
      <c r="AD111" t="s">
        <v>60</v>
      </c>
      <c r="AR111" t="s">
        <v>30</v>
      </c>
    </row>
    <row r="112" spans="1:49">
      <c r="A112" t="s">
        <v>6</v>
      </c>
      <c r="B112" t="s">
        <v>35</v>
      </c>
      <c r="C112" t="s">
        <v>66</v>
      </c>
      <c r="D112" t="s">
        <v>68</v>
      </c>
      <c r="E112" t="s">
        <v>67</v>
      </c>
      <c r="F112" t="s">
        <v>90</v>
      </c>
      <c r="G112" t="s">
        <v>94</v>
      </c>
      <c r="P112" t="s">
        <v>35</v>
      </c>
      <c r="Q112" t="s">
        <v>66</v>
      </c>
      <c r="R112" t="s">
        <v>68</v>
      </c>
      <c r="S112" t="s">
        <v>67</v>
      </c>
      <c r="T112" t="s">
        <v>90</v>
      </c>
      <c r="U112" t="s">
        <v>94</v>
      </c>
      <c r="AD112" t="s">
        <v>35</v>
      </c>
      <c r="AE112" t="s">
        <v>66</v>
      </c>
      <c r="AF112" t="s">
        <v>68</v>
      </c>
      <c r="AG112" t="s">
        <v>67</v>
      </c>
      <c r="AH112" t="s">
        <v>90</v>
      </c>
      <c r="AI112" t="s">
        <v>94</v>
      </c>
      <c r="AR112" t="s">
        <v>35</v>
      </c>
      <c r="AS112" t="s">
        <v>66</v>
      </c>
      <c r="AT112" t="s">
        <v>68</v>
      </c>
      <c r="AU112" t="s">
        <v>67</v>
      </c>
      <c r="AV112" t="s">
        <v>90</v>
      </c>
      <c r="AW112" t="s">
        <v>94</v>
      </c>
    </row>
    <row r="114" spans="1:49">
      <c r="A114" t="s">
        <v>0</v>
      </c>
      <c r="B114">
        <v>6382992</v>
      </c>
      <c r="C114">
        <v>6437292</v>
      </c>
      <c r="D114">
        <v>18564256</v>
      </c>
      <c r="E114">
        <v>9443455</v>
      </c>
      <c r="F114">
        <v>18321491</v>
      </c>
      <c r="G114">
        <v>2369405</v>
      </c>
      <c r="P114">
        <v>6412</v>
      </c>
      <c r="Q114">
        <v>6927</v>
      </c>
      <c r="R114">
        <v>7535</v>
      </c>
      <c r="S114">
        <v>6927</v>
      </c>
      <c r="T114">
        <v>7348</v>
      </c>
      <c r="U114">
        <v>7410</v>
      </c>
      <c r="AD114">
        <f t="shared" ref="AD114:AI114" si="425">B114-P114</f>
        <v>6376580</v>
      </c>
      <c r="AE114">
        <f t="shared" si="425"/>
        <v>6430365</v>
      </c>
      <c r="AF114">
        <f t="shared" si="425"/>
        <v>18556721</v>
      </c>
      <c r="AG114">
        <f t="shared" si="425"/>
        <v>9436528</v>
      </c>
      <c r="AH114">
        <f t="shared" si="425"/>
        <v>18314143</v>
      </c>
      <c r="AI114">
        <f t="shared" si="425"/>
        <v>2361995</v>
      </c>
      <c r="AR114">
        <v>43556</v>
      </c>
      <c r="AS114">
        <v>45350</v>
      </c>
      <c r="AT114">
        <v>64881</v>
      </c>
      <c r="AU114">
        <v>51496</v>
      </c>
      <c r="AV114">
        <v>59094</v>
      </c>
      <c r="AW114">
        <v>49484</v>
      </c>
    </row>
    <row r="115" spans="1:49">
      <c r="A115" t="s">
        <v>1</v>
      </c>
      <c r="B115">
        <v>52979</v>
      </c>
      <c r="C115">
        <v>35756</v>
      </c>
      <c r="D115">
        <v>249215</v>
      </c>
      <c r="E115">
        <v>66441</v>
      </c>
      <c r="F115">
        <v>303052</v>
      </c>
      <c r="G115">
        <v>28548</v>
      </c>
      <c r="P115">
        <v>6365</v>
      </c>
      <c r="Q115">
        <v>6848</v>
      </c>
      <c r="R115">
        <v>7379</v>
      </c>
      <c r="S115">
        <v>6864</v>
      </c>
      <c r="T115">
        <v>7286</v>
      </c>
      <c r="U115">
        <v>7379</v>
      </c>
      <c r="AD115">
        <f t="shared" ref="AD115:AD120" si="426">B115-P115</f>
        <v>46614</v>
      </c>
      <c r="AE115">
        <f t="shared" ref="AE115:AE120" si="427">C115-Q115</f>
        <v>28908</v>
      </c>
      <c r="AF115">
        <f t="shared" ref="AF115:AF120" si="428">D115-R115</f>
        <v>241836</v>
      </c>
      <c r="AG115">
        <f t="shared" ref="AG115:AI120" si="429">E115-S115</f>
        <v>59577</v>
      </c>
      <c r="AH115">
        <f t="shared" si="429"/>
        <v>295766</v>
      </c>
      <c r="AI115">
        <f t="shared" si="429"/>
        <v>21169</v>
      </c>
      <c r="AR115">
        <v>43556</v>
      </c>
      <c r="AS115">
        <v>45350</v>
      </c>
      <c r="AT115">
        <v>64881</v>
      </c>
      <c r="AU115">
        <v>51496</v>
      </c>
      <c r="AV115">
        <v>59094</v>
      </c>
      <c r="AW115">
        <v>49484</v>
      </c>
    </row>
    <row r="116" spans="1:49">
      <c r="A116" t="s">
        <v>2</v>
      </c>
      <c r="B116">
        <v>51684</v>
      </c>
      <c r="C116">
        <v>34274</v>
      </c>
      <c r="D116">
        <v>245674</v>
      </c>
      <c r="E116">
        <v>66130</v>
      </c>
      <c r="F116">
        <v>302350</v>
      </c>
      <c r="G116">
        <v>28408</v>
      </c>
      <c r="P116">
        <v>6349</v>
      </c>
      <c r="Q116">
        <v>6786</v>
      </c>
      <c r="R116">
        <v>7317</v>
      </c>
      <c r="S116">
        <v>6818</v>
      </c>
      <c r="T116">
        <v>7208</v>
      </c>
      <c r="U116">
        <v>7348</v>
      </c>
      <c r="AD116">
        <f t="shared" si="426"/>
        <v>45335</v>
      </c>
      <c r="AE116">
        <f t="shared" si="427"/>
        <v>27488</v>
      </c>
      <c r="AF116">
        <f t="shared" si="428"/>
        <v>238357</v>
      </c>
      <c r="AG116">
        <f t="shared" si="429"/>
        <v>59312</v>
      </c>
      <c r="AH116">
        <f t="shared" si="429"/>
        <v>295142</v>
      </c>
      <c r="AI116">
        <f t="shared" si="429"/>
        <v>21060</v>
      </c>
      <c r="AR116">
        <v>53212</v>
      </c>
      <c r="AS116">
        <v>56567</v>
      </c>
      <c r="AT116">
        <v>76847</v>
      </c>
      <c r="AU116">
        <v>62604</v>
      </c>
      <c r="AV116">
        <v>71246</v>
      </c>
      <c r="AW116">
        <v>59843</v>
      </c>
    </row>
    <row r="117" spans="1:49">
      <c r="A117" t="s">
        <v>3</v>
      </c>
      <c r="B117">
        <v>51762</v>
      </c>
      <c r="C117">
        <v>34461</v>
      </c>
      <c r="D117">
        <v>245330</v>
      </c>
      <c r="E117">
        <v>66145</v>
      </c>
      <c r="F117">
        <v>299604</v>
      </c>
      <c r="G117">
        <v>28315</v>
      </c>
      <c r="P117">
        <v>6381</v>
      </c>
      <c r="Q117">
        <v>6786</v>
      </c>
      <c r="R117">
        <v>7301</v>
      </c>
      <c r="S117">
        <v>6802</v>
      </c>
      <c r="T117">
        <v>7238</v>
      </c>
      <c r="U117">
        <v>7317</v>
      </c>
      <c r="AD117">
        <f t="shared" si="426"/>
        <v>45381</v>
      </c>
      <c r="AE117">
        <f t="shared" si="427"/>
        <v>27675</v>
      </c>
      <c r="AF117">
        <f t="shared" si="428"/>
        <v>238029</v>
      </c>
      <c r="AG117">
        <f t="shared" si="429"/>
        <v>59343</v>
      </c>
      <c r="AH117">
        <f t="shared" si="429"/>
        <v>292366</v>
      </c>
      <c r="AI117">
        <f t="shared" si="429"/>
        <v>20998</v>
      </c>
      <c r="AR117">
        <v>53416</v>
      </c>
      <c r="AS117">
        <v>53853</v>
      </c>
      <c r="AT117">
        <v>75240</v>
      </c>
      <c r="AU117">
        <v>58127</v>
      </c>
      <c r="AV117">
        <v>69468</v>
      </c>
      <c r="AW117">
        <v>59936</v>
      </c>
    </row>
    <row r="118" spans="1:49">
      <c r="A118" t="s">
        <v>4</v>
      </c>
      <c r="B118">
        <v>51809</v>
      </c>
      <c r="C118">
        <v>34305</v>
      </c>
      <c r="D118">
        <v>245018</v>
      </c>
      <c r="E118">
        <v>66005</v>
      </c>
      <c r="F118">
        <v>300040</v>
      </c>
      <c r="G118">
        <v>28518</v>
      </c>
      <c r="P118">
        <v>6396</v>
      </c>
      <c r="Q118">
        <v>6786</v>
      </c>
      <c r="R118">
        <v>7332</v>
      </c>
      <c r="S118">
        <v>6817</v>
      </c>
      <c r="T118">
        <v>7238</v>
      </c>
      <c r="U118">
        <v>7332</v>
      </c>
      <c r="AD118">
        <f t="shared" si="426"/>
        <v>45413</v>
      </c>
      <c r="AE118">
        <f t="shared" si="427"/>
        <v>27519</v>
      </c>
      <c r="AF118">
        <f t="shared" si="428"/>
        <v>237686</v>
      </c>
      <c r="AG118">
        <f t="shared" si="429"/>
        <v>59188</v>
      </c>
      <c r="AH118">
        <f t="shared" si="429"/>
        <v>292802</v>
      </c>
      <c r="AI118">
        <f t="shared" si="429"/>
        <v>21186</v>
      </c>
      <c r="AR118">
        <v>43556</v>
      </c>
      <c r="AS118">
        <v>45350</v>
      </c>
      <c r="AT118">
        <v>64881</v>
      </c>
      <c r="AU118">
        <v>51496</v>
      </c>
      <c r="AV118">
        <v>59094</v>
      </c>
      <c r="AW118">
        <v>49484</v>
      </c>
    </row>
    <row r="119" spans="1:49">
      <c r="A119" t="s">
        <v>31</v>
      </c>
      <c r="B119">
        <v>51933</v>
      </c>
      <c r="C119">
        <v>34414</v>
      </c>
      <c r="D119">
        <v>245845</v>
      </c>
      <c r="E119">
        <v>66005</v>
      </c>
      <c r="F119">
        <v>300509</v>
      </c>
      <c r="G119">
        <v>28236</v>
      </c>
      <c r="P119">
        <v>6443</v>
      </c>
      <c r="Q119">
        <v>6786</v>
      </c>
      <c r="R119">
        <v>7301</v>
      </c>
      <c r="S119">
        <v>6770</v>
      </c>
      <c r="T119">
        <v>7208</v>
      </c>
      <c r="U119">
        <v>7300</v>
      </c>
      <c r="AD119">
        <f t="shared" si="426"/>
        <v>45490</v>
      </c>
      <c r="AE119">
        <f t="shared" si="427"/>
        <v>27628</v>
      </c>
      <c r="AF119">
        <f t="shared" si="428"/>
        <v>238544</v>
      </c>
      <c r="AG119">
        <f t="shared" si="429"/>
        <v>59235</v>
      </c>
      <c r="AH119">
        <f t="shared" si="429"/>
        <v>293301</v>
      </c>
      <c r="AI119">
        <f t="shared" si="429"/>
        <v>20936</v>
      </c>
      <c r="AR119">
        <v>53212</v>
      </c>
      <c r="AS119">
        <v>56567</v>
      </c>
      <c r="AT119">
        <v>76847</v>
      </c>
      <c r="AU119">
        <v>62604</v>
      </c>
      <c r="AV119">
        <v>71246</v>
      </c>
      <c r="AW119">
        <v>59843</v>
      </c>
    </row>
    <row r="120" spans="1:49">
      <c r="A120" t="s">
        <v>32</v>
      </c>
      <c r="B120">
        <v>52745</v>
      </c>
      <c r="C120">
        <v>34196</v>
      </c>
      <c r="D120">
        <v>244909</v>
      </c>
      <c r="E120">
        <v>65989</v>
      </c>
      <c r="F120">
        <v>300010</v>
      </c>
      <c r="G120">
        <v>28486</v>
      </c>
      <c r="P120">
        <v>6412</v>
      </c>
      <c r="Q120">
        <v>6771</v>
      </c>
      <c r="R120">
        <v>7317</v>
      </c>
      <c r="S120">
        <v>6770</v>
      </c>
      <c r="T120">
        <v>7239</v>
      </c>
      <c r="U120">
        <v>7301</v>
      </c>
      <c r="AD120">
        <f t="shared" si="426"/>
        <v>46333</v>
      </c>
      <c r="AE120">
        <f t="shared" si="427"/>
        <v>27425</v>
      </c>
      <c r="AF120">
        <f t="shared" si="428"/>
        <v>237592</v>
      </c>
      <c r="AG120">
        <f t="shared" si="429"/>
        <v>59219</v>
      </c>
      <c r="AH120">
        <f t="shared" si="429"/>
        <v>292771</v>
      </c>
      <c r="AI120">
        <f t="shared" si="429"/>
        <v>21185</v>
      </c>
      <c r="AR120">
        <v>53416</v>
      </c>
      <c r="AS120">
        <v>53853</v>
      </c>
      <c r="AT120">
        <v>75240</v>
      </c>
      <c r="AU120">
        <v>58127</v>
      </c>
      <c r="AV120">
        <v>69468</v>
      </c>
      <c r="AW120">
        <v>59936</v>
      </c>
    </row>
    <row r="121" spans="1:49">
      <c r="A121" t="s">
        <v>5</v>
      </c>
      <c r="B121">
        <f>(SUM(B114:B120) -MAX(B114:B120))/((COUNT(B114:B120)-1)*1000)</f>
        <v>52.152000000000001</v>
      </c>
      <c r="C121">
        <f t="shared" ref="C121" si="430">(SUM(C114:C120) -MAX(C114:C120))/((COUNT(C114:C120)-1)*1000)</f>
        <v>34.567666666666668</v>
      </c>
      <c r="D121">
        <f t="shared" ref="D121" si="431">(SUM(D114:D120) -MAX(D114:D120))/((COUNT(D114:D120)-1)*1000)</f>
        <v>245.99850000000001</v>
      </c>
      <c r="E121">
        <f t="shared" ref="E121:F121" si="432">(SUM(E114:E120) -MAX(E114:E120))/((COUNT(E114:E120)-1)*1000)</f>
        <v>66.119166666666672</v>
      </c>
      <c r="F121">
        <f t="shared" si="432"/>
        <v>300.92750000000001</v>
      </c>
      <c r="G121">
        <f t="shared" ref="G121" si="433">(SUM(G114:G120) -MAX(G114:G120))/((COUNT(G114:G120)-1)*1000)</f>
        <v>28.418500000000002</v>
      </c>
      <c r="P121">
        <f>(SUM(P114:P120) -MAX(P114:P120))/((COUNT(P114:P120)-1)*1000)</f>
        <v>6.3858333333333333</v>
      </c>
      <c r="Q121">
        <f t="shared" ref="Q121" si="434">(SUM(Q114:Q120) -MAX(Q114:Q120))/((COUNT(Q114:Q120)-1)*1000)</f>
        <v>6.7938333333333336</v>
      </c>
      <c r="R121">
        <f t="shared" ref="R121" si="435">(SUM(R114:R120) -MAX(R114:R120))/((COUNT(R114:R120)-1)*1000)</f>
        <v>7.3244999999999996</v>
      </c>
      <c r="S121">
        <f>(SUM(S114:S120) -MAX(S114:S120))/((COUNT(S114:S120)-1)*1000)</f>
        <v>6.8068333333333335</v>
      </c>
      <c r="T121">
        <f>(SUM(T114:T120) -MAX(T114:T120))/((COUNT(T114:T120)-1)*1000)</f>
        <v>7.2361666666666666</v>
      </c>
      <c r="U121">
        <f>(SUM(U114:U120) -MAX(U114:U120))/((COUNT(U114:U120)-1)*1000)</f>
        <v>7.3295000000000003</v>
      </c>
      <c r="AD121">
        <f>(SUM(AD114:AD120) -MAX(AD114:AD120))/((COUNT(AD114:AD120)-1)*1000)</f>
        <v>45.761000000000003</v>
      </c>
      <c r="AE121">
        <f t="shared" ref="AE121" si="436">(SUM(AE114:AE120) -MAX(AE114:AE120))/((COUNT(AE114:AE120)-1)*1000)</f>
        <v>27.773833333333332</v>
      </c>
      <c r="AF121">
        <f t="shared" ref="AF121" si="437">(SUM(AF114:AF120) -MAX(AF114:AF120))/((COUNT(AF114:AF120)-1)*1000)</f>
        <v>238.67400000000001</v>
      </c>
      <c r="AG121">
        <f t="shared" ref="AG121:AH121" si="438">(SUM(AG114:AG120) -MAX(AG114:AG120))/((COUNT(AG114:AG120)-1)*1000)</f>
        <v>59.312333333333335</v>
      </c>
      <c r="AH121">
        <f t="shared" si="438"/>
        <v>293.69133333333332</v>
      </c>
      <c r="AI121">
        <f t="shared" ref="AI121" si="439">(SUM(AI114:AI120) -MAX(AI114:AI120))/((COUNT(AI114:AI120)-1)*1000)</f>
        <v>21.088999999999999</v>
      </c>
      <c r="AR121">
        <f>(SUM(AR114:AR120) -MAX(AR114:AR120))/((COUNT(AR114:AR120)-1)*1000)</f>
        <v>48.417999999999999</v>
      </c>
      <c r="AS121">
        <f t="shared" ref="AS121" si="440">(SUM(AS114:AS120) -MAX(AS114:AS120))/((COUNT(AS114:AS120)-1)*1000)</f>
        <v>50.05383333333333</v>
      </c>
      <c r="AT121">
        <f t="shared" ref="AT121" si="441">(SUM(AT114:AT120) -MAX(AT114:AT120))/((COUNT(AT114:AT120)-1)*1000)</f>
        <v>70.328333333333333</v>
      </c>
      <c r="AU121">
        <f t="shared" ref="AU121:AV121" si="442">(SUM(AU114:AU120) -MAX(AU114:AU120))/((COUNT(AU114:AU120)-1)*1000)</f>
        <v>55.55766666666667</v>
      </c>
      <c r="AV121">
        <f t="shared" si="442"/>
        <v>64.577333333333328</v>
      </c>
      <c r="AW121">
        <f t="shared" ref="AW121" si="443">(SUM(AW114:AW120) -MAX(AW114:AW120))/((COUNT(AW114:AW120)-1)*1000)</f>
        <v>54.679000000000002</v>
      </c>
    </row>
    <row r="122" spans="1:49">
      <c r="A122" t="s">
        <v>7</v>
      </c>
      <c r="B122">
        <f>STDEV(B115:B120)/1000</f>
        <v>0.56076947135164201</v>
      </c>
      <c r="C122">
        <f t="shared" ref="C122:E122" si="444">STDEV(C115:C120)/1000</f>
        <v>0.58999954802237187</v>
      </c>
      <c r="D122">
        <f t="shared" si="444"/>
        <v>1.6167880195003921</v>
      </c>
      <c r="E122">
        <f t="shared" si="444"/>
        <v>0.17168158511154408</v>
      </c>
      <c r="F122">
        <f t="shared" ref="F122:G122" si="445">STDEV(F115:F120)/1000</f>
        <v>1.4207929828092478</v>
      </c>
      <c r="G122">
        <f t="shared" si="445"/>
        <v>0.12276440852299171</v>
      </c>
      <c r="P122">
        <f>STDEV(P115:P120)/1000</f>
        <v>3.3793490497431605E-2</v>
      </c>
      <c r="Q122">
        <f t="shared" ref="Q122:R122" si="446">STDEV(Q115:Q120)/1000</f>
        <v>2.7206004239187589E-2</v>
      </c>
      <c r="R122">
        <f t="shared" si="446"/>
        <v>2.9132456127144515E-2</v>
      </c>
      <c r="S122">
        <f>STDEV(S115:S120)/1000</f>
        <v>3.5306751006892331E-2</v>
      </c>
      <c r="T122">
        <f>STDEV(T115:T120)/1000</f>
        <v>2.8582628757038653E-2</v>
      </c>
      <c r="U122">
        <f>STDEV(U115:U120)/1000</f>
        <v>3.0454884665682122E-2</v>
      </c>
      <c r="AD122">
        <f>STDEV(AD115:AD120)/1000</f>
        <v>0.56128673599150725</v>
      </c>
      <c r="AE122">
        <f t="shared" ref="AE122:AG122" si="447">STDEV(AE115:AE120)/1000</f>
        <v>0.56315092707603975</v>
      </c>
      <c r="AF122">
        <f t="shared" si="447"/>
        <v>1.5923897764052619</v>
      </c>
      <c r="AG122">
        <f t="shared" si="447"/>
        <v>0.14222470483854888</v>
      </c>
      <c r="AH122">
        <f t="shared" ref="AH122:AI122" si="448">STDEV(AH115:AH120)/1000</f>
        <v>1.4110613971980799</v>
      </c>
      <c r="AI122">
        <f t="shared" si="448"/>
        <v>0.10729026050858485</v>
      </c>
      <c r="AR122">
        <f>STDEV(AR115:AR120)/1000</f>
        <v>5.0398353412256229</v>
      </c>
      <c r="AS122">
        <f t="shared" ref="AS122:AU122" si="449">STDEV(AS115:AS120)/1000</f>
        <v>5.2343467468889369</v>
      </c>
      <c r="AT122">
        <f t="shared" si="449"/>
        <v>5.8089182699248241</v>
      </c>
      <c r="AU122">
        <f t="shared" si="449"/>
        <v>4.9986845469583292</v>
      </c>
      <c r="AV122">
        <f t="shared" ref="AV122:AW122" si="450">STDEV(AV115:AV120)/1000</f>
        <v>5.8702897600260258</v>
      </c>
      <c r="AW122">
        <f t="shared" si="450"/>
        <v>5.3735380523450287</v>
      </c>
    </row>
    <row r="123" spans="1:49">
      <c r="A123" t="s">
        <v>8</v>
      </c>
      <c r="B123">
        <f>CONFIDENCE(0.05,B122,5)/2</f>
        <v>0.24576354085346389</v>
      </c>
      <c r="C123">
        <f t="shared" ref="C123" si="451">CONFIDENCE(0.05,C122,5)/2</f>
        <v>0.25857395138580208</v>
      </c>
      <c r="D123">
        <f t="shared" ref="D123" si="452">CONFIDENCE(0.05,D122,5)/2</f>
        <v>0.70857557121313164</v>
      </c>
      <c r="E123">
        <f t="shared" ref="E123:F123" si="453">CONFIDENCE(0.05,E122,5)/2</f>
        <v>7.524138957609261E-2</v>
      </c>
      <c r="F123">
        <f t="shared" si="453"/>
        <v>0.62267853746267066</v>
      </c>
      <c r="G123">
        <f t="shared" ref="G123" si="454">CONFIDENCE(0.05,G122,5)/2</f>
        <v>5.3802885625477019E-2</v>
      </c>
      <c r="P123">
        <f>CONFIDENCE(0.05,P122,5)/2</f>
        <v>1.4810378072879658E-2</v>
      </c>
      <c r="Q123">
        <f t="shared" ref="Q123" si="455">CONFIDENCE(0.05,Q122,5)/2</f>
        <v>1.1923337977334976E-2</v>
      </c>
      <c r="R123">
        <f t="shared" ref="R123" si="456">CONFIDENCE(0.05,R122,5)/2</f>
        <v>1.2767627228900255E-2</v>
      </c>
      <c r="S123">
        <f t="shared" ref="S123:T123" si="457">CONFIDENCE(0.05,S122,5)/2</f>
        <v>1.5473581546033019E-2</v>
      </c>
      <c r="T123">
        <f t="shared" si="457"/>
        <v>1.2526659187238389E-2</v>
      </c>
      <c r="U123">
        <f t="shared" ref="U123" si="458">CONFIDENCE(0.05,U122,5)/2</f>
        <v>1.3347196440065235E-2</v>
      </c>
      <c r="AD123">
        <f>CONFIDENCE(0.05,AD122,5)/2</f>
        <v>0.24599023791160646</v>
      </c>
      <c r="AE123">
        <f t="shared" ref="AE123" si="459">CONFIDENCE(0.05,AE122,5)/2</f>
        <v>0.24680724066437379</v>
      </c>
      <c r="AF123">
        <f t="shared" ref="AF123" si="460">CONFIDENCE(0.05,AF122,5)/2</f>
        <v>0.69788276620145739</v>
      </c>
      <c r="AG123">
        <f t="shared" ref="AG123:AH123" si="461">CONFIDENCE(0.05,AG122,5)/2</f>
        <v>6.2331579808919638E-2</v>
      </c>
      <c r="AH123">
        <f t="shared" si="461"/>
        <v>0.61841356039080086</v>
      </c>
      <c r="AI123">
        <f t="shared" ref="AI123" si="462">CONFIDENCE(0.05,AI122,5)/2</f>
        <v>4.7021165860054039E-2</v>
      </c>
      <c r="AR123">
        <f>CONFIDENCE(0.05,AR122,5)/2</f>
        <v>2.2087646386893627</v>
      </c>
      <c r="AS123">
        <f t="shared" ref="AS123" si="463">CONFIDENCE(0.05,AS122,5)/2</f>
        <v>2.2940114544209278</v>
      </c>
      <c r="AT123">
        <f t="shared" ref="AT123" si="464">CONFIDENCE(0.05,AT122,5)/2</f>
        <v>2.5458238999781138</v>
      </c>
      <c r="AU123">
        <f t="shared" ref="AU123:AV123" si="465">CONFIDENCE(0.05,AU122,5)/2</f>
        <v>2.1907298393204067</v>
      </c>
      <c r="AV123">
        <f t="shared" si="465"/>
        <v>2.5727206471893518</v>
      </c>
      <c r="AW123">
        <f t="shared" ref="AW123" si="466">CONFIDENCE(0.05,AW122,5)/2</f>
        <v>2.3550136127632002</v>
      </c>
    </row>
    <row r="124" spans="1:49">
      <c r="A124" t="s">
        <v>13</v>
      </c>
      <c r="B124">
        <v>1177</v>
      </c>
      <c r="C124">
        <v>1177</v>
      </c>
      <c r="D124">
        <v>1177</v>
      </c>
      <c r="E124">
        <v>1177</v>
      </c>
      <c r="F124">
        <v>1177</v>
      </c>
      <c r="G124">
        <v>1177</v>
      </c>
    </row>
    <row r="125" spans="1:49">
      <c r="A125" t="s">
        <v>10</v>
      </c>
      <c r="B125">
        <v>2600</v>
      </c>
      <c r="C125">
        <v>2660</v>
      </c>
      <c r="D125">
        <v>3110</v>
      </c>
      <c r="E125">
        <v>2730</v>
      </c>
      <c r="F125">
        <v>3000</v>
      </c>
      <c r="G125">
        <v>2820</v>
      </c>
      <c r="O125" t="s">
        <v>27</v>
      </c>
    </row>
    <row r="127" spans="1:49">
      <c r="A127" s="1" t="s">
        <v>42</v>
      </c>
      <c r="B127" s="1"/>
    </row>
    <row r="128" spans="1:49">
      <c r="A128" t="s">
        <v>57</v>
      </c>
    </row>
    <row r="129" spans="1:49">
      <c r="A129" t="s">
        <v>43</v>
      </c>
      <c r="B129" t="s">
        <v>92</v>
      </c>
      <c r="P129" t="s">
        <v>28</v>
      </c>
      <c r="AD129" t="s">
        <v>60</v>
      </c>
      <c r="AR129" t="s">
        <v>30</v>
      </c>
    </row>
    <row r="130" spans="1:49">
      <c r="A130" t="s">
        <v>6</v>
      </c>
      <c r="B130" t="s">
        <v>35</v>
      </c>
      <c r="C130" t="s">
        <v>41</v>
      </c>
      <c r="D130" t="s">
        <v>69</v>
      </c>
      <c r="E130" t="s">
        <v>70</v>
      </c>
      <c r="F130" t="s">
        <v>91</v>
      </c>
      <c r="P130" t="s">
        <v>35</v>
      </c>
      <c r="Q130" t="s">
        <v>41</v>
      </c>
      <c r="R130" t="s">
        <v>69</v>
      </c>
      <c r="S130" t="s">
        <v>70</v>
      </c>
      <c r="T130" t="s">
        <v>91</v>
      </c>
      <c r="AD130" t="s">
        <v>35</v>
      </c>
      <c r="AE130" t="s">
        <v>41</v>
      </c>
      <c r="AF130" t="s">
        <v>69</v>
      </c>
      <c r="AG130" t="s">
        <v>70</v>
      </c>
      <c r="AH130" t="s">
        <v>91</v>
      </c>
      <c r="AR130" t="s">
        <v>35</v>
      </c>
      <c r="AS130" t="s">
        <v>66</v>
      </c>
      <c r="AT130" t="s">
        <v>68</v>
      </c>
      <c r="AU130" t="s">
        <v>67</v>
      </c>
      <c r="AV130" t="s">
        <v>90</v>
      </c>
      <c r="AW130" t="s">
        <v>94</v>
      </c>
    </row>
    <row r="132" spans="1:49">
      <c r="A132" t="s">
        <v>0</v>
      </c>
      <c r="B132">
        <v>8855355</v>
      </c>
      <c r="C132">
        <v>7738154</v>
      </c>
      <c r="D132">
        <v>21911112</v>
      </c>
      <c r="E132">
        <v>10829838</v>
      </c>
      <c r="F132">
        <v>20850714</v>
      </c>
      <c r="P132">
        <v>7036</v>
      </c>
      <c r="Q132">
        <v>7191</v>
      </c>
      <c r="R132">
        <v>7863</v>
      </c>
      <c r="S132">
        <v>7317</v>
      </c>
      <c r="T132">
        <v>7675</v>
      </c>
      <c r="AD132">
        <f>B132-P132</f>
        <v>8848319</v>
      </c>
      <c r="AE132">
        <f>C132-Q132</f>
        <v>7730963</v>
      </c>
      <c r="AF132">
        <f>D132-R132</f>
        <v>21903249</v>
      </c>
      <c r="AG132">
        <f>E132-S132</f>
        <v>10822521</v>
      </c>
      <c r="AH132">
        <f>F132-T132</f>
        <v>20843039</v>
      </c>
      <c r="AR132">
        <v>48018</v>
      </c>
      <c r="AS132">
        <v>47081</v>
      </c>
      <c r="AT132">
        <v>68798</v>
      </c>
      <c r="AU132">
        <v>49843</v>
      </c>
    </row>
    <row r="133" spans="1:49">
      <c r="A133" t="s">
        <v>1</v>
      </c>
      <c r="B133">
        <v>63415</v>
      </c>
      <c r="C133">
        <v>40826</v>
      </c>
      <c r="D133">
        <v>301788</v>
      </c>
      <c r="E133">
        <v>152275</v>
      </c>
      <c r="F133">
        <v>326140</v>
      </c>
      <c r="P133">
        <v>6989</v>
      </c>
      <c r="Q133">
        <v>7098</v>
      </c>
      <c r="R133">
        <v>7644</v>
      </c>
      <c r="S133">
        <v>7192</v>
      </c>
      <c r="T133">
        <v>7644</v>
      </c>
      <c r="AD133">
        <f t="shared" ref="AD133:AD138" si="467">B133-P133</f>
        <v>56426</v>
      </c>
      <c r="AE133">
        <f t="shared" ref="AE133:AE138" si="468">C133-Q133</f>
        <v>33728</v>
      </c>
      <c r="AF133">
        <f t="shared" ref="AF133:AF138" si="469">D133-R133</f>
        <v>294144</v>
      </c>
      <c r="AG133">
        <f t="shared" ref="AG133:AH138" si="470">E133-S133</f>
        <v>145083</v>
      </c>
      <c r="AH133">
        <f t="shared" si="470"/>
        <v>318496</v>
      </c>
      <c r="AR133">
        <v>48018</v>
      </c>
      <c r="AS133">
        <v>47081</v>
      </c>
      <c r="AT133">
        <v>68798</v>
      </c>
      <c r="AU133">
        <v>49843</v>
      </c>
    </row>
    <row r="134" spans="1:49">
      <c r="A134" t="s">
        <v>2</v>
      </c>
      <c r="B134">
        <v>64367</v>
      </c>
      <c r="C134">
        <v>40498</v>
      </c>
      <c r="D134">
        <v>298543</v>
      </c>
      <c r="E134">
        <v>72776</v>
      </c>
      <c r="F134">
        <v>326140</v>
      </c>
      <c r="P134">
        <v>6973</v>
      </c>
      <c r="Q134">
        <v>7098</v>
      </c>
      <c r="R134">
        <v>7644</v>
      </c>
      <c r="S134">
        <v>7161</v>
      </c>
      <c r="T134">
        <v>7628</v>
      </c>
      <c r="AD134">
        <f t="shared" si="467"/>
        <v>57394</v>
      </c>
      <c r="AE134">
        <f t="shared" si="468"/>
        <v>33400</v>
      </c>
      <c r="AF134">
        <f t="shared" si="469"/>
        <v>290899</v>
      </c>
      <c r="AG134">
        <f t="shared" si="470"/>
        <v>65615</v>
      </c>
      <c r="AH134">
        <f t="shared" si="470"/>
        <v>318512</v>
      </c>
      <c r="AR134">
        <v>58204</v>
      </c>
      <c r="AS134">
        <v>58127</v>
      </c>
      <c r="AT134">
        <v>94881</v>
      </c>
      <c r="AU134">
        <v>60934</v>
      </c>
    </row>
    <row r="135" spans="1:49">
      <c r="A135" t="s">
        <v>3</v>
      </c>
      <c r="B135">
        <v>61980</v>
      </c>
      <c r="C135">
        <v>40374</v>
      </c>
      <c r="D135">
        <v>295501</v>
      </c>
      <c r="E135">
        <v>72869</v>
      </c>
      <c r="F135">
        <v>323410</v>
      </c>
      <c r="P135">
        <v>6942</v>
      </c>
      <c r="Q135">
        <v>7067</v>
      </c>
      <c r="R135">
        <v>7644</v>
      </c>
      <c r="S135">
        <v>7144</v>
      </c>
      <c r="T135">
        <v>7567</v>
      </c>
      <c r="AD135">
        <f t="shared" si="467"/>
        <v>55038</v>
      </c>
      <c r="AE135">
        <f t="shared" si="468"/>
        <v>33307</v>
      </c>
      <c r="AF135">
        <f t="shared" si="469"/>
        <v>287857</v>
      </c>
      <c r="AG135">
        <f t="shared" si="470"/>
        <v>65725</v>
      </c>
      <c r="AH135">
        <f t="shared" si="470"/>
        <v>315843</v>
      </c>
      <c r="AR135">
        <v>57955</v>
      </c>
      <c r="AS135">
        <v>58111</v>
      </c>
      <c r="AT135">
        <v>79046</v>
      </c>
      <c r="AU135">
        <v>61091</v>
      </c>
    </row>
    <row r="136" spans="1:49">
      <c r="A136" t="s">
        <v>4</v>
      </c>
      <c r="B136">
        <v>64008</v>
      </c>
      <c r="C136">
        <v>40514</v>
      </c>
      <c r="D136">
        <v>292381</v>
      </c>
      <c r="E136">
        <v>72713</v>
      </c>
      <c r="F136">
        <v>323769</v>
      </c>
      <c r="P136">
        <v>6911</v>
      </c>
      <c r="Q136">
        <v>7082</v>
      </c>
      <c r="R136">
        <v>7582</v>
      </c>
      <c r="S136">
        <v>7176</v>
      </c>
      <c r="T136">
        <v>7582</v>
      </c>
      <c r="AD136">
        <f t="shared" si="467"/>
        <v>57097</v>
      </c>
      <c r="AE136">
        <f t="shared" si="468"/>
        <v>33432</v>
      </c>
      <c r="AF136">
        <f t="shared" si="469"/>
        <v>284799</v>
      </c>
      <c r="AG136">
        <f t="shared" si="470"/>
        <v>65537</v>
      </c>
      <c r="AH136">
        <f t="shared" si="470"/>
        <v>316187</v>
      </c>
      <c r="AR136">
        <v>48018</v>
      </c>
      <c r="AS136">
        <v>47081</v>
      </c>
      <c r="AT136">
        <v>68798</v>
      </c>
      <c r="AU136">
        <v>49843</v>
      </c>
    </row>
    <row r="137" spans="1:49">
      <c r="A137" t="s">
        <v>31</v>
      </c>
      <c r="B137">
        <v>62292</v>
      </c>
      <c r="C137">
        <v>40436</v>
      </c>
      <c r="D137">
        <v>292241</v>
      </c>
      <c r="E137">
        <v>72978</v>
      </c>
      <c r="F137">
        <v>324268</v>
      </c>
      <c r="P137">
        <v>6927</v>
      </c>
      <c r="Q137">
        <v>7067</v>
      </c>
      <c r="R137">
        <v>7629</v>
      </c>
      <c r="S137">
        <v>7145</v>
      </c>
      <c r="T137">
        <v>7597</v>
      </c>
      <c r="AD137">
        <f t="shared" si="467"/>
        <v>55365</v>
      </c>
      <c r="AE137">
        <f t="shared" si="468"/>
        <v>33369</v>
      </c>
      <c r="AF137">
        <f t="shared" si="469"/>
        <v>284612</v>
      </c>
      <c r="AG137">
        <f t="shared" si="470"/>
        <v>65833</v>
      </c>
      <c r="AH137">
        <f t="shared" si="470"/>
        <v>316671</v>
      </c>
      <c r="AR137">
        <v>58204</v>
      </c>
      <c r="AS137">
        <v>58127</v>
      </c>
      <c r="AT137">
        <v>94881</v>
      </c>
      <c r="AU137">
        <v>60934</v>
      </c>
    </row>
    <row r="138" spans="1:49">
      <c r="A138" t="s">
        <v>32</v>
      </c>
      <c r="B138">
        <v>64102</v>
      </c>
      <c r="C138">
        <v>40467</v>
      </c>
      <c r="D138">
        <v>292708</v>
      </c>
      <c r="E138">
        <v>72901</v>
      </c>
      <c r="F138">
        <v>323987</v>
      </c>
      <c r="P138">
        <v>6927</v>
      </c>
      <c r="Q138">
        <v>7113</v>
      </c>
      <c r="R138">
        <v>7628</v>
      </c>
      <c r="S138">
        <v>7176</v>
      </c>
      <c r="T138">
        <v>7597</v>
      </c>
      <c r="AD138">
        <f t="shared" si="467"/>
        <v>57175</v>
      </c>
      <c r="AE138">
        <f t="shared" si="468"/>
        <v>33354</v>
      </c>
      <c r="AF138">
        <f t="shared" si="469"/>
        <v>285080</v>
      </c>
      <c r="AG138">
        <f t="shared" si="470"/>
        <v>65725</v>
      </c>
      <c r="AH138">
        <f t="shared" si="470"/>
        <v>316390</v>
      </c>
      <c r="AR138">
        <v>57955</v>
      </c>
      <c r="AS138">
        <v>58111</v>
      </c>
      <c r="AT138">
        <v>79046</v>
      </c>
      <c r="AU138">
        <v>61091</v>
      </c>
    </row>
    <row r="139" spans="1:49">
      <c r="A139" t="s">
        <v>5</v>
      </c>
      <c r="B139">
        <f>(SUM(B132:B138) -MAX(B132:B138))/((COUNT(B132:B138)-1)*1000)</f>
        <v>63.360666666666667</v>
      </c>
      <c r="C139">
        <f t="shared" ref="C139" si="471">(SUM(C132:C138) -MAX(C132:C138))/((COUNT(C132:C138)-1)*1000)</f>
        <v>40.519166666666663</v>
      </c>
      <c r="D139">
        <f t="shared" ref="D139" si="472">(SUM(D132:D138) -MAX(D132:D138))/((COUNT(D132:D138)-1)*1000)</f>
        <v>295.52699999999999</v>
      </c>
      <c r="E139">
        <f t="shared" ref="E139:F139" si="473">(SUM(E132:E138) -MAX(E132:E138))/((COUNT(E132:E138)-1)*1000)</f>
        <v>86.085333333333338</v>
      </c>
      <c r="F139">
        <f t="shared" si="473"/>
        <v>324.61900000000003</v>
      </c>
      <c r="P139">
        <f>(SUM(P132:P138) -MAX(P132:P138))/((COUNT(P132:P138)-1)*1000)</f>
        <v>6.9448333333333334</v>
      </c>
      <c r="Q139">
        <f t="shared" ref="Q139" si="474">(SUM(Q132:Q138) -MAX(Q132:Q138))/((COUNT(Q132:Q138)-1)*1000)</f>
        <v>7.0875000000000004</v>
      </c>
      <c r="R139">
        <f t="shared" ref="R139" si="475">(SUM(R132:R138) -MAX(R132:R138))/((COUNT(R132:R138)-1)*1000)</f>
        <v>7.6284999999999998</v>
      </c>
      <c r="S139">
        <f t="shared" ref="S139:T139" si="476">(SUM(S132:S138) -MAX(S132:S138))/((COUNT(S132:S138)-1)*1000)</f>
        <v>7.1656666666666666</v>
      </c>
      <c r="T139">
        <f t="shared" si="476"/>
        <v>7.6025</v>
      </c>
      <c r="AD139">
        <f>(SUM(AD132:AD138) -MAX(AD132:AD138))/((COUNT(AD132:AD138)-1)*1000)</f>
        <v>56.415833333333332</v>
      </c>
      <c r="AE139">
        <f t="shared" ref="AE139" si="477">(SUM(AE132:AE138) -MAX(AE132:AE138))/((COUNT(AE132:AE138)-1)*1000)</f>
        <v>33.431666666666665</v>
      </c>
      <c r="AF139">
        <f t="shared" ref="AF139" si="478">(SUM(AF132:AF138) -MAX(AF132:AF138))/((COUNT(AF132:AF138)-1)*1000)</f>
        <v>287.89850000000001</v>
      </c>
      <c r="AG139">
        <f t="shared" ref="AG139:AH139" si="479">(SUM(AG132:AG138) -MAX(AG132:AG138))/((COUNT(AG132:AG138)-1)*1000)</f>
        <v>78.919666666666672</v>
      </c>
      <c r="AH139">
        <f t="shared" si="479"/>
        <v>317.01650000000001</v>
      </c>
      <c r="AR139">
        <f>(SUM(AR132:AR138) -MAX(AR132:AR138))/((COUNT(AR132:AR138)-1)*1000)</f>
        <v>53.027999999999999</v>
      </c>
      <c r="AS139">
        <f t="shared" ref="AS139:AU139" si="480">(SUM(AS132:AS138) -MAX(AS132:AS138))/((COUNT(AS132:AS138)-1)*1000)</f>
        <v>52.598666666666666</v>
      </c>
      <c r="AT139">
        <f t="shared" si="480"/>
        <v>76.561166666666665</v>
      </c>
      <c r="AU139">
        <f t="shared" si="480"/>
        <v>55.414666666666669</v>
      </c>
    </row>
    <row r="140" spans="1:49">
      <c r="A140" t="s">
        <v>7</v>
      </c>
      <c r="B140">
        <f>STDEV(B133:B138)/1000</f>
        <v>1.0032510486744644</v>
      </c>
      <c r="C140">
        <f t="shared" ref="C140:E140" si="481">STDEV(C133:C138)/1000</f>
        <v>0.15832424535362177</v>
      </c>
      <c r="D140">
        <f t="shared" si="481"/>
        <v>3.9227267557147028</v>
      </c>
      <c r="E140">
        <f t="shared" si="481"/>
        <v>32.426316242624097</v>
      </c>
      <c r="F140">
        <f t="shared" ref="F140" si="482">STDEV(F133:F138)/1000</f>
        <v>1.2110894269210675</v>
      </c>
      <c r="P140">
        <f>STDEV(P133:P138)/1000</f>
        <v>3.0109245534597727E-2</v>
      </c>
      <c r="Q140">
        <f t="shared" ref="Q140:S140" si="483">STDEV(Q133:Q138)/1000</f>
        <v>1.866279721799495E-2</v>
      </c>
      <c r="R140">
        <f t="shared" si="483"/>
        <v>2.4014578905323325E-2</v>
      </c>
      <c r="S140">
        <f t="shared" si="483"/>
        <v>1.9106717841185936E-2</v>
      </c>
      <c r="T140">
        <f t="shared" ref="T140" si="484">STDEV(T133:T138)/1000</f>
        <v>2.8682747427678543E-2</v>
      </c>
      <c r="AD140">
        <f>STDEV(AD133:AD138)/1000</f>
        <v>0.99999108329345232</v>
      </c>
      <c r="AE140">
        <f t="shared" ref="AE140:AG140" si="485">STDEV(AE133:AE138)/1000</f>
        <v>0.15120670179129989</v>
      </c>
      <c r="AF140">
        <f t="shared" si="485"/>
        <v>3.9080152891205531</v>
      </c>
      <c r="AG140">
        <f t="shared" si="485"/>
        <v>32.413441351801374</v>
      </c>
      <c r="AH140">
        <f t="shared" ref="AH140" si="486">STDEV(AH133:AH138)/1000</f>
        <v>1.1834260010663955</v>
      </c>
      <c r="AR140">
        <f>STDEV(AR133:AR138)/1000</f>
        <v>5.1969294267544575</v>
      </c>
      <c r="AS140">
        <f t="shared" ref="AS140:AU140" si="487">STDEV(AS133:AS138)/1000</f>
        <v>5.7000031812856395</v>
      </c>
      <c r="AT140">
        <f t="shared" si="487"/>
        <v>11.753533471542385</v>
      </c>
      <c r="AU140">
        <f t="shared" si="487"/>
        <v>5.7683323297697067</v>
      </c>
    </row>
    <row r="141" spans="1:49">
      <c r="A141" t="s">
        <v>8</v>
      </c>
      <c r="B141">
        <f>CONFIDENCE(0.05,B140,5)/2</f>
        <v>0.43968607901013057</v>
      </c>
      <c r="C141">
        <f t="shared" ref="C141" si="488">CONFIDENCE(0.05,C140,5)/2</f>
        <v>6.9387384886113304E-2</v>
      </c>
      <c r="D141">
        <f t="shared" ref="D141" si="489">CONFIDENCE(0.05,D140,5)/2</f>
        <v>1.7191792109533912</v>
      </c>
      <c r="E141">
        <f t="shared" ref="E141:F141" si="490">CONFIDENCE(0.05,E140,5)/2</f>
        <v>14.211198547262271</v>
      </c>
      <c r="F141">
        <f t="shared" si="490"/>
        <v>0.53077359067514507</v>
      </c>
      <c r="P141">
        <f>CONFIDENCE(0.05,P140,5)/2</f>
        <v>1.3195716195414845E-2</v>
      </c>
      <c r="Q141">
        <f t="shared" ref="Q141" si="491">CONFIDENCE(0.05,Q140,5)/2</f>
        <v>8.1791812158912448E-3</v>
      </c>
      <c r="R141">
        <f t="shared" ref="R141" si="492">CONFIDENCE(0.05,R140,5)/2</f>
        <v>1.0524659856485392E-2</v>
      </c>
      <c r="S141">
        <f t="shared" ref="S141:T141" si="493">CONFIDENCE(0.05,S140,5)/2</f>
        <v>8.3737344321180955E-3</v>
      </c>
      <c r="T141">
        <f t="shared" si="493"/>
        <v>1.2570537323012602E-2</v>
      </c>
      <c r="AD141">
        <f>CONFIDENCE(0.05,AD140,5)/2</f>
        <v>0.43825736244115238</v>
      </c>
      <c r="AE141">
        <f t="shared" ref="AE141" si="494">CONFIDENCE(0.05,AE140,5)/2</f>
        <v>6.6268041203157865E-2</v>
      </c>
      <c r="AF141">
        <f t="shared" ref="AF141" si="495">CONFIDENCE(0.05,AF140,5)/2</f>
        <v>1.7127317449160355</v>
      </c>
      <c r="AG141">
        <f t="shared" ref="AG141:AH141" si="496">CONFIDENCE(0.05,AG140,5)/2</f>
        <v>14.205555981255483</v>
      </c>
      <c r="AH141">
        <f t="shared" si="496"/>
        <v>0.51864978251955063</v>
      </c>
      <c r="AR141">
        <f>CONFIDENCE(0.05,AR140,5)/2</f>
        <v>2.277612892168007</v>
      </c>
      <c r="AS141">
        <f t="shared" ref="AS141:AU141" si="497">CONFIDENCE(0.05,AS140,5)/2</f>
        <v>2.4980906348775429</v>
      </c>
      <c r="AT141">
        <f t="shared" si="497"/>
        <v>5.1511185096141094</v>
      </c>
      <c r="AU141">
        <f t="shared" si="497"/>
        <v>2.5280366542898873</v>
      </c>
    </row>
    <row r="142" spans="1:49">
      <c r="A142" t="s">
        <v>13</v>
      </c>
      <c r="B142">
        <v>1270</v>
      </c>
      <c r="C142">
        <v>1270</v>
      </c>
      <c r="D142">
        <v>1270</v>
      </c>
      <c r="E142">
        <v>1270</v>
      </c>
      <c r="F142">
        <v>1270</v>
      </c>
    </row>
    <row r="143" spans="1:49">
      <c r="A143" t="s">
        <v>10</v>
      </c>
      <c r="B143">
        <v>2780</v>
      </c>
      <c r="C143">
        <v>2840</v>
      </c>
      <c r="D143">
        <v>3310</v>
      </c>
      <c r="E143">
        <v>2910</v>
      </c>
      <c r="F143">
        <v>3200</v>
      </c>
      <c r="O143" t="s">
        <v>27</v>
      </c>
    </row>
    <row r="144" spans="1:49">
      <c r="A144" s="1" t="s">
        <v>48</v>
      </c>
      <c r="B144" s="1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30</vt:i4>
      </vt:variant>
      <vt:variant>
        <vt:lpstr>Named Ranges</vt:lpstr>
      </vt:variant>
      <vt:variant>
        <vt:i4>7</vt:i4>
      </vt:variant>
    </vt:vector>
  </HeadingPairs>
  <TitlesOfParts>
    <vt:vector size="43" baseType="lpstr">
      <vt:lpstr>scale data at all peers</vt:lpstr>
      <vt:lpstr>scale vs peers</vt:lpstr>
      <vt:lpstr>scale vs data</vt:lpstr>
      <vt:lpstr>inner join lengths data</vt:lpstr>
      <vt:lpstr>join types data</vt:lpstr>
      <vt:lpstr>backup graphs</vt:lpstr>
      <vt:lpstr>Chain modl1 scale vs peers</vt:lpstr>
      <vt:lpstr>Chain 8p scale vs modl</vt:lpstr>
      <vt:lpstr>Chain scale vs peers</vt:lpstr>
      <vt:lpstr>Chain scale vs data</vt:lpstr>
      <vt:lpstr>Branch scale vs peers</vt:lpstr>
      <vt:lpstr>4-ary lv scale vs peers rules</vt:lpstr>
      <vt:lpstr>Chain 30p lv+mid ijoin len rtq</vt:lpstr>
      <vt:lpstr>Chain 30p lv+mid ijoin len midq</vt:lpstr>
      <vt:lpstr>Branch 30p lv ijoin len rtq</vt:lpstr>
      <vt:lpstr>Branch 30p lv+mid ijoin len rtq</vt:lpstr>
      <vt:lpstr>Chain 8p modl2 all joins rtq</vt:lpstr>
      <vt:lpstr>Chain 8p modl2 all joins maint</vt:lpstr>
      <vt:lpstr>Chain 30p lv all joins rtqdash</vt:lpstr>
      <vt:lpstr>Chain 30p lv all joins maintime</vt:lpstr>
      <vt:lpstr>Chain 30p lv all joins instsize</vt:lpstr>
      <vt:lpstr>Branch 30p lv all joins rtqdash</vt:lpstr>
      <vt:lpstr>Branch 30p lv all joins maint</vt:lpstr>
      <vt:lpstr>4-ary 30p lv all joins rtq</vt:lpstr>
      <vt:lpstr>4-ary 30p lv all joins maint</vt:lpstr>
      <vt:lpstr>Chain lv scale vs peers</vt:lpstr>
      <vt:lpstr>Chain lv+mid scale vs peers</vt:lpstr>
      <vt:lpstr>Branch lv scale vs peers</vt:lpstr>
      <vt:lpstr>Branch lv+mid scale vs peers</vt:lpstr>
      <vt:lpstr>4-ary lv+mid scale vs peers</vt:lpstr>
      <vt:lpstr>4-ary scale vs peers</vt:lpstr>
      <vt:lpstr>4-ary lv scale vs peers inst</vt:lpstr>
      <vt:lpstr>Branch 30p lv+mid all joins rtq</vt:lpstr>
      <vt:lpstr>4-ary 30p lv+mid all joins rtq</vt:lpstr>
      <vt:lpstr>Chain 30p lv ijoin length rtq</vt:lpstr>
      <vt:lpstr>Branch 30p lv all joins rtq</vt:lpstr>
      <vt:lpstr>'scale data at all peers'!_10p.log</vt:lpstr>
      <vt:lpstr>'scale data at all peers'!_20p.log</vt:lpstr>
      <vt:lpstr>'scale data at all peers'!_30p.log</vt:lpstr>
      <vt:lpstr>'scale data at all peers'!_40p.log</vt:lpstr>
      <vt:lpstr>'scale data at all peers'!_50p.log</vt:lpstr>
      <vt:lpstr>'scale data at all peers'!_60p.log</vt:lpstr>
      <vt:lpstr>'scale data at all peers'!_70p.log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SEAS</dc:creator>
  <cp:lastModifiedBy>gregkar</cp:lastModifiedBy>
  <cp:lastPrinted>2009-07-02T21:03:18Z</cp:lastPrinted>
  <dcterms:created xsi:type="dcterms:W3CDTF">2009-01-09T21:17:26Z</dcterms:created>
  <dcterms:modified xsi:type="dcterms:W3CDTF">2009-07-02T21:03:33Z</dcterms:modified>
</cp:coreProperties>
</file>