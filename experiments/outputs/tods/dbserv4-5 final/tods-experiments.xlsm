
<file path=[Content_Types].xml><?xml version="1.0" encoding="utf-8"?>
<Types xmlns="http://schemas.openxmlformats.org/package/2006/content-types">
  <Override PartName="/xl/chartsheets/sheet17.xml" ContentType="application/vnd.openxmlformats-officedocument.spreadsheetml.chartsheet+xml"/>
  <Override PartName="/xl/queryTables/queryTable59.xml" ContentType="application/vnd.openxmlformats-officedocument.spreadsheetml.queryTable+xml"/>
  <Override PartName="/xl/queryTables/queryTable77.xml" ContentType="application/vnd.openxmlformats-officedocument.spreadsheetml.queryTable+xml"/>
  <Override PartName="/xl/styles.xml" ContentType="application/vnd.openxmlformats-officedocument.spreadsheetml.styles+xml"/>
  <Override PartName="/xl/queryTables/queryTable19.xml" ContentType="application/vnd.openxmlformats-officedocument.spreadsheetml.queryTable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84.xml" ContentType="application/vnd.openxmlformats-officedocument.spreadsheetml.queryTable+xml"/>
  <Override PartName="/xl/worksheets/sheet7.xml" ContentType="application/vnd.openxmlformats-officedocument.spreadsheetml.worksheet+xml"/>
  <Override PartName="/xl/chartsheets/sheet13.xml" ContentType="application/vnd.openxmlformats-officedocument.spreadsheetml.chartsheet+xml"/>
  <Override PartName="/xl/queryTables/queryTable26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17.xml" ContentType="application/vnd.openxmlformats-officedocument.drawing+xml"/>
  <Default Extension="xml" ContentType="application/xml"/>
  <Override PartName="/xl/chartsheets/sheet20.xml" ContentType="application/vnd.openxmlformats-officedocument.spreadsheetml.chartsheet+xml"/>
  <Override PartName="/xl/drawings/drawing2.xml" ContentType="application/vnd.openxmlformats-officedocument.drawingml.chartshapes+xml"/>
  <Override PartName="/xl/queryTables/queryTable15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80.xml" ContentType="application/vnd.openxmlformats-officedocument.spreadsheetml.queryTable+xml"/>
  <Override PartName="/xl/worksheets/sheet3.xml" ContentType="application/vnd.openxmlformats-officedocument.spreadsheetml.worksheet+xml"/>
  <Override PartName="/xl/chartsheets/sheet8.xml" ContentType="application/vnd.openxmlformats-officedocument.spreadsheetml.chartsheet+xml"/>
  <Override PartName="/xl/queryTables/queryTable22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drawings/drawing13.xml" ContentType="application/vnd.openxmlformats-officedocument.drawing+xml"/>
  <Override PartName="/xl/chartsheets/sheet4.xml" ContentType="application/vnd.openxmlformats-officedocument.spreadsheetml.chartsheet+xml"/>
  <Override PartName="/xl/queryTables/queryTable8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6.xml" ContentType="application/vnd.openxmlformats-officedocument.drawingml.chart+xml"/>
  <Override PartName="/xl/drawings/drawing20.xml" ContentType="application/vnd.openxmlformats-officedocument.drawing+xml"/>
  <Override PartName="/xl/sharedStrings.xml" ContentType="application/vnd.openxmlformats-officedocument.spreadsheetml.sharedStrings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heets/sheet18.xml" ContentType="application/vnd.openxmlformats-officedocument.spreadsheetml.chartsheet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queryTables/queryTable38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85.xml" ContentType="application/vnd.openxmlformats-officedocument.spreadsheetml.queryTable+xml"/>
  <Override PartName="/xl/worksheets/sheet8.xml" ContentType="application/vnd.openxmlformats-officedocument.spreadsheetml.worksheet+xml"/>
  <Override PartName="/xl/chartsheets/sheet14.xml" ContentType="application/vnd.openxmlformats-officedocument.spreadsheetml.chartsheet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drawings/drawing18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heets/sheet9.xml" ContentType="application/vnd.openxmlformats-officedocument.spreadsheetml.chart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queryTables/queryTable34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81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hartsheets/sheet7.xml" ContentType="application/vnd.openxmlformats-officedocument.spreadsheetml.chartsheet+xml"/>
  <Override PartName="/xl/chartsheets/sheet10.xml" ContentType="application/vnd.openxmlformats-officedocument.spreadsheetml.chartsheet+xml"/>
  <Override PartName="/xl/drawings/drawing1.xml" ContentType="application/vnd.openxmlformats-officedocument.drawing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70.xml" ContentType="application/vnd.openxmlformats-officedocument.spreadsheetml.queryTable+xml"/>
  <Override PartName="/xl/drawings/drawing14.xml" ContentType="application/vnd.openxmlformats-officedocument.drawing+xml"/>
  <Override PartName="/xl/charts/chart19.xml" ContentType="application/vnd.openxmlformats-officedocument.drawingml.chart+xml"/>
  <Override PartName="/xl/chartsheets/sheet5.xml" ContentType="application/vnd.openxmlformats-officedocument.spreadsheetml.chartsheet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30.xml" ContentType="application/vnd.openxmlformats-officedocument.spreadsheetml.queryTable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chartsheets/sheet3.xml" ContentType="application/vnd.openxmlformats-officedocument.spreadsheetml.chartsheet+xml"/>
  <Override PartName="/xl/queryTables/queryTable5.xml" ContentType="application/vnd.openxmlformats-officedocument.spreadsheetml.queryTable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heets/sheet1.xml" ContentType="application/vnd.openxmlformats-officedocument.spreadsheetml.chartsheet+xml"/>
  <Override PartName="/xl/chartsheets/sheet19.xml" ContentType="application/vnd.openxmlformats-officedocument.spreadsheetml.chartsheet+xml"/>
  <Override PartName="/xl/queryTables/queryTable3.xml" ContentType="application/vnd.openxmlformats-officedocument.spreadsheetml.queryTable+xml"/>
  <Override PartName="/xl/charts/chart8.xml" ContentType="application/vnd.openxmlformats-officedocument.drawingml.chart+xml"/>
  <Override PartName="/xl/queryTables/queryTable79.xml" ContentType="application/vnd.openxmlformats-officedocument.spreadsheetml.queryTable+xml"/>
  <Override PartName="/xl/charts/chart11.xml" ContentType="application/vnd.openxmlformats-officedocument.drawingml.chart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charts/chart6.xml" ContentType="application/vnd.openxmlformats-officedocument.drawingml.chart+xml"/>
  <Override PartName="/xl/queryTables/queryTable39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queryTables/queryTable28.xml" ContentType="application/vnd.openxmlformats-officedocument.spreadsheetml.queryTable+xml"/>
  <Override PartName="/xl/drawings/drawing8.xml" ContentType="application/vnd.openxmlformats-officedocument.drawing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19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queryTables/queryTable17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82.xml" ContentType="application/vnd.openxmlformats-officedocument.spreadsheetml.queryTable+xml"/>
  <Default Extension="rels" ContentType="application/vnd.openxmlformats-package.relationships+xml"/>
  <Override PartName="/xl/worksheets/sheet5.xml" ContentType="application/vnd.openxmlformats-officedocument.spreadsheetml.worksheet+xml"/>
  <Override PartName="/xl/chartsheets/sheet11.xml" ContentType="application/vnd.openxmlformats-officedocument.spreadsheetml.chartsheet+xml"/>
  <Override PartName="/xl/queryTables/queryTable24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15.xml" ContentType="application/vnd.openxmlformats-officedocument.drawing+xml"/>
  <Override PartName="/xl/chartsheets/sheet6.xml" ContentType="application/vnd.openxmlformats-officedocument.spreadsheetml.chartsheet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18.xml" ContentType="application/vnd.openxmlformats-officedocument.drawingml.chart+xml"/>
  <Override PartName="/xl/worksheets/sheet1.xml" ContentType="application/vnd.openxmlformats-officedocument.spreadsheetml.worksheet+xml"/>
  <Override PartName="/xl/queryTables/queryTable20.xml" ContentType="application/vnd.openxmlformats-officedocument.spreadsheetml.queryTable+xml"/>
  <Override PartName="/xl/drawings/drawing11.xml" ContentType="application/vnd.openxmlformats-officedocument.drawing+xml"/>
  <Override PartName="/xl/chartsheets/sheet2.xml" ContentType="application/vnd.openxmlformats-officedocument.spreadsheetml.chartsheet+xml"/>
  <Override PartName="/xl/queryTables/queryTable6.xml" ContentType="application/vnd.openxmlformats-officedocument.spreadsheetml.queryTable+xml"/>
  <Override PartName="/xl/charts/chart14.xml" ContentType="application/vnd.openxmlformats-officedocument.drawingml.chart+xml"/>
  <Override PartName="/xl/queryTables/queryTable69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queryTables/queryTable58.xml" ContentType="application/vnd.openxmlformats-officedocument.spreadsheetml.queryTable+xml"/>
  <Override PartName="/xl/charts/chart10.xml" ContentType="application/vnd.openxmlformats-officedocument.drawingml.chart+xml"/>
  <Override PartName="/xl/chartsheets/sheet16.xml" ContentType="application/vnd.openxmlformats-officedocument.spreadsheetml.chartsheet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worksheets/sheet6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queryTables/queryTable36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83.xml" ContentType="application/vnd.openxmlformats-officedocument.spreadsheetml.queryTable+xml"/>
  <Override PartName="/xl/chartsheets/sheet12.xml" ContentType="application/vnd.openxmlformats-officedocument.spreadsheetml.chartsheet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16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360" yWindow="300" windowWidth="18735" windowHeight="11700" firstSheet="15" activeTab="19"/>
  </bookViews>
  <sheets>
    <sheet name="int - 2k" sheetId="1" r:id="rId1"/>
    <sheet name="GRAPH(i) Scale peers 2k init(20" sheetId="55" r:id="rId2"/>
    <sheet name="GRAPH(i) Scale peers 2k inc(20)" sheetId="41" r:id="rId3"/>
    <sheet name="int - 10k" sheetId="8" r:id="rId4"/>
    <sheet name="GRAPH(i) Scale peers 10k inc(20" sheetId="45" r:id="rId5"/>
    <sheet name="int - 10p" sheetId="31" r:id="rId6"/>
    <sheet name="GRAPH(i) Scale data 10p inc" sheetId="28" r:id="rId7"/>
    <sheet name="GRAPH(i) Scale data 10p all" sheetId="56" r:id="rId8"/>
    <sheet name="int - 10k 10p - faceoff" sheetId="37" r:id="rId9"/>
    <sheet name="GRAPH(i) 10k faceoff" sheetId="47" r:id="rId10"/>
    <sheet name="str - 2k" sheetId="9" r:id="rId11"/>
    <sheet name="GRAPH(s) Scale peers 2k inc(10)" sheetId="48" r:id="rId12"/>
    <sheet name="str - 10p" sheetId="32" r:id="rId13"/>
    <sheet name="GRAPH(s) Scale data 10p" sheetId="52" r:id="rId14"/>
    <sheet name="bidir - initial" sheetId="35" r:id="rId15"/>
    <sheet name="GRAPH(i) bidir initial" sheetId="50" r:id="rId16"/>
    <sheet name="bidir - se-nse" sheetId="36" r:id="rId17"/>
    <sheet name="GRAPH(i) bidir se-nse 10%" sheetId="33" r:id="rId18"/>
    <sheet name="int - 2k - fanout" sheetId="38" r:id="rId19"/>
    <sheet name="GRAPH(i) 2k fanout" sheetId="54" r:id="rId20"/>
    <sheet name="unused graphs" sheetId="58" r:id="rId21"/>
    <sheet name="GRAPH(i) Scale data 10p all 2" sheetId="46" r:id="rId22"/>
    <sheet name="GRAPH(i) Scale peers 2k inc" sheetId="17" r:id="rId23"/>
    <sheet name="GRAPH(i) Scale peers 2k DRed" sheetId="39" r:id="rId24"/>
    <sheet name="GRAPH(i) Scale peers 2k non" sheetId="40" r:id="rId25"/>
    <sheet name="GRAPH Scale vs peers - int 10k" sheetId="21" r:id="rId26"/>
    <sheet name="GRAPH(s) Scale peers 2k inc" sheetId="23" r:id="rId27"/>
    <sheet name="GRAPH(i) Scale peers 2k DRed(20" sheetId="44" r:id="rId28"/>
    <sheet name="GRAPH(i) Scale peers 2k non(20)" sheetId="43" r:id="rId29"/>
    <sheet name="GRAPH(i) bidir se-nse 1%" sheetId="53" r:id="rId30"/>
  </sheets>
  <definedNames>
    <definedName name="_10_noninc.log_1" localSheetId="14">'bidir - initial'!#REF!</definedName>
    <definedName name="_10_noninc.log_1" localSheetId="16">'bidir - se-nse'!#REF!</definedName>
    <definedName name="_10_noninc.log_1" localSheetId="8">'int - 10k 10p - faceoff'!#REF!</definedName>
    <definedName name="_10_noninc.log_1" localSheetId="0">'int - 2k'!#REF!</definedName>
    <definedName name="_10_noninc.log_1" localSheetId="18">'int - 2k - fanout'!#REF!</definedName>
    <definedName name="_100p_dred.out" localSheetId="0">'int - 2k'!#REF!</definedName>
    <definedName name="_100p_inc.out" localSheetId="0">'int - 2k'!#REF!</definedName>
    <definedName name="_100p_noninc.out" localSheetId="0">'int - 2k'!#REF!</definedName>
    <definedName name="_10p" localSheetId="16">'bidir - se-nse'!$B$26:$C$46</definedName>
    <definedName name="_10p" localSheetId="18">'int - 2k - fanout'!$B$14:$C$23</definedName>
    <definedName name="_10p.log" localSheetId="14">'bidir - initial'!$B$3:$C$13</definedName>
    <definedName name="_10p.log" localSheetId="16">'bidir - se-nse'!$B$3:$C$23</definedName>
    <definedName name="_10p.log" localSheetId="3">'int - 10k'!$B$3:$C$71</definedName>
    <definedName name="_10p.log" localSheetId="8">'int - 10k 10p - faceoff'!$B$3:$C$12</definedName>
    <definedName name="_10p.log" localSheetId="5">'int - 10p'!$B$3:$C$71</definedName>
    <definedName name="_10p.log" localSheetId="0">'int - 2k'!$B$3:$C$72</definedName>
    <definedName name="_10p.log" localSheetId="18">'int - 2k - fanout'!$B$3:$C$12</definedName>
    <definedName name="_10p.log" localSheetId="12">'str - 10p'!$B$3:$C$71</definedName>
    <definedName name="_10p.log" localSheetId="10">'str - 2k'!$C$3:$E$71</definedName>
    <definedName name="_10p.log_1" localSheetId="3">'int - 10k'!#REF!</definedName>
    <definedName name="_10p_1" localSheetId="16">'bidir - se-nse'!$B$49:$C$69</definedName>
    <definedName name="_10p_1" localSheetId="18">'int - 2k - fanout'!$B$25:$C$34</definedName>
    <definedName name="_10p_dred" localSheetId="0">'int - 2k'!#REF!</definedName>
    <definedName name="_10p_dred.out" localSheetId="5">'int - 10p'!#REF!</definedName>
    <definedName name="_10p_dred.out" localSheetId="0">'int - 2k'!#REF!</definedName>
    <definedName name="_10p_dred.out_1" localSheetId="5">'int - 10p'!#REF!</definedName>
    <definedName name="_10p_dred.out_1" localSheetId="0">'int - 2k'!#REF!</definedName>
    <definedName name="_10p_dred.out_2" localSheetId="5">'int - 10p'!#REF!</definedName>
    <definedName name="_10p_dred.out_3" localSheetId="5">'int - 10p'!#REF!</definedName>
    <definedName name="_10p_dred.out_4" localSheetId="5">'int - 10p'!#REF!</definedName>
    <definedName name="_10p_dreddel.out" localSheetId="8">'int - 10k 10p - faceoff'!#REF!</definedName>
    <definedName name="_10p_inc.out" localSheetId="3">'int - 10k'!#REF!</definedName>
    <definedName name="_10p_inc.out" localSheetId="5">'int - 10p'!#REF!</definedName>
    <definedName name="_10p_inc.out" localSheetId="0">'int - 2k'!#REF!</definedName>
    <definedName name="_10p_inc.out" localSheetId="12">'str - 10p'!#REF!</definedName>
    <definedName name="_10p_inc.out" localSheetId="10">'str - 2k'!#REF!</definedName>
    <definedName name="_10p_inc.out_1" localSheetId="5">'int - 10p'!#REF!</definedName>
    <definedName name="_10p_inc.out_1" localSheetId="12">'str - 10p'!#REF!</definedName>
    <definedName name="_10p_inc.out_2" localSheetId="5">'int - 10p'!#REF!</definedName>
    <definedName name="_10p_inc.out_2" localSheetId="12">'str - 10p'!#REF!</definedName>
    <definedName name="_10p_inc.out_3" localSheetId="5">'int - 10p'!#REF!</definedName>
    <definedName name="_10p_inc.out_3" localSheetId="12">'str - 10p'!#REF!</definedName>
    <definedName name="_10p_incdel.out" localSheetId="8">'int - 10k 10p - faceoff'!#REF!</definedName>
    <definedName name="_10p_incdel.out_1" localSheetId="8">'int - 10k 10p - faceoff'!#REF!</definedName>
    <definedName name="_10p_initial.out" localSheetId="14">'bidir - initial'!#REF!</definedName>
    <definedName name="_10p_initial.out" localSheetId="18">'int - 2k - fanout'!#REF!</definedName>
    <definedName name="_10p_initial.out_1" localSheetId="14">'bidir - initial'!#REF!</definedName>
    <definedName name="_10p_initial.out_1" localSheetId="18">'int - 2k - fanout'!#REF!</definedName>
    <definedName name="_10p_initial.out_2" localSheetId="18">'int - 2k - fanout'!#REF!</definedName>
    <definedName name="_10p_noninc.out" localSheetId="0">'int - 2k'!#REF!</definedName>
    <definedName name="_10p_noninc.out__2" localSheetId="0">'int - 2k'!#REF!</definedName>
    <definedName name="_10p_nonincdel.out" localSheetId="8">'int - 10k 10p - faceoff'!#REF!</definedName>
    <definedName name="_10p_se_nse.out" localSheetId="16">'bidir - se-nse'!#REF!</definedName>
    <definedName name="_12p.log" localSheetId="3">'int - 10k'!#REF!</definedName>
    <definedName name="_12p_inc.out" localSheetId="3">'int - 10k'!#REF!</definedName>
    <definedName name="_12p_se_nse.out" localSheetId="16">'bidir - se-nse'!#REF!</definedName>
    <definedName name="_14p.log" localSheetId="3">'int - 10k'!#REF!</definedName>
    <definedName name="_14p_inc.out" localSheetId="3">'int - 10k'!#REF!</definedName>
    <definedName name="_14p_se_nse.out" localSheetId="16">'bidir - se-nse'!#REF!</definedName>
    <definedName name="_14p_se_nse.out_1" localSheetId="16">'bidir - se-nse'!#REF!</definedName>
    <definedName name="_15p_inc.out" localSheetId="10">'str - 2k'!#REF!</definedName>
    <definedName name="_15p_initial.out" localSheetId="14">'bidir - initial'!#REF!</definedName>
    <definedName name="_15p_initial.out" localSheetId="18">'int - 2k - fanout'!#REF!</definedName>
    <definedName name="_15p_initial.out_1" localSheetId="14">'bidir - initial'!#REF!</definedName>
    <definedName name="_15p_initial.out_1" localSheetId="18">'int - 2k - fanout'!#REF!</definedName>
    <definedName name="_15p_initial.out_2" localSheetId="18">'int - 2k - fanout'!#REF!</definedName>
    <definedName name="_16p_inc.out" localSheetId="3">'int - 10k'!#REF!</definedName>
    <definedName name="_18p_inc.out" localSheetId="3">'int - 10k'!#REF!</definedName>
    <definedName name="_20_noninc.log" localSheetId="14">'bidir - initial'!#REF!</definedName>
    <definedName name="_20_noninc.log" localSheetId="16">'bidir - se-nse'!#REF!</definedName>
    <definedName name="_20_noninc.log" localSheetId="8">'int - 10k 10p - faceoff'!#REF!</definedName>
    <definedName name="_20_noninc.log" localSheetId="0">'int - 2k'!#REF!</definedName>
    <definedName name="_20_noninc.log" localSheetId="18">'int - 2k - fanout'!#REF!</definedName>
    <definedName name="_20_noninc.log_1" localSheetId="14">'bidir - initial'!#REF!</definedName>
    <definedName name="_20_noninc.log_1" localSheetId="16">'bidir - se-nse'!#REF!</definedName>
    <definedName name="_20_noninc.log_1" localSheetId="8">'int - 10k 10p - faceoff'!#REF!</definedName>
    <definedName name="_20_noninc.log_1" localSheetId="0">'int - 2k'!#REF!</definedName>
    <definedName name="_20_noninc.log_1" localSheetId="18">'int - 2k - fanout'!#REF!</definedName>
    <definedName name="_20p" localSheetId="16">'bidir - se-nse'!$C$26:$C$46</definedName>
    <definedName name="_20p" localSheetId="18">'int - 2k - fanout'!$C$14:$C$23</definedName>
    <definedName name="_20p" localSheetId="10">'str - 2k'!$D$3:$D$68</definedName>
    <definedName name="_20p.log" localSheetId="14">'bidir - initial'!$C$3:$C$13</definedName>
    <definedName name="_20p.log" localSheetId="16">'bidir - se-nse'!$C$3:$C$23</definedName>
    <definedName name="_20p.log" localSheetId="3">'int - 10k'!$C$3:$C$68</definedName>
    <definedName name="_20p.log" localSheetId="8">'int - 10k 10p - faceoff'!$C$3:$C$12</definedName>
    <definedName name="_20p.log" localSheetId="5">'int - 10p'!$C$3:$C$68</definedName>
    <definedName name="_20p.log" localSheetId="0">'int - 2k'!$C$3:$C$69</definedName>
    <definedName name="_20p.log" localSheetId="18">'int - 2k - fanout'!$C$3:$C$12</definedName>
    <definedName name="_20p.log" localSheetId="12">'str - 10p'!$C$3:$C$68</definedName>
    <definedName name="_20p.log" localSheetId="10">'str - 2k'!$E$3:$E$68</definedName>
    <definedName name="_20p_1" localSheetId="16">'bidir - se-nse'!$C$49:$C$69</definedName>
    <definedName name="_20p_1" localSheetId="18">'int - 2k - fanout'!$C$25:$C$34</definedName>
    <definedName name="_20p_dred.out" localSheetId="0">'int - 2k'!#REF!</definedName>
    <definedName name="_20p_inc.out" localSheetId="3">'int - 10k'!#REF!</definedName>
    <definedName name="_20p_inc.out" localSheetId="0">'int - 2k'!#REF!</definedName>
    <definedName name="_20p_inc.out" localSheetId="10">'str - 2k'!#REF!</definedName>
    <definedName name="_20p_initial.out" localSheetId="14">'bidir - initial'!#REF!</definedName>
    <definedName name="_20p_initial.out" localSheetId="18">'int - 2k - fanout'!#REF!</definedName>
    <definedName name="_20p_initial.out_1" localSheetId="14">'bidir - initial'!#REF!</definedName>
    <definedName name="_20p_initial.out_1" localSheetId="18">'int - 2k - fanout'!#REF!</definedName>
    <definedName name="_20p_initial.out_2" localSheetId="18">'int - 2k - fanout'!#REF!</definedName>
    <definedName name="_20p_noninc.out" localSheetId="0">'int - 2k'!#REF!</definedName>
    <definedName name="_20p_noninc.out__2__1" localSheetId="0">'int - 2k'!#REF!</definedName>
    <definedName name="_20p_noninc.out_1" localSheetId="0">'int - 2k'!#REF!</definedName>
    <definedName name="_25p_inc.out" localSheetId="10">'str - 2k'!#REF!</definedName>
    <definedName name="_25p_initial.out" localSheetId="14">'bidir - initial'!#REF!</definedName>
    <definedName name="_25p_initial.out" localSheetId="18">'int - 2k - fanout'!#REF!</definedName>
    <definedName name="_25p_initial.out_1" localSheetId="14">'bidir - initial'!#REF!</definedName>
    <definedName name="_25p_initial.out_1" localSheetId="18">'int - 2k - fanout'!#REF!</definedName>
    <definedName name="_25p_initial.out_2" localSheetId="18">'int - 2k - fanout'!#REF!</definedName>
    <definedName name="_2p.log" localSheetId="3">'int - 10k'!#REF!</definedName>
    <definedName name="_2p_inc.out" localSheetId="3">'int - 10k'!#REF!</definedName>
    <definedName name="_2p_se_nse.out" localSheetId="16">'bidir - se-nse'!#REF!</definedName>
    <definedName name="_2p_se_nse.out_1" localSheetId="16">'bidir - se-nse'!#REF!</definedName>
    <definedName name="_2p_se_nse.out_2" localSheetId="16">'bidir - se-nse'!#REF!</definedName>
    <definedName name="_2p_se_nse.out_3" localSheetId="16">'bidir - se-nse'!#REF!</definedName>
    <definedName name="_30_noninc.log" localSheetId="14">'bidir - initial'!#REF!</definedName>
    <definedName name="_30_noninc.log" localSheetId="16">'bidir - se-nse'!#REF!</definedName>
    <definedName name="_30_noninc.log" localSheetId="8">'int - 10k 10p - faceoff'!#REF!</definedName>
    <definedName name="_30_noninc.log" localSheetId="0">'int - 2k'!#REF!</definedName>
    <definedName name="_30_noninc.log" localSheetId="18">'int - 2k - fanout'!#REF!</definedName>
    <definedName name="_30_noninc.log_1" localSheetId="14">'bidir - initial'!#REF!</definedName>
    <definedName name="_30_noninc.log_1" localSheetId="16">'bidir - se-nse'!#REF!</definedName>
    <definedName name="_30_noninc.log_1" localSheetId="8">'int - 10k 10p - faceoff'!#REF!</definedName>
    <definedName name="_30_noninc.log_1" localSheetId="0">'int - 2k'!#REF!</definedName>
    <definedName name="_30_noninc.log_1" localSheetId="18">'int - 2k - fanout'!#REF!</definedName>
    <definedName name="_30p" localSheetId="16">'bidir - se-nse'!$D$26:$D$46</definedName>
    <definedName name="_30p" localSheetId="18">'int - 2k - fanout'!$D$14:$D$23</definedName>
    <definedName name="_30p" localSheetId="10">'str - 2k'!$F$3:$F$68</definedName>
    <definedName name="_30p.log" localSheetId="14">'bidir - initial'!$D$3:$D$13</definedName>
    <definedName name="_30p.log" localSheetId="16">'bidir - se-nse'!$D$3:$D$23</definedName>
    <definedName name="_30p.log" localSheetId="3">'int - 10k'!$D$3:$D$68</definedName>
    <definedName name="_30p.log" localSheetId="8">'int - 10k 10p - faceoff'!$D$3:$D$12</definedName>
    <definedName name="_30p.log" localSheetId="5">'int - 10p'!$D$3:$D$68</definedName>
    <definedName name="_30p.log" localSheetId="0">'int - 2k'!$D$3:$D$69</definedName>
    <definedName name="_30p.log" localSheetId="18">'int - 2k - fanout'!$D$3:$D$12</definedName>
    <definedName name="_30p.log" localSheetId="12">'str - 10p'!$D$3:$D$68</definedName>
    <definedName name="_30p.log" localSheetId="10">'str - 2k'!$G$3:$G$68</definedName>
    <definedName name="_30p_1" localSheetId="16">'bidir - se-nse'!$D$49:$D$69</definedName>
    <definedName name="_30p_1" localSheetId="18">'int - 2k - fanout'!$D$25:$D$34</definedName>
    <definedName name="_30p_dred.out" localSheetId="0">'int - 2k'!#REF!</definedName>
    <definedName name="_30p_inc.out" localSheetId="0">'int - 2k'!#REF!</definedName>
    <definedName name="_30p_inc.out" localSheetId="10">'str - 2k'!#REF!</definedName>
    <definedName name="_30p_initial.out" localSheetId="14">'bidir - initial'!#REF!</definedName>
    <definedName name="_30p_initial.out_1" localSheetId="14">'bidir - initial'!#REF!</definedName>
    <definedName name="_30p_noninc.out" localSheetId="0">'int - 2k'!#REF!</definedName>
    <definedName name="_30p_noninc.out__2" localSheetId="0">'int - 2k'!#REF!</definedName>
    <definedName name="_35p_inc.out" localSheetId="10">'str - 2k'!#REF!</definedName>
    <definedName name="_40p" localSheetId="16">'bidir - se-nse'!$E$26:$E$46</definedName>
    <definedName name="_40p" localSheetId="18">'int - 2k - fanout'!$E$14:$E$23</definedName>
    <definedName name="_40p.log" localSheetId="14">'bidir - initial'!$E$3:$E$13</definedName>
    <definedName name="_40p.log" localSheetId="16">'bidir - se-nse'!$E$3:$E$23</definedName>
    <definedName name="_40p.log" localSheetId="3">'int - 10k'!$E$3:$E$68</definedName>
    <definedName name="_40p.log" localSheetId="8">'int - 10k 10p - faceoff'!$E$3:$E$12</definedName>
    <definedName name="_40p.log" localSheetId="5">'int - 10p'!$E$3:$E$68</definedName>
    <definedName name="_40p.log" localSheetId="0">'int - 2k'!$E$3:$E$69</definedName>
    <definedName name="_40p.log" localSheetId="18">'int - 2k - fanout'!$E$3:$E$12</definedName>
    <definedName name="_40p.log" localSheetId="12">'str - 10p'!$E$3:$E$68</definedName>
    <definedName name="_40p.log" localSheetId="10">'str - 2k'!$H$3:$H$68</definedName>
    <definedName name="_40p_1" localSheetId="16">'bidir - se-nse'!$E$49:$E$69</definedName>
    <definedName name="_40p_1" localSheetId="18">'int - 2k - fanout'!$E$25:$E$34</definedName>
    <definedName name="_40p_dred.out" localSheetId="0">'int - 2k'!#REF!</definedName>
    <definedName name="_40p_inc.out" localSheetId="0">'int - 2k'!#REF!</definedName>
    <definedName name="_40p_inc.out" localSheetId="10">'str - 2k'!#REF!</definedName>
    <definedName name="_40p_noninc.out" localSheetId="0">'int - 2k'!#REF!</definedName>
    <definedName name="_40p_noninc.out__2" localSheetId="0">'int - 2k'!#REF!</definedName>
    <definedName name="_4p.log" localSheetId="3">'int - 10k'!#REF!</definedName>
    <definedName name="_4p_inc.out" localSheetId="3">'int - 10k'!#REF!</definedName>
    <definedName name="_4p_se_nse.out" localSheetId="16">'bidir - se-nse'!#REF!</definedName>
    <definedName name="_50_noninc.log" localSheetId="14">'bidir - initial'!#REF!</definedName>
    <definedName name="_50_noninc.log" localSheetId="16">'bidir - se-nse'!#REF!</definedName>
    <definedName name="_50_noninc.log" localSheetId="8">'int - 10k 10p - faceoff'!#REF!</definedName>
    <definedName name="_50_noninc.log" localSheetId="0">'int - 2k'!#REF!</definedName>
    <definedName name="_50_noninc.log" localSheetId="18">'int - 2k - fanout'!#REF!</definedName>
    <definedName name="_50_noninc.log_1" localSheetId="14">'bidir - initial'!#REF!</definedName>
    <definedName name="_50_noninc.log_1" localSheetId="16">'bidir - se-nse'!#REF!</definedName>
    <definedName name="_50_noninc.log_1" localSheetId="8">'int - 10k 10p - faceoff'!#REF!</definedName>
    <definedName name="_50_noninc.log_1" localSheetId="0">'int - 2k'!#REF!</definedName>
    <definedName name="_50_noninc.log_1" localSheetId="18">'int - 2k - fanout'!#REF!</definedName>
    <definedName name="_50p" localSheetId="16">'bidir - se-nse'!$F$26:$F$46</definedName>
    <definedName name="_50p" localSheetId="18">'int - 2k - fanout'!$F$14:$F$23</definedName>
    <definedName name="_50p.log" localSheetId="14">'bidir - initial'!$F$3:$F$13</definedName>
    <definedName name="_50p.log" localSheetId="16">'bidir - se-nse'!$F$3:$F$23</definedName>
    <definedName name="_50p.log" localSheetId="3">'int - 10k'!$F$3:$F$68</definedName>
    <definedName name="_50p.log" localSheetId="8">'int - 10k 10p - faceoff'!$F$3:$F$12</definedName>
    <definedName name="_50p.log" localSheetId="5">'int - 10p'!$F$3:$F$68</definedName>
    <definedName name="_50p.log" localSheetId="0">'int - 2k'!$F$3:$F$69</definedName>
    <definedName name="_50p.log" localSheetId="18">'int - 2k - fanout'!$F$3:$F$12</definedName>
    <definedName name="_50p.log" localSheetId="12">'str - 10p'!#REF!</definedName>
    <definedName name="_50p.log" localSheetId="10">'str - 2k'!$I$3:$I$68</definedName>
    <definedName name="_50p_1" localSheetId="16">'bidir - se-nse'!$F$49:$F$69</definedName>
    <definedName name="_50p_1" localSheetId="18">'int - 2k - fanout'!$F$25:$F$34</definedName>
    <definedName name="_50p_dred.out" localSheetId="0">'int - 2k'!#REF!</definedName>
    <definedName name="_50p_inc.out" localSheetId="0">'int - 2k'!#REF!</definedName>
    <definedName name="_50p_noninc.out" localSheetId="0">'int - 2k'!#REF!</definedName>
    <definedName name="_50p_noninc.out__2" localSheetId="0">'int - 2k'!#REF!</definedName>
    <definedName name="_50p_noninc.out_1" localSheetId="0">'int - 2k'!#REF!</definedName>
    <definedName name="_5p_inc.out" localSheetId="10">'str - 2k'!#REF!</definedName>
    <definedName name="_5p_initial.out" localSheetId="14">'bidir - initial'!#REF!</definedName>
    <definedName name="_5p_initial.out" localSheetId="18">'int - 2k - fanout'!#REF!</definedName>
    <definedName name="_5p_initial.out_1" localSheetId="14">'bidir - initial'!#REF!</definedName>
    <definedName name="_5p_initial.out_1" localSheetId="18">'int - 2k - fanout'!#REF!</definedName>
    <definedName name="_5p_initial.out_2" localSheetId="18">'int - 2k - fanout'!#REF!</definedName>
    <definedName name="_60p" localSheetId="16">'bidir - se-nse'!#REF!</definedName>
    <definedName name="_60p.log" localSheetId="14">'bidir - initial'!$G$3:$G$13</definedName>
    <definedName name="_60p.log" localSheetId="16">'bidir - se-nse'!#REF!</definedName>
    <definedName name="_60p.log" localSheetId="3">'int - 10k'!$G$3:$G$68</definedName>
    <definedName name="_60p.log" localSheetId="8">'int - 10k 10p - faceoff'!$G$3:$G$12</definedName>
    <definedName name="_60p.log" localSheetId="5">'int - 10p'!#REF!</definedName>
    <definedName name="_60p.log" localSheetId="0">'int - 2k'!$G$3:$G$69</definedName>
    <definedName name="_60p.log" localSheetId="18">'int - 2k - fanout'!#REF!</definedName>
    <definedName name="_60p.log" localSheetId="12">'str - 10p'!#REF!</definedName>
    <definedName name="_60p.log" localSheetId="10">'str - 2k'!#REF!</definedName>
    <definedName name="_60p_1" localSheetId="16">'bidir - se-nse'!#REF!</definedName>
    <definedName name="_60p_10" localSheetId="16">'bidir - se-nse'!#REF!</definedName>
    <definedName name="_60p_11" localSheetId="16">'bidir - se-nse'!#REF!</definedName>
    <definedName name="_60p_12" localSheetId="16">'bidir - se-nse'!$H$49:$H$69</definedName>
    <definedName name="_60p_13" localSheetId="16">'bidir - se-nse'!$G$49:$G$69</definedName>
    <definedName name="_60p_2" localSheetId="16">'bidir - se-nse'!$H$3:$H$23</definedName>
    <definedName name="_60p_3" localSheetId="16">'bidir - se-nse'!$G$3:$G$23</definedName>
    <definedName name="_60p_4" localSheetId="16">'bidir - se-nse'!$G$26:$G$46</definedName>
    <definedName name="_60p_5" localSheetId="16">'bidir - se-nse'!$H$26:$H$46</definedName>
    <definedName name="_60p_6" localSheetId="16">'bidir - se-nse'!#REF!</definedName>
    <definedName name="_60p_7" localSheetId="16">'bidir - se-nse'!#REF!</definedName>
    <definedName name="_60p_8" localSheetId="16">'bidir - se-nse'!#REF!</definedName>
    <definedName name="_60p_9" localSheetId="16">'bidir - se-nse'!#REF!</definedName>
    <definedName name="_60p_dred.out" localSheetId="0">'int - 2k'!#REF!</definedName>
    <definedName name="_60p_inc.out" localSheetId="0">'int - 2k'!#REF!</definedName>
    <definedName name="_60p_noninc.out" localSheetId="0">'int - 2k'!#REF!</definedName>
    <definedName name="_60p_noninc.out__2" localSheetId="0">'int - 2k'!#REF!</definedName>
    <definedName name="_6p.log" localSheetId="3">'int - 10k'!#REF!</definedName>
    <definedName name="_6p_inc.out" localSheetId="3">'int - 10k'!#REF!</definedName>
    <definedName name="_6p_se_nse.out" localSheetId="16">'bidir - se-nse'!#REF!</definedName>
    <definedName name="_70_noninc.log" localSheetId="14">'bidir - initial'!#REF!</definedName>
    <definedName name="_70_noninc.log" localSheetId="16">'bidir - se-nse'!#REF!</definedName>
    <definedName name="_70_noninc.log" localSheetId="8">'int - 10k 10p - faceoff'!#REF!</definedName>
    <definedName name="_70_noninc.log" localSheetId="0">'int - 2k'!#REF!</definedName>
    <definedName name="_70_noninc.log" localSheetId="18">'int - 2k - fanout'!#REF!</definedName>
    <definedName name="_70p.log" localSheetId="14">'bidir - initial'!$H$1:$H$13</definedName>
    <definedName name="_70p.log" localSheetId="16">'bidir - se-nse'!$I$1:$I$23</definedName>
    <definedName name="_70p.log" localSheetId="3">'int - 10k'!$K$1:$L$72</definedName>
    <definedName name="_70p.log" localSheetId="8">'int - 10k 10p - faceoff'!$H$1:$I$12</definedName>
    <definedName name="_70p.log" localSheetId="5">'int - 10p'!$G$1:$G$72</definedName>
    <definedName name="_70p.log" localSheetId="0">'int - 2k'!$K$1:$K$73</definedName>
    <definedName name="_70p.log" localSheetId="18">'int - 2k - fanout'!$G$1:$G$12</definedName>
    <definedName name="_70p.log" localSheetId="12">'str - 10p'!$F$1:$F$72</definedName>
    <definedName name="_70p.log" localSheetId="10">'str - 2k'!$J$1:$J$72</definedName>
    <definedName name="_70p_dred.out" localSheetId="0">'int - 2k'!#REF!</definedName>
    <definedName name="_70p_inc.out" localSheetId="0">'int - 2k'!#REF!</definedName>
    <definedName name="_70p_noninc.out" localSheetId="0">'int - 2k'!#REF!</definedName>
    <definedName name="_70p_noninc.out__2" localSheetId="0">'int - 2k'!#REF!</definedName>
    <definedName name="_80p_dred.out" localSheetId="0">'int - 2k'!#REF!</definedName>
    <definedName name="_80p_inc.out" localSheetId="0">'int - 2k'!#REF!</definedName>
    <definedName name="_80p_noninc.out" localSheetId="0">'int - 2k'!#REF!</definedName>
    <definedName name="_8p.log" localSheetId="3">'int - 10k'!#REF!</definedName>
    <definedName name="_8p_inc.out" localSheetId="3">'int - 10k'!#REF!</definedName>
    <definedName name="_8p_se_nse.out" localSheetId="16">'bidir - se-nse'!#REF!</definedName>
    <definedName name="_90p_dred.out" localSheetId="0">'int - 2k'!#REF!</definedName>
    <definedName name="_90p_inc.out" localSheetId="0">'int - 2k'!#REF!</definedName>
    <definedName name="_90p_noninc.out" localSheetId="0">'int - 2k'!#REF!</definedName>
    <definedName name="_90p_noninc.out__2" localSheetId="0">'int - 2k'!#REF!</definedName>
  </definedNames>
  <calcPr calcId="125725"/>
</workbook>
</file>

<file path=xl/calcChain.xml><?xml version="1.0" encoding="utf-8"?>
<calcChain xmlns="http://schemas.openxmlformats.org/spreadsheetml/2006/main">
  <c r="C33" i="38"/>
  <c r="D33"/>
  <c r="E33"/>
  <c r="F33"/>
  <c r="B33"/>
  <c r="C22"/>
  <c r="D22"/>
  <c r="E22"/>
  <c r="F22"/>
  <c r="B22"/>
  <c r="C11"/>
  <c r="D11"/>
  <c r="E11"/>
  <c r="F11"/>
  <c r="B11"/>
  <c r="C136" i="36"/>
  <c r="D136"/>
  <c r="E136"/>
  <c r="F136"/>
  <c r="G136"/>
  <c r="H136"/>
  <c r="B136"/>
  <c r="C126"/>
  <c r="D126"/>
  <c r="E126"/>
  <c r="F126"/>
  <c r="G126"/>
  <c r="H126"/>
  <c r="B126"/>
  <c r="C113"/>
  <c r="D113"/>
  <c r="E113"/>
  <c r="F113"/>
  <c r="G113"/>
  <c r="H113"/>
  <c r="B113"/>
  <c r="C103"/>
  <c r="D103"/>
  <c r="E103"/>
  <c r="F103"/>
  <c r="G103"/>
  <c r="H103"/>
  <c r="B103"/>
  <c r="C90"/>
  <c r="D90"/>
  <c r="E90"/>
  <c r="F90"/>
  <c r="G90"/>
  <c r="H90"/>
  <c r="B90"/>
  <c r="C80"/>
  <c r="D80"/>
  <c r="E80"/>
  <c r="F80"/>
  <c r="G80"/>
  <c r="H80"/>
  <c r="B80"/>
  <c r="C67"/>
  <c r="D67"/>
  <c r="E67"/>
  <c r="F67"/>
  <c r="G67"/>
  <c r="H67"/>
  <c r="B67"/>
  <c r="C57"/>
  <c r="D57"/>
  <c r="E57"/>
  <c r="F57"/>
  <c r="G57"/>
  <c r="H57"/>
  <c r="B57"/>
  <c r="C44"/>
  <c r="D44"/>
  <c r="E44"/>
  <c r="F44"/>
  <c r="G44"/>
  <c r="H44"/>
  <c r="B44"/>
  <c r="C34"/>
  <c r="D34"/>
  <c r="E34"/>
  <c r="F34"/>
  <c r="G34"/>
  <c r="H34"/>
  <c r="B34"/>
  <c r="C21"/>
  <c r="D21"/>
  <c r="E21"/>
  <c r="F21"/>
  <c r="G21"/>
  <c r="H21"/>
  <c r="B21"/>
  <c r="C11"/>
  <c r="D11"/>
  <c r="E11"/>
  <c r="F11"/>
  <c r="G11"/>
  <c r="H11"/>
  <c r="B11"/>
  <c r="C11" i="35"/>
  <c r="D11"/>
  <c r="E11"/>
  <c r="F11"/>
  <c r="G11"/>
  <c r="B11"/>
  <c r="C23"/>
  <c r="D23"/>
  <c r="E23"/>
  <c r="B23"/>
  <c r="C71" i="32"/>
  <c r="D71"/>
  <c r="E71"/>
  <c r="B71"/>
  <c r="C61"/>
  <c r="D61"/>
  <c r="E61"/>
  <c r="B61"/>
  <c r="C51"/>
  <c r="D51"/>
  <c r="E51"/>
  <c r="B51"/>
  <c r="C41"/>
  <c r="D41"/>
  <c r="E41"/>
  <c r="B41"/>
  <c r="C31"/>
  <c r="D31"/>
  <c r="E31"/>
  <c r="B31"/>
  <c r="C21"/>
  <c r="D21"/>
  <c r="E21"/>
  <c r="B21"/>
  <c r="C11"/>
  <c r="D11"/>
  <c r="E11"/>
  <c r="B11"/>
  <c r="C71" i="9"/>
  <c r="D71"/>
  <c r="E71"/>
  <c r="F71"/>
  <c r="G71"/>
  <c r="H71"/>
  <c r="I71"/>
  <c r="B71"/>
  <c r="C61"/>
  <c r="D61"/>
  <c r="E61"/>
  <c r="F61"/>
  <c r="G61"/>
  <c r="H61"/>
  <c r="I61"/>
  <c r="B61"/>
  <c r="C51"/>
  <c r="D51"/>
  <c r="E51"/>
  <c r="F51"/>
  <c r="G51"/>
  <c r="H51"/>
  <c r="I51"/>
  <c r="B51"/>
  <c r="C41"/>
  <c r="D41"/>
  <c r="E41"/>
  <c r="F41"/>
  <c r="G41"/>
  <c r="H41"/>
  <c r="I41"/>
  <c r="B41"/>
  <c r="C31"/>
  <c r="D31"/>
  <c r="E31"/>
  <c r="F31"/>
  <c r="G31"/>
  <c r="H31"/>
  <c r="I31"/>
  <c r="B31"/>
  <c r="C21"/>
  <c r="D21"/>
  <c r="E21"/>
  <c r="F21"/>
  <c r="G21"/>
  <c r="H21"/>
  <c r="I21"/>
  <c r="B21"/>
  <c r="C11"/>
  <c r="D11"/>
  <c r="E11"/>
  <c r="F11"/>
  <c r="G11"/>
  <c r="H11"/>
  <c r="I11"/>
  <c r="B11"/>
  <c r="C11" i="37"/>
  <c r="D11"/>
  <c r="E11"/>
  <c r="F11"/>
  <c r="G11"/>
  <c r="H11"/>
  <c r="I11"/>
  <c r="J11"/>
  <c r="K11"/>
  <c r="B11"/>
  <c r="C22"/>
  <c r="D22"/>
  <c r="E22"/>
  <c r="F22"/>
  <c r="G22"/>
  <c r="H22"/>
  <c r="I22"/>
  <c r="J22"/>
  <c r="K22"/>
  <c r="B22"/>
  <c r="C33"/>
  <c r="D33"/>
  <c r="E33"/>
  <c r="F33"/>
  <c r="G33"/>
  <c r="H33"/>
  <c r="I33"/>
  <c r="J33"/>
  <c r="K33"/>
  <c r="B33"/>
  <c r="F14" i="31"/>
  <c r="B14"/>
  <c r="D164"/>
  <c r="E164"/>
  <c r="C164"/>
  <c r="D154"/>
  <c r="E154"/>
  <c r="C154"/>
  <c r="D144"/>
  <c r="E144"/>
  <c r="C144"/>
  <c r="D133"/>
  <c r="E133"/>
  <c r="C133"/>
  <c r="D123"/>
  <c r="E123"/>
  <c r="C123"/>
  <c r="D113"/>
  <c r="E113"/>
  <c r="C113"/>
  <c r="D103"/>
  <c r="E103"/>
  <c r="C103"/>
  <c r="D93"/>
  <c r="E93"/>
  <c r="C93"/>
  <c r="D83"/>
  <c r="E83"/>
  <c r="C83"/>
  <c r="D71"/>
  <c r="E71"/>
  <c r="C71"/>
  <c r="D61"/>
  <c r="E61"/>
  <c r="C61"/>
  <c r="D51"/>
  <c r="E51"/>
  <c r="C51"/>
  <c r="D41"/>
  <c r="E41"/>
  <c r="C41"/>
  <c r="D31"/>
  <c r="E31"/>
  <c r="C31"/>
  <c r="D11"/>
  <c r="E11"/>
  <c r="C11"/>
  <c r="C71" i="8"/>
  <c r="D71"/>
  <c r="E71"/>
  <c r="F71"/>
  <c r="G71"/>
  <c r="H71"/>
  <c r="I71"/>
  <c r="J71"/>
  <c r="K71"/>
  <c r="B71"/>
  <c r="C61"/>
  <c r="D61"/>
  <c r="E61"/>
  <c r="F61"/>
  <c r="G61"/>
  <c r="H61"/>
  <c r="I61"/>
  <c r="J61"/>
  <c r="K61"/>
  <c r="B61"/>
  <c r="C51"/>
  <c r="D51"/>
  <c r="E51"/>
  <c r="F51"/>
  <c r="G51"/>
  <c r="H51"/>
  <c r="I51"/>
  <c r="J51"/>
  <c r="K51"/>
  <c r="B51"/>
  <c r="C41"/>
  <c r="D41"/>
  <c r="E41"/>
  <c r="F41"/>
  <c r="G41"/>
  <c r="H41"/>
  <c r="I41"/>
  <c r="J41"/>
  <c r="K41"/>
  <c r="B41"/>
  <c r="C31"/>
  <c r="D31"/>
  <c r="E31"/>
  <c r="F31"/>
  <c r="G31"/>
  <c r="H31"/>
  <c r="I31"/>
  <c r="J31"/>
  <c r="K31"/>
  <c r="B31"/>
  <c r="C11"/>
  <c r="D11"/>
  <c r="E11"/>
  <c r="F11"/>
  <c r="G11"/>
  <c r="H11"/>
  <c r="I11"/>
  <c r="J11"/>
  <c r="K11"/>
  <c r="B11"/>
  <c r="C165" i="1"/>
  <c r="D165"/>
  <c r="E165"/>
  <c r="F165"/>
  <c r="G165"/>
  <c r="H165"/>
  <c r="I165"/>
  <c r="J165"/>
  <c r="K165"/>
  <c r="B165"/>
  <c r="C155"/>
  <c r="D155"/>
  <c r="E155"/>
  <c r="F155"/>
  <c r="G155"/>
  <c r="H155"/>
  <c r="I155"/>
  <c r="J155"/>
  <c r="K155"/>
  <c r="B155"/>
  <c r="C145"/>
  <c r="D145"/>
  <c r="E145"/>
  <c r="F145"/>
  <c r="G145"/>
  <c r="H145"/>
  <c r="I145"/>
  <c r="J145"/>
  <c r="K145"/>
  <c r="B145"/>
  <c r="C133"/>
  <c r="D133"/>
  <c r="E133"/>
  <c r="F133"/>
  <c r="G133"/>
  <c r="H133"/>
  <c r="I133"/>
  <c r="J133"/>
  <c r="K133"/>
  <c r="B133"/>
  <c r="B133" i="31" s="1"/>
  <c r="C123" i="1"/>
  <c r="D123"/>
  <c r="E123"/>
  <c r="F123"/>
  <c r="G123"/>
  <c r="H123"/>
  <c r="I123"/>
  <c r="J123"/>
  <c r="K123"/>
  <c r="B123"/>
  <c r="B123" i="31" s="1"/>
  <c r="C113" i="1"/>
  <c r="D113"/>
  <c r="E113"/>
  <c r="F113"/>
  <c r="G113"/>
  <c r="H113"/>
  <c r="I113"/>
  <c r="J113"/>
  <c r="K113"/>
  <c r="B113"/>
  <c r="B113" i="31" s="1"/>
  <c r="C103" i="1"/>
  <c r="D103"/>
  <c r="E103"/>
  <c r="F103"/>
  <c r="G103"/>
  <c r="H103"/>
  <c r="I103"/>
  <c r="J103"/>
  <c r="K103"/>
  <c r="B103"/>
  <c r="B103" i="31" s="1"/>
  <c r="C93" i="1"/>
  <c r="D93"/>
  <c r="E93"/>
  <c r="F93"/>
  <c r="G93"/>
  <c r="H93"/>
  <c r="I93"/>
  <c r="J93"/>
  <c r="K93"/>
  <c r="B93"/>
  <c r="B93" i="31" s="1"/>
  <c r="C83" i="1"/>
  <c r="D83"/>
  <c r="E83"/>
  <c r="F83"/>
  <c r="G83"/>
  <c r="H83"/>
  <c r="I83"/>
  <c r="J83"/>
  <c r="K83"/>
  <c r="B83"/>
  <c r="B83" i="31" s="1"/>
  <c r="C72" i="1"/>
  <c r="D72"/>
  <c r="E72"/>
  <c r="F72"/>
  <c r="G72"/>
  <c r="H72"/>
  <c r="I72"/>
  <c r="J72"/>
  <c r="B72"/>
  <c r="B71" i="31" s="1"/>
  <c r="C62" i="1"/>
  <c r="D62"/>
  <c r="E62"/>
  <c r="F62"/>
  <c r="G62"/>
  <c r="H62"/>
  <c r="I62"/>
  <c r="J62"/>
  <c r="K62"/>
  <c r="B62"/>
  <c r="B61" i="31" s="1"/>
  <c r="C52" i="1"/>
  <c r="D52"/>
  <c r="E52"/>
  <c r="F52"/>
  <c r="G52"/>
  <c r="H52"/>
  <c r="I52"/>
  <c r="J52"/>
  <c r="K52"/>
  <c r="B52"/>
  <c r="B51" i="31" s="1"/>
  <c r="C42" i="1"/>
  <c r="D42"/>
  <c r="E42"/>
  <c r="F42"/>
  <c r="G42"/>
  <c r="H42"/>
  <c r="I42"/>
  <c r="J42"/>
  <c r="K42"/>
  <c r="B42"/>
  <c r="B41" i="31" s="1"/>
  <c r="C32" i="1"/>
  <c r="D32"/>
  <c r="E32"/>
  <c r="F32"/>
  <c r="G32"/>
  <c r="H32"/>
  <c r="I32"/>
  <c r="J32"/>
  <c r="K32"/>
  <c r="B32"/>
  <c r="B31" i="31" s="1"/>
  <c r="C11" i="1"/>
  <c r="D11"/>
  <c r="E11"/>
  <c r="F11"/>
  <c r="G11"/>
  <c r="H11"/>
  <c r="I11"/>
  <c r="J11"/>
  <c r="K11"/>
  <c r="B11"/>
  <c r="B15" i="31"/>
  <c r="B16"/>
  <c r="B17"/>
  <c r="B18"/>
  <c r="B24"/>
  <c r="B25"/>
  <c r="B26"/>
  <c r="B27"/>
  <c r="B28"/>
  <c r="B29"/>
  <c r="B30"/>
  <c r="B34"/>
  <c r="B35"/>
  <c r="B36"/>
  <c r="B37"/>
  <c r="B38"/>
  <c r="B39"/>
  <c r="B40"/>
  <c r="B44"/>
  <c r="B45"/>
  <c r="B46"/>
  <c r="B47"/>
  <c r="B48"/>
  <c r="B49"/>
  <c r="B50"/>
  <c r="B54"/>
  <c r="B55"/>
  <c r="B56"/>
  <c r="B57"/>
  <c r="B58"/>
  <c r="B59"/>
  <c r="B60"/>
  <c r="B64"/>
  <c r="B65"/>
  <c r="B66"/>
  <c r="B67"/>
  <c r="B68"/>
  <c r="B69"/>
  <c r="B70"/>
  <c r="F131"/>
  <c r="F132"/>
  <c r="F133"/>
  <c r="F121"/>
  <c r="F122"/>
  <c r="F123" s="1"/>
  <c r="F111"/>
  <c r="F112"/>
  <c r="F113"/>
  <c r="F101"/>
  <c r="F102"/>
  <c r="F103" s="1"/>
  <c r="F91"/>
  <c r="F92"/>
  <c r="F93" s="1"/>
  <c r="F81"/>
  <c r="F82"/>
  <c r="F83"/>
  <c r="B77"/>
  <c r="B78"/>
  <c r="B79"/>
  <c r="B80"/>
  <c r="B81"/>
  <c r="B82"/>
  <c r="B86"/>
  <c r="B87"/>
  <c r="B88"/>
  <c r="B89"/>
  <c r="B90"/>
  <c r="B91"/>
  <c r="B92"/>
  <c r="B96"/>
  <c r="B97"/>
  <c r="B98"/>
  <c r="B99"/>
  <c r="B100"/>
  <c r="B101"/>
  <c r="B102"/>
  <c r="B106"/>
  <c r="B107"/>
  <c r="B108"/>
  <c r="B109"/>
  <c r="B110"/>
  <c r="B111"/>
  <c r="B112"/>
  <c r="B116"/>
  <c r="B117"/>
  <c r="B118"/>
  <c r="B119"/>
  <c r="B120"/>
  <c r="B121"/>
  <c r="B122"/>
  <c r="B126"/>
  <c r="B127"/>
  <c r="B128"/>
  <c r="B129"/>
  <c r="B130"/>
  <c r="B131"/>
  <c r="B132"/>
  <c r="B76"/>
  <c r="F32" i="38"/>
  <c r="E32"/>
  <c r="D32"/>
  <c r="C32"/>
  <c r="B32"/>
  <c r="E31"/>
  <c r="D31"/>
  <c r="C31"/>
  <c r="B31"/>
  <c r="F21"/>
  <c r="E21"/>
  <c r="D21"/>
  <c r="C21"/>
  <c r="B21"/>
  <c r="F20"/>
  <c r="E20"/>
  <c r="D20"/>
  <c r="C20"/>
  <c r="B20"/>
  <c r="H135" i="36"/>
  <c r="G135"/>
  <c r="F135"/>
  <c r="E135"/>
  <c r="D135"/>
  <c r="C135"/>
  <c r="B135"/>
  <c r="H134"/>
  <c r="G134"/>
  <c r="F134"/>
  <c r="E134"/>
  <c r="D134"/>
  <c r="C134"/>
  <c r="B134"/>
  <c r="H125"/>
  <c r="G125"/>
  <c r="F125"/>
  <c r="E125"/>
  <c r="D125"/>
  <c r="C125"/>
  <c r="B125"/>
  <c r="H124"/>
  <c r="H139" s="1"/>
  <c r="G124"/>
  <c r="G139" s="1"/>
  <c r="F124"/>
  <c r="F139" s="1"/>
  <c r="E124"/>
  <c r="E139" s="1"/>
  <c r="D124"/>
  <c r="D139" s="1"/>
  <c r="C124"/>
  <c r="C139" s="1"/>
  <c r="B124"/>
  <c r="B139" s="1"/>
  <c r="H112"/>
  <c r="G112"/>
  <c r="F112"/>
  <c r="E112"/>
  <c r="D112"/>
  <c r="C112"/>
  <c r="B112"/>
  <c r="H111"/>
  <c r="G111"/>
  <c r="F111"/>
  <c r="E111"/>
  <c r="D111"/>
  <c r="C111"/>
  <c r="B111"/>
  <c r="H102"/>
  <c r="G102"/>
  <c r="F102"/>
  <c r="E102"/>
  <c r="D102"/>
  <c r="C102"/>
  <c r="B102"/>
  <c r="H101"/>
  <c r="H116" s="1"/>
  <c r="G101"/>
  <c r="G116" s="1"/>
  <c r="F101"/>
  <c r="F116" s="1"/>
  <c r="E101"/>
  <c r="E116" s="1"/>
  <c r="D101"/>
  <c r="D116" s="1"/>
  <c r="C101"/>
  <c r="C116" s="1"/>
  <c r="B101"/>
  <c r="B116" s="1"/>
  <c r="H66"/>
  <c r="G66"/>
  <c r="F66"/>
  <c r="E66"/>
  <c r="D66"/>
  <c r="C66"/>
  <c r="B66"/>
  <c r="H65"/>
  <c r="G65"/>
  <c r="F65"/>
  <c r="E65"/>
  <c r="D65"/>
  <c r="C65"/>
  <c r="B65"/>
  <c r="H56"/>
  <c r="G56"/>
  <c r="F56"/>
  <c r="E56"/>
  <c r="D56"/>
  <c r="C56"/>
  <c r="B56"/>
  <c r="H55"/>
  <c r="H70" s="1"/>
  <c r="G55"/>
  <c r="G70" s="1"/>
  <c r="F55"/>
  <c r="F70" s="1"/>
  <c r="E55"/>
  <c r="D55"/>
  <c r="D70" s="1"/>
  <c r="C55"/>
  <c r="B55"/>
  <c r="H43"/>
  <c r="G43"/>
  <c r="F43"/>
  <c r="E43"/>
  <c r="D43"/>
  <c r="C43"/>
  <c r="B43"/>
  <c r="H42"/>
  <c r="G42"/>
  <c r="F42"/>
  <c r="E42"/>
  <c r="D42"/>
  <c r="C42"/>
  <c r="B42"/>
  <c r="H33"/>
  <c r="G33"/>
  <c r="F33"/>
  <c r="E33"/>
  <c r="D33"/>
  <c r="C33"/>
  <c r="B33"/>
  <c r="H32"/>
  <c r="H47" s="1"/>
  <c r="G32"/>
  <c r="G47" s="1"/>
  <c r="F32"/>
  <c r="F47" s="1"/>
  <c r="E32"/>
  <c r="E47" s="1"/>
  <c r="D32"/>
  <c r="D47" s="1"/>
  <c r="C32"/>
  <c r="C47" s="1"/>
  <c r="B32"/>
  <c r="B47" s="1"/>
  <c r="G89"/>
  <c r="G88"/>
  <c r="G79"/>
  <c r="G78"/>
  <c r="G93" s="1"/>
  <c r="G20"/>
  <c r="G19"/>
  <c r="G10"/>
  <c r="G9"/>
  <c r="G24" s="1"/>
  <c r="H89"/>
  <c r="H88"/>
  <c r="H79"/>
  <c r="H78"/>
  <c r="H93" s="1"/>
  <c r="H20"/>
  <c r="H19"/>
  <c r="H10"/>
  <c r="H9"/>
  <c r="H24" s="1"/>
  <c r="B10" i="32"/>
  <c r="B9"/>
  <c r="B20"/>
  <c r="B19"/>
  <c r="B30"/>
  <c r="B29"/>
  <c r="B40"/>
  <c r="B39"/>
  <c r="B50"/>
  <c r="B49"/>
  <c r="B60"/>
  <c r="B59"/>
  <c r="B70"/>
  <c r="B69"/>
  <c r="E70"/>
  <c r="D70"/>
  <c r="C70"/>
  <c r="E69"/>
  <c r="D69"/>
  <c r="C69"/>
  <c r="E60"/>
  <c r="D60"/>
  <c r="C60"/>
  <c r="E59"/>
  <c r="D59"/>
  <c r="C59"/>
  <c r="E50"/>
  <c r="D50"/>
  <c r="C50"/>
  <c r="E49"/>
  <c r="D49"/>
  <c r="C49"/>
  <c r="E40"/>
  <c r="D40"/>
  <c r="C40"/>
  <c r="E39"/>
  <c r="D39"/>
  <c r="C39"/>
  <c r="E30"/>
  <c r="D30"/>
  <c r="C30"/>
  <c r="E29"/>
  <c r="D29"/>
  <c r="C29"/>
  <c r="E20"/>
  <c r="D20"/>
  <c r="C20"/>
  <c r="E19"/>
  <c r="D19"/>
  <c r="C19"/>
  <c r="D9"/>
  <c r="E9"/>
  <c r="D10"/>
  <c r="E10"/>
  <c r="C9"/>
  <c r="C10"/>
  <c r="F10" i="38"/>
  <c r="E10"/>
  <c r="D10"/>
  <c r="C10"/>
  <c r="B10"/>
  <c r="F9"/>
  <c r="E9"/>
  <c r="D9"/>
  <c r="C9"/>
  <c r="B9"/>
  <c r="F89" i="36"/>
  <c r="E89"/>
  <c r="D89"/>
  <c r="C89"/>
  <c r="B89"/>
  <c r="F88"/>
  <c r="E88"/>
  <c r="D88"/>
  <c r="C88"/>
  <c r="B88"/>
  <c r="F79"/>
  <c r="E79"/>
  <c r="D79"/>
  <c r="C79"/>
  <c r="B79"/>
  <c r="F78"/>
  <c r="F93" s="1"/>
  <c r="E78"/>
  <c r="E93" s="1"/>
  <c r="D78"/>
  <c r="C78"/>
  <c r="B78"/>
  <c r="B93" s="1"/>
  <c r="F20"/>
  <c r="E20"/>
  <c r="D20"/>
  <c r="C20"/>
  <c r="B20"/>
  <c r="F19"/>
  <c r="E19"/>
  <c r="D19"/>
  <c r="C19"/>
  <c r="B19"/>
  <c r="F10"/>
  <c r="E10"/>
  <c r="D10"/>
  <c r="C10"/>
  <c r="B10"/>
  <c r="F9"/>
  <c r="F24" s="1"/>
  <c r="E9"/>
  <c r="E24" s="1"/>
  <c r="D9"/>
  <c r="D24" s="1"/>
  <c r="C9"/>
  <c r="C24" s="1"/>
  <c r="B9"/>
  <c r="B24" s="1"/>
  <c r="G22" i="35"/>
  <c r="F22"/>
  <c r="F23" s="1"/>
  <c r="E22"/>
  <c r="D22"/>
  <c r="C22"/>
  <c r="B22"/>
  <c r="F21"/>
  <c r="E21"/>
  <c r="D21"/>
  <c r="C21"/>
  <c r="B21"/>
  <c r="G10"/>
  <c r="F10"/>
  <c r="E10"/>
  <c r="D10"/>
  <c r="C10"/>
  <c r="B10"/>
  <c r="G9"/>
  <c r="F9"/>
  <c r="E9"/>
  <c r="D9"/>
  <c r="C9"/>
  <c r="B9"/>
  <c r="B2" i="32"/>
  <c r="I70" i="9"/>
  <c r="H70"/>
  <c r="G70"/>
  <c r="F70"/>
  <c r="E70"/>
  <c r="D70"/>
  <c r="C70"/>
  <c r="B70"/>
  <c r="I69"/>
  <c r="H69"/>
  <c r="G69"/>
  <c r="F69"/>
  <c r="E69"/>
  <c r="D69"/>
  <c r="C69"/>
  <c r="B69"/>
  <c r="I60"/>
  <c r="H60"/>
  <c r="G60"/>
  <c r="F60"/>
  <c r="E60"/>
  <c r="D60"/>
  <c r="C60"/>
  <c r="B60"/>
  <c r="I59"/>
  <c r="H59"/>
  <c r="G59"/>
  <c r="F59"/>
  <c r="E59"/>
  <c r="D59"/>
  <c r="C59"/>
  <c r="B59"/>
  <c r="I50"/>
  <c r="H50"/>
  <c r="G50"/>
  <c r="F50"/>
  <c r="E50"/>
  <c r="D50"/>
  <c r="C50"/>
  <c r="B50"/>
  <c r="I49"/>
  <c r="H49"/>
  <c r="G49"/>
  <c r="F49"/>
  <c r="E49"/>
  <c r="D49"/>
  <c r="C49"/>
  <c r="B49"/>
  <c r="I40"/>
  <c r="H40"/>
  <c r="G40"/>
  <c r="F40"/>
  <c r="E40"/>
  <c r="D40"/>
  <c r="C40"/>
  <c r="B40"/>
  <c r="I39"/>
  <c r="H39"/>
  <c r="G39"/>
  <c r="F39"/>
  <c r="E39"/>
  <c r="D39"/>
  <c r="C39"/>
  <c r="B39"/>
  <c r="I30"/>
  <c r="H30"/>
  <c r="G30"/>
  <c r="F30"/>
  <c r="E30"/>
  <c r="D30"/>
  <c r="C30"/>
  <c r="B30"/>
  <c r="I29"/>
  <c r="H29"/>
  <c r="G29"/>
  <c r="F29"/>
  <c r="E29"/>
  <c r="D29"/>
  <c r="C29"/>
  <c r="B29"/>
  <c r="I20"/>
  <c r="H20"/>
  <c r="G20"/>
  <c r="F20"/>
  <c r="E20"/>
  <c r="D20"/>
  <c r="C20"/>
  <c r="B20"/>
  <c r="I19"/>
  <c r="H19"/>
  <c r="G19"/>
  <c r="F19"/>
  <c r="E19"/>
  <c r="D19"/>
  <c r="C19"/>
  <c r="B19"/>
  <c r="I10"/>
  <c r="H10"/>
  <c r="G10"/>
  <c r="F10"/>
  <c r="E10"/>
  <c r="D10"/>
  <c r="C10"/>
  <c r="B10"/>
  <c r="I9"/>
  <c r="H9"/>
  <c r="G9"/>
  <c r="F9"/>
  <c r="E9"/>
  <c r="D9"/>
  <c r="C9"/>
  <c r="B9"/>
  <c r="K32" i="37"/>
  <c r="J32"/>
  <c r="I32"/>
  <c r="H32"/>
  <c r="G32"/>
  <c r="F32"/>
  <c r="E32"/>
  <c r="D32"/>
  <c r="C32"/>
  <c r="B32"/>
  <c r="K31"/>
  <c r="J31"/>
  <c r="I31"/>
  <c r="H31"/>
  <c r="G31"/>
  <c r="F31"/>
  <c r="E31"/>
  <c r="D31"/>
  <c r="C31"/>
  <c r="B31"/>
  <c r="K21"/>
  <c r="J21"/>
  <c r="I21"/>
  <c r="H21"/>
  <c r="G21"/>
  <c r="F21"/>
  <c r="E21"/>
  <c r="D21"/>
  <c r="C21"/>
  <c r="B21"/>
  <c r="K20"/>
  <c r="J20"/>
  <c r="I20"/>
  <c r="H20"/>
  <c r="G20"/>
  <c r="F20"/>
  <c r="E20"/>
  <c r="D20"/>
  <c r="C20"/>
  <c r="B20"/>
  <c r="K10"/>
  <c r="J10"/>
  <c r="I10"/>
  <c r="H10"/>
  <c r="G10"/>
  <c r="F10"/>
  <c r="E10"/>
  <c r="D10"/>
  <c r="C10"/>
  <c r="B10"/>
  <c r="K9"/>
  <c r="J9"/>
  <c r="I9"/>
  <c r="H9"/>
  <c r="G9"/>
  <c r="F9"/>
  <c r="E9"/>
  <c r="D9"/>
  <c r="C9"/>
  <c r="B9"/>
  <c r="F163" i="31"/>
  <c r="F164" s="1"/>
  <c r="E163"/>
  <c r="D163"/>
  <c r="C163"/>
  <c r="F162"/>
  <c r="E162"/>
  <c r="D162"/>
  <c r="C162"/>
  <c r="B161"/>
  <c r="B160"/>
  <c r="B159"/>
  <c r="B158"/>
  <c r="B157"/>
  <c r="F153"/>
  <c r="E153"/>
  <c r="D153"/>
  <c r="C153"/>
  <c r="F152"/>
  <c r="E152"/>
  <c r="D152"/>
  <c r="C152"/>
  <c r="B151"/>
  <c r="B150"/>
  <c r="B149"/>
  <c r="B148"/>
  <c r="B147"/>
  <c r="F143"/>
  <c r="E143"/>
  <c r="D143"/>
  <c r="C143"/>
  <c r="F142"/>
  <c r="E142"/>
  <c r="D142"/>
  <c r="C142"/>
  <c r="B141"/>
  <c r="B140"/>
  <c r="B139"/>
  <c r="B138"/>
  <c r="B137"/>
  <c r="E132"/>
  <c r="D132"/>
  <c r="C132"/>
  <c r="E131"/>
  <c r="D131"/>
  <c r="C131"/>
  <c r="E122"/>
  <c r="D122"/>
  <c r="C122"/>
  <c r="E121"/>
  <c r="D121"/>
  <c r="C121"/>
  <c r="E112"/>
  <c r="D112"/>
  <c r="C112"/>
  <c r="E111"/>
  <c r="D111"/>
  <c r="C111"/>
  <c r="E102"/>
  <c r="D102"/>
  <c r="C102"/>
  <c r="E101"/>
  <c r="D101"/>
  <c r="C101"/>
  <c r="E92"/>
  <c r="D92"/>
  <c r="C92"/>
  <c r="F144" l="1"/>
  <c r="F154"/>
  <c r="D93" i="36"/>
  <c r="E70"/>
  <c r="C70"/>
  <c r="C93"/>
  <c r="B70"/>
  <c r="G23" i="35"/>
  <c r="E91" i="31"/>
  <c r="D91"/>
  <c r="C91"/>
  <c r="E82"/>
  <c r="D82"/>
  <c r="C82"/>
  <c r="E81"/>
  <c r="D81"/>
  <c r="C81"/>
  <c r="F71"/>
  <c r="F70"/>
  <c r="E70"/>
  <c r="D70"/>
  <c r="C70"/>
  <c r="E69"/>
  <c r="D69"/>
  <c r="C69"/>
  <c r="F68"/>
  <c r="F67"/>
  <c r="F66"/>
  <c r="F65"/>
  <c r="F64"/>
  <c r="F61"/>
  <c r="F60"/>
  <c r="E60"/>
  <c r="D60"/>
  <c r="C60"/>
  <c r="E59"/>
  <c r="D59"/>
  <c r="C59"/>
  <c r="F58"/>
  <c r="F57"/>
  <c r="F56"/>
  <c r="F55"/>
  <c r="F54"/>
  <c r="F51"/>
  <c r="F50"/>
  <c r="E50"/>
  <c r="D50"/>
  <c r="C50"/>
  <c r="E49"/>
  <c r="D49"/>
  <c r="C49"/>
  <c r="F48"/>
  <c r="F47"/>
  <c r="F46"/>
  <c r="F45"/>
  <c r="F44"/>
  <c r="F41"/>
  <c r="F40"/>
  <c r="E40"/>
  <c r="D40"/>
  <c r="C40"/>
  <c r="E39"/>
  <c r="D39"/>
  <c r="C39"/>
  <c r="F38"/>
  <c r="F37"/>
  <c r="F36"/>
  <c r="F35"/>
  <c r="F34"/>
  <c r="F31"/>
  <c r="F30"/>
  <c r="E30"/>
  <c r="D30"/>
  <c r="C30"/>
  <c r="E29"/>
  <c r="D29"/>
  <c r="C29"/>
  <c r="F28"/>
  <c r="F27"/>
  <c r="F26"/>
  <c r="F25"/>
  <c r="F24"/>
  <c r="E20"/>
  <c r="E21" s="1"/>
  <c r="D20"/>
  <c r="D21" s="1"/>
  <c r="C20"/>
  <c r="C21" s="1"/>
  <c r="E19"/>
  <c r="D19"/>
  <c r="C19"/>
  <c r="F18"/>
  <c r="F17"/>
  <c r="F16"/>
  <c r="F15"/>
  <c r="F11"/>
  <c r="F10"/>
  <c r="E10"/>
  <c r="D10"/>
  <c r="C10"/>
  <c r="E9"/>
  <c r="D9"/>
  <c r="C9"/>
  <c r="F8"/>
  <c r="B8"/>
  <c r="F7"/>
  <c r="B7"/>
  <c r="F6"/>
  <c r="B6"/>
  <c r="F5"/>
  <c r="B5"/>
  <c r="F4"/>
  <c r="B4"/>
  <c r="F2"/>
  <c r="B2"/>
  <c r="K70" i="8"/>
  <c r="J70"/>
  <c r="I70"/>
  <c r="H70"/>
  <c r="G70"/>
  <c r="F70"/>
  <c r="E70"/>
  <c r="D70"/>
  <c r="C70"/>
  <c r="B70"/>
  <c r="K69"/>
  <c r="J69"/>
  <c r="I69"/>
  <c r="H69"/>
  <c r="G69"/>
  <c r="F69"/>
  <c r="E69"/>
  <c r="D69"/>
  <c r="C69"/>
  <c r="B69"/>
  <c r="K60"/>
  <c r="J60"/>
  <c r="I60"/>
  <c r="H60"/>
  <c r="G60"/>
  <c r="F60"/>
  <c r="E60"/>
  <c r="D60"/>
  <c r="C60"/>
  <c r="B60"/>
  <c r="K59"/>
  <c r="J59"/>
  <c r="I59"/>
  <c r="H59"/>
  <c r="G59"/>
  <c r="F59"/>
  <c r="E59"/>
  <c r="D59"/>
  <c r="C59"/>
  <c r="B59"/>
  <c r="K50"/>
  <c r="J50"/>
  <c r="I50"/>
  <c r="H50"/>
  <c r="G50"/>
  <c r="F50"/>
  <c r="E50"/>
  <c r="D50"/>
  <c r="C50"/>
  <c r="B50"/>
  <c r="K49"/>
  <c r="J49"/>
  <c r="I49"/>
  <c r="H49"/>
  <c r="G49"/>
  <c r="F49"/>
  <c r="E49"/>
  <c r="D49"/>
  <c r="C49"/>
  <c r="B49"/>
  <c r="K40"/>
  <c r="J40"/>
  <c r="I40"/>
  <c r="H40"/>
  <c r="G40"/>
  <c r="F40"/>
  <c r="E40"/>
  <c r="D40"/>
  <c r="C40"/>
  <c r="B40"/>
  <c r="K39"/>
  <c r="J39"/>
  <c r="I39"/>
  <c r="H39"/>
  <c r="G39"/>
  <c r="F39"/>
  <c r="E39"/>
  <c r="D39"/>
  <c r="C39"/>
  <c r="B39"/>
  <c r="K30"/>
  <c r="J30"/>
  <c r="I30"/>
  <c r="H30"/>
  <c r="G30"/>
  <c r="F30"/>
  <c r="E30"/>
  <c r="D30"/>
  <c r="C30"/>
  <c r="B30"/>
  <c r="K29"/>
  <c r="J29"/>
  <c r="I29"/>
  <c r="H29"/>
  <c r="G29"/>
  <c r="F29"/>
  <c r="E29"/>
  <c r="D29"/>
  <c r="C29"/>
  <c r="B29"/>
  <c r="K20"/>
  <c r="K21" s="1"/>
  <c r="J20"/>
  <c r="J21" s="1"/>
  <c r="I20"/>
  <c r="I21" s="1"/>
  <c r="H20"/>
  <c r="H21" s="1"/>
  <c r="G20"/>
  <c r="G21" s="1"/>
  <c r="F20"/>
  <c r="F21" s="1"/>
  <c r="F21" i="31" s="1"/>
  <c r="E20" i="8"/>
  <c r="E21" s="1"/>
  <c r="D20"/>
  <c r="D21" s="1"/>
  <c r="C20"/>
  <c r="C21" s="1"/>
  <c r="B20"/>
  <c r="B21" s="1"/>
  <c r="K19"/>
  <c r="J19"/>
  <c r="I19"/>
  <c r="H19"/>
  <c r="G19"/>
  <c r="F19"/>
  <c r="E19"/>
  <c r="D19"/>
  <c r="C19"/>
  <c r="B19"/>
  <c r="K10"/>
  <c r="J10"/>
  <c r="I10"/>
  <c r="H10"/>
  <c r="G10"/>
  <c r="F10"/>
  <c r="E10"/>
  <c r="D10"/>
  <c r="C10"/>
  <c r="B10"/>
  <c r="K9"/>
  <c r="J9"/>
  <c r="I9"/>
  <c r="H9"/>
  <c r="G9"/>
  <c r="F9"/>
  <c r="E9"/>
  <c r="D9"/>
  <c r="C9"/>
  <c r="B9"/>
  <c r="K164" i="1"/>
  <c r="J164"/>
  <c r="I164"/>
  <c r="H164"/>
  <c r="G164"/>
  <c r="F164"/>
  <c r="E164"/>
  <c r="D164"/>
  <c r="C164"/>
  <c r="B164"/>
  <c r="B163" i="31" s="1"/>
  <c r="K163" i="1"/>
  <c r="J163"/>
  <c r="I163"/>
  <c r="H163"/>
  <c r="G163"/>
  <c r="F163"/>
  <c r="E163"/>
  <c r="D163"/>
  <c r="C163"/>
  <c r="B163"/>
  <c r="K154"/>
  <c r="J154"/>
  <c r="I154"/>
  <c r="H154"/>
  <c r="G154"/>
  <c r="F154"/>
  <c r="E154"/>
  <c r="D154"/>
  <c r="C154"/>
  <c r="B154"/>
  <c r="B153" i="31" s="1"/>
  <c r="K153" i="1"/>
  <c r="J153"/>
  <c r="I153"/>
  <c r="H153"/>
  <c r="G153"/>
  <c r="F153"/>
  <c r="E153"/>
  <c r="D153"/>
  <c r="C153"/>
  <c r="B153"/>
  <c r="K144"/>
  <c r="J144"/>
  <c r="I144"/>
  <c r="H144"/>
  <c r="G144"/>
  <c r="F144"/>
  <c r="E144"/>
  <c r="D144"/>
  <c r="C144"/>
  <c r="B144"/>
  <c r="B143" i="31" s="1"/>
  <c r="K143" i="1"/>
  <c r="J143"/>
  <c r="I143"/>
  <c r="H143"/>
  <c r="G143"/>
  <c r="F143"/>
  <c r="E143"/>
  <c r="D143"/>
  <c r="C143"/>
  <c r="B143"/>
  <c r="K132"/>
  <c r="J132"/>
  <c r="I132"/>
  <c r="H132"/>
  <c r="G132"/>
  <c r="F132"/>
  <c r="E132"/>
  <c r="D132"/>
  <c r="C132"/>
  <c r="B132"/>
  <c r="K131"/>
  <c r="J131"/>
  <c r="I131"/>
  <c r="H131"/>
  <c r="G131"/>
  <c r="F131"/>
  <c r="E131"/>
  <c r="D131"/>
  <c r="C131"/>
  <c r="B131"/>
  <c r="K122"/>
  <c r="J122"/>
  <c r="I122"/>
  <c r="H122"/>
  <c r="G122"/>
  <c r="F122"/>
  <c r="E122"/>
  <c r="D122"/>
  <c r="C122"/>
  <c r="B122"/>
  <c r="K121"/>
  <c r="J121"/>
  <c r="I121"/>
  <c r="H121"/>
  <c r="G121"/>
  <c r="F121"/>
  <c r="E121"/>
  <c r="D121"/>
  <c r="C121"/>
  <c r="B121"/>
  <c r="K112"/>
  <c r="J112"/>
  <c r="I112"/>
  <c r="H112"/>
  <c r="G112"/>
  <c r="F112"/>
  <c r="E112"/>
  <c r="D112"/>
  <c r="C112"/>
  <c r="B112"/>
  <c r="K111"/>
  <c r="J111"/>
  <c r="I111"/>
  <c r="H111"/>
  <c r="G111"/>
  <c r="F111"/>
  <c r="E111"/>
  <c r="D111"/>
  <c r="C111"/>
  <c r="B111"/>
  <c r="K102"/>
  <c r="J102"/>
  <c r="I102"/>
  <c r="H102"/>
  <c r="G102"/>
  <c r="F102"/>
  <c r="E102"/>
  <c r="D102"/>
  <c r="C102"/>
  <c r="B102"/>
  <c r="K101"/>
  <c r="J101"/>
  <c r="I101"/>
  <c r="H101"/>
  <c r="G101"/>
  <c r="F101"/>
  <c r="E101"/>
  <c r="D101"/>
  <c r="C101"/>
  <c r="B101"/>
  <c r="K92"/>
  <c r="J92"/>
  <c r="I92"/>
  <c r="H92"/>
  <c r="G92"/>
  <c r="F92"/>
  <c r="E92"/>
  <c r="D92"/>
  <c r="C92"/>
  <c r="B92"/>
  <c r="K91"/>
  <c r="J91"/>
  <c r="I91"/>
  <c r="H91"/>
  <c r="G91"/>
  <c r="F91"/>
  <c r="E91"/>
  <c r="D91"/>
  <c r="C91"/>
  <c r="B91"/>
  <c r="K82"/>
  <c r="J82"/>
  <c r="I82"/>
  <c r="H82"/>
  <c r="G82"/>
  <c r="F82"/>
  <c r="E82"/>
  <c r="D82"/>
  <c r="C82"/>
  <c r="B82"/>
  <c r="K81"/>
  <c r="J81"/>
  <c r="I81"/>
  <c r="H81"/>
  <c r="G81"/>
  <c r="F81"/>
  <c r="E81"/>
  <c r="D81"/>
  <c r="C81"/>
  <c r="B81"/>
  <c r="K71"/>
  <c r="K72" s="1"/>
  <c r="J71"/>
  <c r="I71"/>
  <c r="H71"/>
  <c r="G71"/>
  <c r="F71"/>
  <c r="E71"/>
  <c r="D71"/>
  <c r="C71"/>
  <c r="B71"/>
  <c r="K70"/>
  <c r="J70"/>
  <c r="I70"/>
  <c r="H70"/>
  <c r="G70"/>
  <c r="F70"/>
  <c r="E70"/>
  <c r="D70"/>
  <c r="C70"/>
  <c r="B70"/>
  <c r="K61"/>
  <c r="J61"/>
  <c r="I61"/>
  <c r="H61"/>
  <c r="G61"/>
  <c r="F61"/>
  <c r="E61"/>
  <c r="D61"/>
  <c r="C61"/>
  <c r="B61"/>
  <c r="K60"/>
  <c r="J60"/>
  <c r="I60"/>
  <c r="H60"/>
  <c r="G60"/>
  <c r="F60"/>
  <c r="E60"/>
  <c r="D60"/>
  <c r="C60"/>
  <c r="B60"/>
  <c r="K51"/>
  <c r="J51"/>
  <c r="I51"/>
  <c r="H51"/>
  <c r="G51"/>
  <c r="F51"/>
  <c r="E51"/>
  <c r="D51"/>
  <c r="C51"/>
  <c r="B51"/>
  <c r="K50"/>
  <c r="J50"/>
  <c r="I50"/>
  <c r="H50"/>
  <c r="G50"/>
  <c r="F50"/>
  <c r="E50"/>
  <c r="D50"/>
  <c r="C50"/>
  <c r="B50"/>
  <c r="K41"/>
  <c r="J41"/>
  <c r="I41"/>
  <c r="H41"/>
  <c r="G41"/>
  <c r="F41"/>
  <c r="E41"/>
  <c r="D41"/>
  <c r="C41"/>
  <c r="B41"/>
  <c r="K40"/>
  <c r="J40"/>
  <c r="I40"/>
  <c r="H40"/>
  <c r="G40"/>
  <c r="F40"/>
  <c r="E40"/>
  <c r="D40"/>
  <c r="C40"/>
  <c r="B40"/>
  <c r="K31"/>
  <c r="J31"/>
  <c r="I31"/>
  <c r="H31"/>
  <c r="G31"/>
  <c r="F31"/>
  <c r="E31"/>
  <c r="D31"/>
  <c r="C31"/>
  <c r="B31"/>
  <c r="K30"/>
  <c r="J30"/>
  <c r="I30"/>
  <c r="H30"/>
  <c r="G30"/>
  <c r="F30"/>
  <c r="E30"/>
  <c r="D30"/>
  <c r="C30"/>
  <c r="B30"/>
  <c r="K21"/>
  <c r="K22" s="1"/>
  <c r="J21"/>
  <c r="J22" s="1"/>
  <c r="I21"/>
  <c r="I22" s="1"/>
  <c r="H21"/>
  <c r="H22" s="1"/>
  <c r="G21"/>
  <c r="G22" s="1"/>
  <c r="F21"/>
  <c r="F22" s="1"/>
  <c r="E21"/>
  <c r="E22" s="1"/>
  <c r="D21"/>
  <c r="D22" s="1"/>
  <c r="C21"/>
  <c r="C22" s="1"/>
  <c r="B21"/>
  <c r="K20"/>
  <c r="J20"/>
  <c r="I20"/>
  <c r="H20"/>
  <c r="G20"/>
  <c r="F20"/>
  <c r="E20"/>
  <c r="D20"/>
  <c r="C20"/>
  <c r="B20"/>
  <c r="B19" i="31" s="1"/>
  <c r="K10" i="1"/>
  <c r="J10"/>
  <c r="I10"/>
  <c r="H10"/>
  <c r="G10"/>
  <c r="F10"/>
  <c r="E10"/>
  <c r="D10"/>
  <c r="C10"/>
  <c r="B10"/>
  <c r="B10" i="31" s="1"/>
  <c r="F9" s="1"/>
  <c r="K9" i="1"/>
  <c r="J9"/>
  <c r="I9"/>
  <c r="H9"/>
  <c r="G9"/>
  <c r="F9"/>
  <c r="E9"/>
  <c r="D9"/>
  <c r="C9"/>
  <c r="B9"/>
  <c r="B9" i="31" s="1"/>
  <c r="F19" l="1"/>
  <c r="B22" i="1"/>
  <c r="B21" i="31" s="1"/>
  <c r="B20"/>
  <c r="F20"/>
  <c r="B142"/>
  <c r="B144"/>
  <c r="B152"/>
  <c r="B154"/>
  <c r="B162"/>
  <c r="B164"/>
  <c r="F29"/>
  <c r="F39"/>
  <c r="F49"/>
  <c r="F59"/>
  <c r="F69"/>
  <c r="B11"/>
</calcChain>
</file>

<file path=xl/connections.xml><?xml version="1.0" encoding="utf-8"?>
<connections xmlns="http://schemas.openxmlformats.org/spreadsheetml/2006/main">
  <connection id="1" name="10p.log" type="6" refreshedVersion="3" deleted="1" background="1" saveData="1">
    <textPr codePage="437" sourceFile="C:\cygwin\home\gkarvoun\EclipseWorkspace\sharq\experiments\outputs\tods\dbserv4\Xmas-rch-bug\scalabilityInt\2000\10p.log.csv" space="1" consecutive="1">
      <textFields count="3">
        <textField/>
        <textField/>
        <textField/>
      </textFields>
    </textPr>
  </connection>
  <connection id="2" name="10p.log1" type="6" refreshedVersion="3" deleted="1" background="1" saveData="1">
    <textPr codePage="437" sourceFile="C:\cygwin\home\gkarvoun\EclipseWorkspace\sharq\experiments\outputs\tods\dbserv4\Xmas-rch-bug\scalabilityInt\2000\10p.log.csv" space="1" consecutive="1">
      <textFields count="3">
        <textField/>
        <textField/>
        <textField/>
      </textFields>
    </textPr>
  </connection>
  <connection id="3" name="10p.log10" type="6" refreshedVersion="3" deleted="1" background="1" saveData="1">
    <textPr codePage="437" sourceFile="C:\cygwin\home\gkarvoun\EclipseWorkspace\sharq\experiments\outputs\tods\dbserv4\Xmas-rch-bug\scalabilityInt\2000\10p.log.csv" space="1" consecutive="1">
      <textFields count="3">
        <textField/>
        <textField/>
        <textField/>
      </textFields>
    </textPr>
  </connection>
  <connection id="4" name="10p.log1121" type="6" refreshedVersion="3" deleted="1" background="1" saveData="1">
    <textPr codePage="437" sourceFile="C:\cygwin\home\gkarvoun\EclipseWorkspace\sharq\experiments\outputs\tods\dbserv4\Xmas-rch-bug\scalabilityInt\2000\10p.log.csv" space="1" consecutive="1">
      <textFields count="3">
        <textField/>
        <textField/>
        <textField/>
      </textFields>
    </textPr>
  </connection>
  <connection id="5" name="10p.log113" type="6" refreshedVersion="3" deleted="1" background="1" saveData="1">
    <textPr codePage="437" sourceFile="C:\cygwin\home\gkarvoun\EclipseWorkspace\sharq\experiments\outputs\tods\dbserv4\Xmas-rch-bug\scalabilityInt\2000\10p.log.csv" space="1" consecutive="1">
      <textFields count="3">
        <textField/>
        <textField/>
        <textField/>
      </textFields>
    </textPr>
  </connection>
  <connection id="6" name="10p.log114" type="6" refreshedVersion="3" deleted="1" background="1" saveData="1">
    <textPr codePage="437" sourceFile="C:\cygwin\home\gkarvoun\EclipseWorkspace\sharq\experiments\outputs\tods\dbserv4\Xmas-rch-bug\scalabilityInt\2000\10p.log.csv" space="1" consecutive="1">
      <textFields count="3">
        <textField/>
        <textField/>
        <textField/>
      </textFields>
    </textPr>
  </connection>
  <connection id="7" name="10p.log1141" type="6" refreshedVersion="3" deleted="1" background="1" saveData="1">
    <textPr codePage="437" sourceFile="C:\cygwin\home\gkarvoun\EclipseWorkspace\sharq\experiments\outputs\tods\dbserv4\Xmas-rch-bug\scalabilityInt\2000\10p.log.csv" space="1" consecutive="1">
      <textFields count="3">
        <textField/>
        <textField/>
        <textField/>
      </textFields>
    </textPr>
  </connection>
  <connection id="8" name="10p.log12" type="6" refreshedVersion="3" deleted="1" background="1" saveData="1">
    <textPr codePage="437" sourceFile="C:\cygwin\home\gkarvoun\EclipseWorkspace\sharq\experiments\outputs\tods\dbserv4\Xmas-rch-bug\scalabilityInt\2000\10p.log.csv" space="1" consecutive="1">
      <textFields count="3">
        <textField/>
        <textField/>
        <textField/>
      </textFields>
    </textPr>
  </connection>
  <connection id="9" name="10p.log9" type="6" refreshedVersion="3" deleted="1" background="1" saveData="1">
    <textPr codePage="437" sourceFile="C:\cygwin\home\gkarvoun\EclipseWorkspace\sharq\experiments\outputs\tods\dbserv4\Xmas-rch-bug\scalabilityInt\2000\10p.log.csv" space="1" consecutive="1">
      <textFields count="3">
        <textField/>
        <textField/>
        <textField/>
      </textFields>
    </textPr>
  </connection>
  <connection id="10" name="20p.log" type="6" refreshedVersion="3" deleted="1" background="1" saveData="1">
    <textPr codePage="437" sourceFile="C:\cygwin\home\gkarvoun\EclipseWorkspace\sharq\experiments\outputs\tods\dbserv4\Xmas-rch-bug\scalabilityInt\2000\20p.log.csv" space="1" consecutive="1">
      <textFields count="3">
        <textField/>
        <textField/>
        <textField/>
      </textFields>
    </textPr>
  </connection>
  <connection id="11" name="20p.log1" type="6" refreshedVersion="3" deleted="1" background="1" saveData="1">
    <textPr codePage="437" sourceFile="C:\cygwin\home\gkarvoun\EclipseWorkspace\sharq\experiments\outputs\tods\dbserv4\Xmas-rch-bug\scalabilityInt\2000\20p.log.csv" space="1" consecutive="1">
      <textFields count="3">
        <textField/>
        <textField/>
        <textField/>
      </textFields>
    </textPr>
  </connection>
  <connection id="12" name="20p.log1121" type="6" refreshedVersion="3" deleted="1" background="1" saveData="1">
    <textPr codePage="437" sourceFile="C:\cygwin\home\gkarvoun\EclipseWorkspace\sharq\experiments\outputs\tods\dbserv4\Xmas-rch-bug\scalabilityInt\2000\20p.log.csv" space="1" consecutive="1">
      <textFields count="3">
        <textField/>
        <textField/>
        <textField/>
      </textFields>
    </textPr>
  </connection>
  <connection id="13" name="20p.log113" type="6" refreshedVersion="3" deleted="1" background="1" saveData="1">
    <textPr codePage="437" sourceFile="C:\cygwin\home\gkarvoun\EclipseWorkspace\sharq\experiments\outputs\tods\dbserv4\Xmas-rch-bug\scalabilityInt\2000\20p.log.csv" space="1" consecutive="1">
      <textFields count="3">
        <textField/>
        <textField/>
        <textField/>
      </textFields>
    </textPr>
  </connection>
  <connection id="14" name="20p.log114" type="6" refreshedVersion="3" deleted="1" background="1" saveData="1">
    <textPr codePage="437" sourceFile="C:\cygwin\home\gkarvoun\EclipseWorkspace\sharq\experiments\outputs\tods\dbserv4\Xmas-rch-bug\scalabilityInt\2000\20p.log.csv" space="1" consecutive="1">
      <textFields count="3">
        <textField/>
        <textField/>
        <textField/>
      </textFields>
    </textPr>
  </connection>
  <connection id="15" name="20p.log1141" type="6" refreshedVersion="3" deleted="1" background="1" saveData="1">
    <textPr codePage="437" sourceFile="C:\cygwin\home\gkarvoun\EclipseWorkspace\sharq\experiments\outputs\tods\dbserv4\Xmas-rch-bug\scalabilityInt\2000\20p.log.csv" space="1" consecutive="1">
      <textFields count="3">
        <textField/>
        <textField/>
        <textField/>
      </textFields>
    </textPr>
  </connection>
  <connection id="16" name="20p.log12" type="6" refreshedVersion="3" deleted="1" background="1" saveData="1">
    <textPr codePage="437" sourceFile="C:\cygwin\home\gkarvoun\EclipseWorkspace\sharq\experiments\outputs\tods\dbserv4\Xmas-rch-bug\scalabilityInt\2000\20p.log.csv" space="1" consecutive="1">
      <textFields count="3">
        <textField/>
        <textField/>
        <textField/>
      </textFields>
    </textPr>
  </connection>
  <connection id="17" name="20p.log5" type="6" refreshedVersion="3" deleted="1" background="1" saveData="1">
    <textPr codePage="437" sourceFile="C:\cygwin\home\gkarvoun\EclipseWorkspace\sharq\experiments\outputs\tods\dbserv4\Xmas-rch-bug\scalabilityInt\2000\20p.log.csv" space="1" consecutive="1">
      <textFields count="3">
        <textField/>
        <textField/>
        <textField/>
      </textFields>
    </textPr>
  </connection>
  <connection id="18" name="20p.log6" type="6" refreshedVersion="3" deleted="1" background="1" saveData="1">
    <textPr codePage="437" sourceFile="C:\cygwin\home\gkarvoun\EclipseWorkspace\sharq\experiments\outputs\tods\dbserv4\Xmas-rch-bug\scalabilityInt\2000\20p.log.csv" space="1" consecutive="1">
      <textFields count="3">
        <textField/>
        <textField/>
        <textField/>
      </textFields>
    </textPr>
  </connection>
  <connection id="19" name="30p.log" type="6" refreshedVersion="3" deleted="1" background="1" saveData="1">
    <textPr codePage="437" sourceFile="C:\cygwin\home\gkarvoun\EclipseWorkspace\sharq\experiments\outputs\tods\dbserv4\Xmas-rch-bug\scalabilityInt\2000\30p.log.csv" space="1" consecutive="1">
      <textFields count="3">
        <textField/>
        <textField/>
        <textField/>
      </textFields>
    </textPr>
  </connection>
  <connection id="20" name="30p.log1" type="6" refreshedVersion="3" deleted="1" background="1" saveData="1">
    <textPr codePage="437" sourceFile="C:\cygwin\home\gkarvoun\EclipseWorkspace\sharq\experiments\outputs\tods\dbserv4\Xmas-rch-bug\scalabilityInt\2000\30p.log.csv" space="1" consecutive="1">
      <textFields count="3">
        <textField/>
        <textField/>
        <textField/>
      </textFields>
    </textPr>
  </connection>
  <connection id="21" name="30p.log1121" type="6" refreshedVersion="3" deleted="1" background="1" saveData="1">
    <textPr codePage="437" sourceFile="C:\cygwin\home\gkarvoun\EclipseWorkspace\sharq\experiments\outputs\tods\dbserv4\Xmas-rch-bug\scalabilityInt\2000\30p.log.csv" space="1" consecutive="1">
      <textFields count="3">
        <textField/>
        <textField/>
        <textField/>
      </textFields>
    </textPr>
  </connection>
  <connection id="22" name="30p.log113" type="6" refreshedVersion="3" deleted="1" background="1" saveData="1">
    <textPr codePage="437" sourceFile="C:\cygwin\home\gkarvoun\EclipseWorkspace\sharq\experiments\outputs\tods\dbserv4\Xmas-rch-bug\scalabilityInt\2000\30p.log.csv" space="1" consecutive="1">
      <textFields count="3">
        <textField/>
        <textField/>
        <textField/>
      </textFields>
    </textPr>
  </connection>
  <connection id="23" name="30p.log114" type="6" refreshedVersion="3" deleted="1" background="1" saveData="1">
    <textPr codePage="437" sourceFile="C:\cygwin\home\gkarvoun\EclipseWorkspace\sharq\experiments\outputs\tods\dbserv4\Xmas-rch-bug\scalabilityInt\2000\30p.log.csv" space="1" consecutive="1">
      <textFields count="3">
        <textField/>
        <textField/>
        <textField/>
      </textFields>
    </textPr>
  </connection>
  <connection id="24" name="30p.log1141" type="6" refreshedVersion="3" deleted="1" background="1" saveData="1">
    <textPr codePage="437" sourceFile="C:\cygwin\home\gkarvoun\EclipseWorkspace\sharq\experiments\outputs\tods\dbserv4\Xmas-rch-bug\scalabilityInt\2000\30p.log.csv" space="1" consecutive="1">
      <textFields count="3">
        <textField/>
        <textField/>
        <textField/>
      </textFields>
    </textPr>
  </connection>
  <connection id="25" name="30p.log12" type="6" refreshedVersion="3" deleted="1" background="1" saveData="1">
    <textPr codePage="437" sourceFile="C:\cygwin\home\gkarvoun\EclipseWorkspace\sharq\experiments\outputs\tods\dbserv4\Xmas-rch-bug\scalabilityInt\2000\30p.log.csv" space="1" consecutive="1">
      <textFields count="3">
        <textField/>
        <textField/>
        <textField/>
      </textFields>
    </textPr>
  </connection>
  <connection id="26" name="30p.log3" type="6" refreshedVersion="3" deleted="1" background="1" saveData="1">
    <textPr codePage="437" sourceFile="C:\cygwin\home\gkarvoun\EclipseWorkspace\sharq\experiments\outputs\tods\dbserv4\Xmas-rch-bug\scalabilityInt\2000\30p.log.csv" space="1" consecutive="1">
      <textFields count="3">
        <textField/>
        <textField/>
        <textField/>
      </textFields>
    </textPr>
  </connection>
  <connection id="27" name="30p.log4" type="6" refreshedVersion="3" deleted="1" background="1" saveData="1">
    <textPr codePage="437" sourceFile="C:\cygwin\home\gkarvoun\EclipseWorkspace\sharq\experiments\outputs\tods\dbserv4\Xmas-rch-bug\scalabilityInt\2000\30p.log.csv" space="1" consecutive="1">
      <textFields count="3">
        <textField/>
        <textField/>
        <textField/>
      </textFields>
    </textPr>
  </connection>
  <connection id="28" name="40p.log" type="6" refreshedVersion="3" deleted="1" background="1" saveData="1">
    <textPr codePage="437" sourceFile="C:\cygwin\home\gkarvoun\EclipseWorkspace\sharq\experiments\outputs\tods\dbserv4\Xmas-rch-bug\scalabilityInt\2000\40p.log.csv" space="1" consecutive="1">
      <textFields count="3">
        <textField/>
        <textField/>
        <textField/>
      </textFields>
    </textPr>
  </connection>
  <connection id="29" name="40p.log1" type="6" refreshedVersion="3" deleted="1" background="1" saveData="1">
    <textPr codePage="437" sourceFile="C:\cygwin\home\gkarvoun\EclipseWorkspace\sharq\experiments\outputs\tods\dbserv4\Xmas-rch-bug\scalabilityInt\2000\40p.log.csv" space="1" consecutive="1">
      <textFields count="3">
        <textField/>
        <textField/>
        <textField/>
      </textFields>
    </textPr>
  </connection>
  <connection id="30" name="40p.log1121" type="6" refreshedVersion="3" deleted="1" background="1" saveData="1">
    <textPr codePage="437" sourceFile="C:\cygwin\home\gkarvoun\EclipseWorkspace\sharq\experiments\outputs\tods\dbserv4\Xmas-rch-bug\scalabilityInt\2000\40p.log.csv" space="1" consecutive="1">
      <textFields count="3">
        <textField/>
        <textField/>
        <textField/>
      </textFields>
    </textPr>
  </connection>
  <connection id="31" name="40p.log113" type="6" refreshedVersion="3" deleted="1" background="1" saveData="1">
    <textPr codePage="437" sourceFile="C:\cygwin\home\gkarvoun\EclipseWorkspace\sharq\experiments\outputs\tods\dbserv4\Xmas-rch-bug\scalabilityInt\2000\40p.log.csv" space="1" consecutive="1">
      <textFields count="3">
        <textField/>
        <textField/>
        <textField/>
      </textFields>
    </textPr>
  </connection>
  <connection id="32" name="40p.log114" type="6" refreshedVersion="3" deleted="1" background="1" saveData="1">
    <textPr codePage="437" sourceFile="C:\cygwin\home\gkarvoun\EclipseWorkspace\sharq\experiments\outputs\tods\dbserv4\Xmas-rch-bug\scalabilityInt\2000\40p.log.csv" space="1" consecutive="1">
      <textFields count="3">
        <textField/>
        <textField/>
        <textField/>
      </textFields>
    </textPr>
  </connection>
  <connection id="33" name="40p.log1141" type="6" refreshedVersion="3" deleted="1" background="1" saveData="1">
    <textPr codePage="437" sourceFile="C:\cygwin\home\gkarvoun\EclipseWorkspace\sharq\experiments\outputs\tods\dbserv4\Xmas-rch-bug\scalabilityInt\2000\40p.log.csv" space="1" consecutive="1">
      <textFields count="3">
        <textField/>
        <textField/>
        <textField/>
      </textFields>
    </textPr>
  </connection>
  <connection id="34" name="40p.log12" type="6" refreshedVersion="3" deleted="1" background="1" saveData="1">
    <textPr codePage="437" sourceFile="C:\cygwin\home\gkarvoun\EclipseWorkspace\sharq\experiments\outputs\tods\dbserv4\Xmas-rch-bug\scalabilityInt\2000\40p.log.csv" space="1" consecutive="1">
      <textFields count="3">
        <textField/>
        <textField/>
        <textField/>
      </textFields>
    </textPr>
  </connection>
  <connection id="35" name="40p.log2" type="6" refreshedVersion="3" deleted="1" background="1" saveData="1">
    <textPr codePage="437" sourceFile="C:\cygwin\home\gkarvoun\EclipseWorkspace\sharq\experiments\outputs\tods\dbserv4\Xmas-rch-bug\scalabilityInt\2000\40p.log.csv" space="1" consecutive="1">
      <textFields count="3">
        <textField/>
        <textField/>
        <textField/>
      </textFields>
    </textPr>
  </connection>
  <connection id="36" name="40p.log3" type="6" refreshedVersion="3" deleted="1" background="1" saveData="1">
    <textPr codePage="437" sourceFile="C:\cygwin\home\gkarvoun\EclipseWorkspace\sharq\experiments\outputs\tods\dbserv4\Xmas-rch-bug\scalabilityInt\2000\40p.log.csv" space="1" consecutive="1">
      <textFields count="3">
        <textField/>
        <textField/>
        <textField/>
      </textFields>
    </textPr>
  </connection>
  <connection id="37" name="50p.log" type="6" refreshedVersion="3" deleted="1" background="1" saveData="1">
    <textPr codePage="437" sourceFile="C:\cygwin\home\gkarvoun\EclipseWorkspace\sharq\experiments\outputs\tods\dbserv4\Xmas-rch-bug\scalabilityInt\2000\50p.log.csv" space="1" consecutive="1">
      <textFields count="3">
        <textField/>
        <textField/>
        <textField/>
      </textFields>
    </textPr>
  </connection>
  <connection id="38" name="50p.log1" type="6" refreshedVersion="3" deleted="1" background="1" saveData="1">
    <textPr codePage="437" sourceFile="C:\cygwin\home\gkarvoun\EclipseWorkspace\sharq\experiments\outputs\tods\dbserv4\Xmas-rch-bug\scalabilityInt\2000\50p.log.csv" space="1" consecutive="1">
      <textFields count="3">
        <textField/>
        <textField/>
        <textField/>
      </textFields>
    </textPr>
  </connection>
  <connection id="39" name="50p.log1121" type="6" refreshedVersion="3" deleted="1" background="1" saveData="1">
    <textPr codePage="437" sourceFile="C:\cygwin\home\gkarvoun\EclipseWorkspace\sharq\experiments\outputs\tods\dbserv4\Xmas-rch-bug\scalabilityInt\2000\50p.log.csv" space="1" consecutive="1">
      <textFields count="3">
        <textField/>
        <textField/>
        <textField/>
      </textFields>
    </textPr>
  </connection>
  <connection id="40" name="50p.log113" type="6" refreshedVersion="3" deleted="1" background="1" saveData="1">
    <textPr codePage="437" sourceFile="C:\cygwin\home\gkarvoun\EclipseWorkspace\sharq\experiments\outputs\tods\dbserv4\Xmas-rch-bug\scalabilityInt\2000\50p.log.csv" space="1" consecutive="1">
      <textFields count="3">
        <textField/>
        <textField/>
        <textField/>
      </textFields>
    </textPr>
  </connection>
  <connection id="41" name="50p.log114" type="6" refreshedVersion="3" deleted="1" background="1" saveData="1">
    <textPr codePage="437" sourceFile="C:\cygwin\home\gkarvoun\EclipseWorkspace\sharq\experiments\outputs\tods\dbserv4\Xmas-rch-bug\scalabilityInt\2000\50p.log.csv" space="1" consecutive="1">
      <textFields count="3">
        <textField/>
        <textField/>
        <textField/>
      </textFields>
    </textPr>
  </connection>
  <connection id="42" name="50p.log12" type="6" refreshedVersion="3" deleted="1" background="1" saveData="1">
    <textPr codePage="437" sourceFile="C:\cygwin\home\gkarvoun\EclipseWorkspace\sharq\experiments\outputs\tods\dbserv4\Xmas-rch-bug\scalabilityInt\2000\50p.log.csv" space="1" consecutive="1">
      <textFields count="3">
        <textField/>
        <textField/>
        <textField/>
      </textFields>
    </textPr>
  </connection>
  <connection id="43" name="50p.log2" type="6" refreshedVersion="3" deleted="1" background="1" saveData="1">
    <textPr codePage="437" sourceFile="C:\cygwin\home\gkarvoun\EclipseWorkspace\sharq\experiments\outputs\tods\dbserv4\Xmas-rch-bug\scalabilityInt\2000\50p.log.csv" space="1" consecutive="1">
      <textFields count="3">
        <textField/>
        <textField/>
        <textField/>
      </textFields>
    </textPr>
  </connection>
  <connection id="44" name="50p.log3" type="6" refreshedVersion="3" deleted="1" background="1" saveData="1">
    <textPr codePage="437" sourceFile="C:\cygwin\home\gkarvoun\EclipseWorkspace\sharq\experiments\outputs\tods\dbserv4\Xmas-rch-bug\scalabilityInt\2000\50p.log.csv" space="1" consecutive="1">
      <textFields count="3">
        <textField/>
        <textField/>
        <textField/>
      </textFields>
    </textPr>
  </connection>
  <connection id="45" name="60p.log" type="6" refreshedVersion="3" deleted="1" background="1" saveData="1">
    <textPr codePage="437" sourceFile="C:\cygwin\home\gkarvoun\EclipseWorkspace\sharq\experiments\outputs\tods\dbserv4\Xmas-rch-bug\scalabilityInt\2000\60p.log.csv" space="1" consecutive="1">
      <textFields count="3">
        <textField/>
        <textField/>
        <textField/>
      </textFields>
    </textPr>
  </connection>
  <connection id="46" name="60p.log1" type="6" refreshedVersion="3" deleted="1" background="1" saveData="1">
    <textPr codePage="437" sourceFile="C:\cygwin\home\gkarvoun\EclipseWorkspace\sharq\experiments\outputs\tods\dbserv4\Xmas-rch-bug\scalabilityInt\2000\60p.log.csv" space="1" consecutive="1">
      <textFields count="3">
        <textField/>
        <textField/>
        <textField/>
      </textFields>
    </textPr>
  </connection>
  <connection id="47" name="60p.log1121" type="6" refreshedVersion="3" deleted="1" background="1" saveData="1">
    <textPr codePage="437" sourceFile="C:\cygwin\home\gkarvoun\EclipseWorkspace\sharq\experiments\outputs\tods\dbserv4\Xmas-rch-bug\scalabilityInt\2000\60p.log.csv" space="1" consecutive="1">
      <textFields count="3">
        <textField/>
        <textField/>
        <textField/>
      </textFields>
    </textPr>
  </connection>
  <connection id="48" name="60p.log12" type="6" refreshedVersion="3" deleted="1" background="1" saveData="1">
    <textPr codePage="437" sourceFile="C:\cygwin\home\gkarvoun\EclipseWorkspace\sharq\experiments\outputs\tods\dbserv4\Xmas-rch-bug\scalabilityInt\2000\60p.log.csv" space="1" consecutive="1">
      <textFields count="3">
        <textField/>
        <textField/>
        <textField/>
      </textFields>
    </textPr>
  </connection>
  <connection id="49" name="60p.log2" type="6" refreshedVersion="3" deleted="1" background="1" saveData="1">
    <textPr codePage="437" sourceFile="C:\cygwin\home\gkarvoun\EclipseWorkspace\sharq\experiments\outputs\tods\dbserv4\Xmas-rch-bug\scalabilityInt\2000\60p.log.csv" space="1" consecutive="1">
      <textFields count="3">
        <textField/>
        <textField/>
        <textField/>
      </textFields>
    </textPr>
  </connection>
  <connection id="50" name="70p.log" type="6" refreshedVersion="3" deleted="1" background="1" saveData="1">
    <textPr codePage="437" sourceFile="C:\cygwin\home\gkarvoun\EclipseWorkspace\sharq\experiments\outputs\tods\dbserv4\Xmas-rch-bug\scalabilityInt\2000\70p.log.csv" space="1" consecutive="1">
      <textFields count="3">
        <textField/>
        <textField/>
        <textField/>
      </textFields>
    </textPr>
  </connection>
  <connection id="51" name="70p.log1" type="6" refreshedVersion="3" deleted="1" background="1" saveData="1">
    <textPr codePage="437" sourceFile="C:\cygwin\home\gkarvoun\EclipseWorkspace\sharq\experiments\outputs\tods\dbserv4\Xmas-rch-bug\scalabilityInt\2000\70p.log.csv" space="1" consecutive="1">
      <textFields count="3">
        <textField/>
        <textField/>
        <textField/>
      </textFields>
    </textPr>
  </connection>
  <connection id="52" name="70p.log1121" type="6" refreshedVersion="3" deleted="1" background="1" saveData="1">
    <textPr codePage="437" sourceFile="C:\cygwin\home\gkarvoun\EclipseWorkspace\sharq\experiments\outputs\tods\dbserv4\Xmas-rch-bug\scalabilityInt\2000\70p.log.csv" space="1" consecutive="1">
      <textFields count="3">
        <textField/>
        <textField/>
        <textField/>
      </textFields>
    </textPr>
  </connection>
  <connection id="53" name="70p.log113" type="6" refreshedVersion="3" deleted="1" background="1" saveData="1">
    <textPr codePage="437" sourceFile="C:\cygwin\home\gkarvoun\EclipseWorkspace\sharq\experiments\outputs\tods\dbserv4\Xmas-rch-bug\scalabilityInt\2000\70p.log.csv" space="1" consecutive="1">
      <textFields count="3">
        <textField/>
        <textField/>
        <textField/>
      </textFields>
    </textPr>
  </connection>
  <connection id="54" name="70p.log114" type="6" refreshedVersion="3" deleted="1" background="1" saveData="1">
    <textPr codePage="437" sourceFile="C:\cygwin\home\gkarvoun\EclipseWorkspace\sharq\experiments\outputs\tods\dbserv4\Xmas-rch-bug\scalabilityInt\2000\70p.log.csv" space="1" consecutive="1">
      <textFields count="3">
        <textField/>
        <textField/>
        <textField/>
      </textFields>
    </textPr>
  </connection>
  <connection id="55" name="70p.log1141" type="6" refreshedVersion="3" deleted="1" background="1" saveData="1">
    <textPr codePage="437" sourceFile="C:\cygwin\home\gkarvoun\EclipseWorkspace\sharq\experiments\outputs\tods\dbserv4\Xmas-rch-bug\scalabilityInt\2000\70p.log.csv" space="1" consecutive="1">
      <textFields count="3">
        <textField/>
        <textField/>
        <textField/>
      </textFields>
    </textPr>
  </connection>
  <connection id="56" name="70p.log12" type="6" refreshedVersion="3" deleted="1" background="1" saveData="1">
    <textPr codePage="437" sourceFile="C:\cygwin\home\gkarvoun\EclipseWorkspace\sharq\experiments\outputs\tods\dbserv4\Xmas-rch-bug\scalabilityInt\2000\70p.log.csv" space="1" consecutive="1">
      <textFields count="3">
        <textField/>
        <textField/>
        <textField/>
      </textFields>
    </textPr>
  </connection>
  <connection id="57" name="70p.log2" type="6" refreshedVersion="3" deleted="1" background="1" saveData="1">
    <textPr codePage="437" sourceFile="C:\cygwin\home\gkarvoun\EclipseWorkspace\sharq\experiments\outputs\tods\dbserv4\Xmas-rch-bug\scalabilityInt\2000\70p.log.csv" space="1" consecutive="1">
      <textFields count="3">
        <textField/>
        <textField/>
        <textField/>
      </textFields>
    </textPr>
  </connection>
  <connection id="58" name="70p.log3" type="6" refreshedVersion="3" deleted="1" background="1" saveData="1">
    <textPr codePage="437" sourceFile="C:\cygwin\home\gkarvoun\EclipseWorkspace\sharq\experiments\outputs\tods\dbserv4\Xmas-rch-bug\scalabilityInt\2000\70p.log.csv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<sst xmlns="http://schemas.openxmlformats.org/spreadsheetml/2006/main" count="772" uniqueCount="73">
  <si>
    <t>incremental deletions 1%</t>
  </si>
  <si>
    <t>incremental deletions 10%</t>
  </si>
  <si>
    <t>incremental deletions 50%</t>
  </si>
  <si>
    <t>incremental insertions 1%</t>
  </si>
  <si>
    <t>incremental insertions 10%</t>
  </si>
  <si>
    <t>incremental insertions 50%</t>
  </si>
  <si>
    <t>RUN 1</t>
  </si>
  <si>
    <t>RUN 2</t>
  </si>
  <si>
    <t>RUN 3</t>
  </si>
  <si>
    <t>RUN 4</t>
  </si>
  <si>
    <t>RUN 5</t>
  </si>
  <si>
    <t>AVG</t>
  </si>
  <si>
    <t>#peers</t>
  </si>
  <si>
    <t>STDEV</t>
  </si>
  <si>
    <t>CONFIDENCE</t>
  </si>
  <si>
    <t>sec</t>
  </si>
  <si>
    <t>scalabilityInt - tuples/peer:</t>
  </si>
  <si>
    <t>scalabilityStr - tuples/peer:</t>
  </si>
  <si>
    <t>#tuples</t>
  </si>
  <si>
    <t>scalabilityInt - vs #peers:</t>
  </si>
  <si>
    <t>2k</t>
  </si>
  <si>
    <t>4k</t>
  </si>
  <si>
    <t>6k</t>
  </si>
  <si>
    <t>8k</t>
  </si>
  <si>
    <t>10k</t>
  </si>
  <si>
    <t>non-incremental deletions 1%</t>
  </si>
  <si>
    <t>non-incremental deletions 10%</t>
  </si>
  <si>
    <t>non-incremental deletions 50%</t>
  </si>
  <si>
    <t>non-incremental insertions 1%</t>
  </si>
  <si>
    <t>non-incremental insertions 10%</t>
  </si>
  <si>
    <t>non-incremental insertions 50%</t>
  </si>
  <si>
    <t>------------------------------------------------------------------------------------------------------------------------------------------------------------------------------</t>
  </si>
  <si>
    <t>DRed deletions 1%</t>
  </si>
  <si>
    <t>DRed deletions 10%</t>
  </si>
  <si>
    <t>DRed deletions 50%</t>
  </si>
  <si>
    <t>------------------------------------------------------------------------------------------------------------------------</t>
  </si>
  <si>
    <t>(in solution)</t>
  </si>
  <si>
    <t>incremental deletions</t>
  </si>
  <si>
    <t>#peers:</t>
  </si>
  <si>
    <t>non-incremental deletions</t>
  </si>
  <si>
    <t>DRed deletions</t>
  </si>
  <si>
    <t>Unidirectional - time to join</t>
  </si>
  <si>
    <t>Bidirectional - time to join</t>
  </si>
  <si>
    <t>K</t>
  </si>
  <si>
    <t>Side effecting 1% - propagate forward</t>
  </si>
  <si>
    <t>Side effect free 1% - propagate forward</t>
  </si>
  <si>
    <t>Side effecting 10% - propagate forward</t>
  </si>
  <si>
    <t>Side effecting 50% - propagate backwards</t>
  </si>
  <si>
    <t>Side effecting 50% - propagate forward</t>
  </si>
  <si>
    <t>Side effect free 50% - propagate forward</t>
  </si>
  <si>
    <t>Side effect free 50% - propagate backwards</t>
  </si>
  <si>
    <t>Side effect free 10% - propagate forward</t>
  </si>
  <si>
    <t>Side effecting 1% - total time</t>
  </si>
  <si>
    <t>mappings/peer</t>
  </si>
  <si>
    <t>---------------------------------------------------------------------------------------------------------------------------</t>
  </si>
  <si>
    <t>tuples/peer:</t>
  </si>
  <si>
    <t>time to join</t>
  </si>
  <si>
    <t>Should rerun if we want these - the numbers below are inexplicably slow …</t>
  </si>
  <si>
    <t>instance size</t>
  </si>
  <si>
    <t>Unidirectional - instance size</t>
  </si>
  <si>
    <t>Bidirectional - instance size</t>
  </si>
  <si>
    <t>Side effecting 1% - update policy</t>
  </si>
  <si>
    <t>Side effect free 1% - update policy and s.e. detection</t>
  </si>
  <si>
    <t>Side effect free 1% - total</t>
  </si>
  <si>
    <t>Side effect free 10% - total</t>
  </si>
  <si>
    <t>Side effect free 50% - total</t>
  </si>
  <si>
    <t>Side effecting 50% - total</t>
  </si>
  <si>
    <t>Side effecting 10% - total</t>
  </si>
  <si>
    <t>Side effecting 10% - update policy</t>
  </si>
  <si>
    <t>Side effect free 10% - update policy and s.e. detection</t>
  </si>
  <si>
    <t>fan-in/fan-out: 1</t>
  </si>
  <si>
    <t>fan-in/fan-out: 2</t>
  </si>
  <si>
    <t>fan-in/fan-out: 3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</si>
</sst>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5.xml"/><Relationship Id="rId13" Type="http://schemas.openxmlformats.org/officeDocument/2006/relationships/worksheet" Target="worksheets/sheet6.xml"/><Relationship Id="rId18" Type="http://schemas.openxmlformats.org/officeDocument/2006/relationships/chartsheet" Target="chartsheets/sheet10.xml"/><Relationship Id="rId26" Type="http://schemas.openxmlformats.org/officeDocument/2006/relationships/chartsheet" Target="chartsheets/sheet16.xml"/><Relationship Id="rId3" Type="http://schemas.openxmlformats.org/officeDocument/2006/relationships/chartsheet" Target="chartsheets/sheet2.xml"/><Relationship Id="rId21" Type="http://schemas.openxmlformats.org/officeDocument/2006/relationships/worksheet" Target="worksheets/sheet10.xml"/><Relationship Id="rId34" Type="http://schemas.openxmlformats.org/officeDocument/2006/relationships/sharedStrings" Target="sharedStrings.xml"/><Relationship Id="rId7" Type="http://schemas.openxmlformats.org/officeDocument/2006/relationships/chartsheet" Target="chartsheets/sheet4.xml"/><Relationship Id="rId12" Type="http://schemas.openxmlformats.org/officeDocument/2006/relationships/chartsheet" Target="chartsheets/sheet7.xml"/><Relationship Id="rId17" Type="http://schemas.openxmlformats.org/officeDocument/2006/relationships/worksheet" Target="worksheets/sheet8.xml"/><Relationship Id="rId25" Type="http://schemas.openxmlformats.org/officeDocument/2006/relationships/chartsheet" Target="chartsheets/sheet15.xml"/><Relationship Id="rId33" Type="http://schemas.openxmlformats.org/officeDocument/2006/relationships/styles" Target="styles.xml"/><Relationship Id="rId2" Type="http://schemas.openxmlformats.org/officeDocument/2006/relationships/chartsheet" Target="chartsheets/sheet1.xml"/><Relationship Id="rId16" Type="http://schemas.openxmlformats.org/officeDocument/2006/relationships/chartsheet" Target="chartsheets/sheet9.xml"/><Relationship Id="rId20" Type="http://schemas.openxmlformats.org/officeDocument/2006/relationships/chartsheet" Target="chartsheets/sheet11.xml"/><Relationship Id="rId29" Type="http://schemas.openxmlformats.org/officeDocument/2006/relationships/chartsheet" Target="chartsheets/sheet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3.xml"/><Relationship Id="rId11" Type="http://schemas.openxmlformats.org/officeDocument/2006/relationships/worksheet" Target="worksheets/sheet5.xml"/><Relationship Id="rId24" Type="http://schemas.openxmlformats.org/officeDocument/2006/relationships/chartsheet" Target="chartsheets/sheet14.xml"/><Relationship Id="rId32" Type="http://schemas.openxmlformats.org/officeDocument/2006/relationships/connections" Target="connections.xml"/><Relationship Id="rId5" Type="http://schemas.openxmlformats.org/officeDocument/2006/relationships/chartsheet" Target="chartsheets/sheet3.xml"/><Relationship Id="rId15" Type="http://schemas.openxmlformats.org/officeDocument/2006/relationships/worksheet" Target="worksheets/sheet7.xml"/><Relationship Id="rId23" Type="http://schemas.openxmlformats.org/officeDocument/2006/relationships/chartsheet" Target="chartsheets/sheet13.xml"/><Relationship Id="rId28" Type="http://schemas.openxmlformats.org/officeDocument/2006/relationships/chartsheet" Target="chartsheets/sheet18.xml"/><Relationship Id="rId10" Type="http://schemas.openxmlformats.org/officeDocument/2006/relationships/chartsheet" Target="chartsheets/sheet6.xml"/><Relationship Id="rId19" Type="http://schemas.openxmlformats.org/officeDocument/2006/relationships/worksheet" Target="worksheets/sheet9.xml"/><Relationship Id="rId31" Type="http://schemas.openxmlformats.org/officeDocument/2006/relationships/theme" Target="theme/theme1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4.xml"/><Relationship Id="rId14" Type="http://schemas.openxmlformats.org/officeDocument/2006/relationships/chartsheet" Target="chartsheets/sheet8.xml"/><Relationship Id="rId22" Type="http://schemas.openxmlformats.org/officeDocument/2006/relationships/chartsheet" Target="chartsheets/sheet12.xml"/><Relationship Id="rId27" Type="http://schemas.openxmlformats.org/officeDocument/2006/relationships/chartsheet" Target="chartsheets/sheet17.xml"/><Relationship Id="rId30" Type="http://schemas.openxmlformats.org/officeDocument/2006/relationships/chartsheet" Target="chartsheets/sheet20.xml"/><Relationship Id="rId35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6023738872403573"/>
          <c:y val="2.9014349231472596E-2"/>
          <c:w val="0.65545664358720734"/>
          <c:h val="0.80034649904953381"/>
        </c:manualLayout>
      </c:layout>
      <c:lineChart>
        <c:grouping val="standard"/>
        <c:ser>
          <c:idx val="0"/>
          <c:order val="0"/>
          <c:tx>
            <c:strRef>
              <c:f>'int - 2k'!$A$3</c:f>
              <c:strCache>
                <c:ptCount val="1"/>
                <c:pt idx="0">
                  <c:v>time to join</c:v>
                </c:pt>
              </c:strCache>
            </c:strRef>
          </c:tx>
          <c:spPr>
            <a:ln w="38100"/>
          </c:spPr>
          <c:marker>
            <c:symbol val="circle"/>
            <c:size val="15"/>
            <c:spPr>
              <a:solidFill>
                <a:schemeClr val="accent1"/>
              </a:solidFill>
            </c:spPr>
          </c:marker>
          <c:errBars>
            <c:errDir val="y"/>
            <c:errBarType val="both"/>
            <c:errValType val="cust"/>
            <c:plus>
              <c:numRef>
                <c:f>('int - 2k'!$C$11,'int - 2k'!$E$11,'int - 2k'!$G$11,'int - 2k'!$I$11,'int - 2k'!$K$11)</c:f>
                <c:numCache>
                  <c:formatCode>General</c:formatCode>
                  <c:ptCount val="5"/>
                  <c:pt idx="0">
                    <c:v>0.68304927640974888</c:v>
                  </c:pt>
                  <c:pt idx="1">
                    <c:v>1.9557217651998022</c:v>
                  </c:pt>
                  <c:pt idx="2">
                    <c:v>2.6239381632516303</c:v>
                  </c:pt>
                  <c:pt idx="3">
                    <c:v>22.731124349474445</c:v>
                  </c:pt>
                  <c:pt idx="4">
                    <c:v>46.514646100144567</c:v>
                  </c:pt>
                </c:numCache>
              </c:numRef>
            </c:plus>
            <c:minus>
              <c:numRef>
                <c:f>('int - 2k'!$C$11,'int - 2k'!$E$11,'int - 2k'!$G$11,'int - 2k'!$I$11,'int - 2k'!$K$11)</c:f>
                <c:numCache>
                  <c:formatCode>General</c:formatCode>
                  <c:ptCount val="5"/>
                  <c:pt idx="0">
                    <c:v>0.68304927640974888</c:v>
                  </c:pt>
                  <c:pt idx="1">
                    <c:v>1.9557217651998022</c:v>
                  </c:pt>
                  <c:pt idx="2">
                    <c:v>2.6239381632516303</c:v>
                  </c:pt>
                  <c:pt idx="3">
                    <c:v>22.731124349474445</c:v>
                  </c:pt>
                  <c:pt idx="4">
                    <c:v>46.514646100144567</c:v>
                  </c:pt>
                </c:numCache>
              </c:numRef>
            </c:minus>
          </c:errBars>
          <c:cat>
            <c:numRef>
              <c:f>('int - 2k'!$C$2,'int - 2k'!$E$2,'int - 2k'!$G$2,'int - 2k'!$I$2,'int - 2k'!$K$2)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</c:numCache>
            </c:numRef>
          </c:cat>
          <c:val>
            <c:numRef>
              <c:f>('int - 2k'!$C$9,'int - 2k'!$E$9,'int - 2k'!$G$9,'int - 2k'!$I$9,'int - 2k'!$K$9)</c:f>
              <c:numCache>
                <c:formatCode>General</c:formatCode>
                <c:ptCount val="5"/>
                <c:pt idx="0">
                  <c:v>24.09675</c:v>
                </c:pt>
                <c:pt idx="1">
                  <c:v>72.291749999999993</c:v>
                </c:pt>
                <c:pt idx="2">
                  <c:v>104.72175</c:v>
                </c:pt>
                <c:pt idx="3">
                  <c:v>277.97050000000002</c:v>
                </c:pt>
                <c:pt idx="4">
                  <c:v>804.55200000000002</c:v>
                </c:pt>
              </c:numCache>
            </c:numRef>
          </c:val>
        </c:ser>
        <c:marker val="1"/>
        <c:axId val="71987968"/>
        <c:axId val="71990656"/>
      </c:lineChart>
      <c:lineChart>
        <c:grouping val="standard"/>
        <c:ser>
          <c:idx val="3"/>
          <c:order val="1"/>
          <c:tx>
            <c:strRef>
              <c:f>'int - 2k'!$A$12</c:f>
              <c:strCache>
                <c:ptCount val="1"/>
                <c:pt idx="0">
                  <c:v>instance size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square"/>
            <c:size val="15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cat>
            <c:numRef>
              <c:f>('int - 2k'!$C$2,'int - 2k'!$E$2,'int - 2k'!$G$2,'int - 2k'!$I$2,'int - 2k'!$K$2)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</c:numCache>
            </c:numRef>
          </c:cat>
          <c:val>
            <c:numRef>
              <c:f>('int - 2k'!$C$12,'int - 2k'!$E$12,'int - 2k'!$G$12,'int - 2k'!$I$12,'int - 2k'!$K$12)</c:f>
              <c:numCache>
                <c:formatCode>General</c:formatCode>
                <c:ptCount val="5"/>
                <c:pt idx="0">
                  <c:v>562</c:v>
                </c:pt>
                <c:pt idx="1">
                  <c:v>1352</c:v>
                </c:pt>
                <c:pt idx="2">
                  <c:v>1770</c:v>
                </c:pt>
                <c:pt idx="3">
                  <c:v>2800</c:v>
                </c:pt>
                <c:pt idx="4">
                  <c:v>3890</c:v>
                </c:pt>
              </c:numCache>
            </c:numRef>
          </c:val>
        </c:ser>
        <c:marker val="1"/>
        <c:axId val="72006656"/>
        <c:axId val="72005120"/>
      </c:lineChart>
      <c:catAx>
        <c:axId val="719879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 b="1">
                    <a:latin typeface="+mn-lt"/>
                  </a:rPr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88490125591"/>
              <c:y val="0.924488472757314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1990656"/>
        <c:crosses val="autoZero"/>
        <c:auto val="1"/>
        <c:lblAlgn val="ctr"/>
        <c:lblOffset val="100"/>
        <c:tickLblSkip val="1"/>
        <c:tickMarkSkip val="1"/>
      </c:catAx>
      <c:valAx>
        <c:axId val="71990656"/>
        <c:scaling>
          <c:orientation val="minMax"/>
          <c:max val="1000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 b="1">
                    <a:latin typeface="+mn-lt"/>
                  </a:rPr>
                  <a:t>Time</a:t>
                </a:r>
                <a:r>
                  <a:rPr lang="en-US" sz="3000" b="1">
                    <a:latin typeface="+mn-lt"/>
                  </a:rPr>
                  <a:t> (sec)</a:t>
                </a:r>
              </a:p>
            </c:rich>
          </c:tx>
          <c:layout>
            <c:manualLayout>
              <c:xMode val="edge"/>
              <c:yMode val="edge"/>
              <c:x val="5.2753049785690736E-3"/>
              <c:y val="0.339481774264383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1987968"/>
        <c:crosses val="autoZero"/>
        <c:crossBetween val="between"/>
        <c:majorUnit val="200"/>
      </c:valAx>
      <c:valAx>
        <c:axId val="72005120"/>
        <c:scaling>
          <c:orientation val="minMax"/>
          <c:max val="4500"/>
          <c:min val="0"/>
        </c:scaling>
        <c:axPos val="r"/>
        <c:numFmt formatCode="General" sourceLinked="1"/>
        <c:tickLblPos val="nextTo"/>
        <c:spPr>
          <a:ln w="3175">
            <a:solidFill>
              <a:schemeClr val="tx1"/>
            </a:solidFill>
          </a:ln>
        </c:spPr>
        <c:txPr>
          <a:bodyPr/>
          <a:lstStyle/>
          <a:p>
            <a:pPr>
              <a:defRPr sz="2800" b="1">
                <a:latin typeface="+mn-lt"/>
              </a:defRPr>
            </a:pPr>
            <a:endParaRPr lang="en-US"/>
          </a:p>
        </c:txPr>
        <c:crossAx val="72006656"/>
        <c:crosses val="max"/>
        <c:crossBetween val="between"/>
        <c:majorUnit val="1000"/>
      </c:valAx>
      <c:catAx>
        <c:axId val="72006656"/>
        <c:scaling>
          <c:orientation val="minMax"/>
        </c:scaling>
        <c:delete val="1"/>
        <c:axPos val="b"/>
        <c:numFmt formatCode="General" sourceLinked="1"/>
        <c:tickLblPos val="nextTo"/>
        <c:crossAx val="72005120"/>
        <c:crosses val="autoZero"/>
        <c:auto val="1"/>
        <c:lblAlgn val="ctr"/>
        <c:lblOffset val="100"/>
      </c:cat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2.7159091788565199E-2"/>
          <c:y val="7.0267896354852897E-3"/>
          <c:w val="0.91146563779160639"/>
          <c:h val="0.13526937894857857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4722996220607601"/>
          <c:y val="2.9641857190595308E-2"/>
          <c:w val="0.85117560504768708"/>
          <c:h val="0.80304734466906103"/>
        </c:manualLayout>
      </c:layout>
      <c:lineChart>
        <c:grouping val="standard"/>
        <c:ser>
          <c:idx val="0"/>
          <c:order val="0"/>
          <c:tx>
            <c:strRef>
              <c:f>'int - 2k'!$A$3</c:f>
              <c:strCache>
                <c:ptCount val="1"/>
                <c:pt idx="0">
                  <c:v>time to join</c:v>
                </c:pt>
              </c:strCache>
            </c:strRef>
          </c:tx>
          <c:spPr>
            <a:ln w="38100"/>
          </c:spPr>
          <c:marker>
            <c:symbol val="circle"/>
            <c:size val="15"/>
            <c:spPr>
              <a:solidFill>
                <a:srgbClr val="4F81BD"/>
              </a:solidFill>
            </c:spPr>
          </c:marker>
          <c:errBars>
            <c:errDir val="y"/>
            <c:errBarType val="both"/>
            <c:errValType val="cust"/>
            <c:plus>
              <c:numRef>
                <c:f>'int - 2k'!$B$11:$K$11</c:f>
                <c:numCache>
                  <c:formatCode>General</c:formatCode>
                  <c:ptCount val="10"/>
                  <c:pt idx="0">
                    <c:v>0.38362901831766727</c:v>
                  </c:pt>
                  <c:pt idx="1">
                    <c:v>0.68304927640974888</c:v>
                  </c:pt>
                  <c:pt idx="2">
                    <c:v>1.2207327487299522</c:v>
                  </c:pt>
                  <c:pt idx="3">
                    <c:v>1.9557217651998022</c:v>
                  </c:pt>
                  <c:pt idx="4">
                    <c:v>1.8890372945539262</c:v>
                  </c:pt>
                  <c:pt idx="5">
                    <c:v>2.6239381632516303</c:v>
                  </c:pt>
                  <c:pt idx="6">
                    <c:v>5.407289368152969</c:v>
                  </c:pt>
                  <c:pt idx="7">
                    <c:v>22.731124349474445</c:v>
                  </c:pt>
                  <c:pt idx="8">
                    <c:v>17.938744478416446</c:v>
                  </c:pt>
                  <c:pt idx="9">
                    <c:v>46.514646100144567</c:v>
                  </c:pt>
                </c:numCache>
              </c:numRef>
            </c:plus>
            <c:minus>
              <c:numRef>
                <c:f>'int - 2k'!$B$11:$K$11</c:f>
                <c:numCache>
                  <c:formatCode>General</c:formatCode>
                  <c:ptCount val="10"/>
                  <c:pt idx="0">
                    <c:v>0.38362901831766727</c:v>
                  </c:pt>
                  <c:pt idx="1">
                    <c:v>0.68304927640974888</c:v>
                  </c:pt>
                  <c:pt idx="2">
                    <c:v>1.2207327487299522</c:v>
                  </c:pt>
                  <c:pt idx="3">
                    <c:v>1.9557217651998022</c:v>
                  </c:pt>
                  <c:pt idx="4">
                    <c:v>1.8890372945539262</c:v>
                  </c:pt>
                  <c:pt idx="5">
                    <c:v>2.6239381632516303</c:v>
                  </c:pt>
                  <c:pt idx="6">
                    <c:v>5.407289368152969</c:v>
                  </c:pt>
                  <c:pt idx="7">
                    <c:v>22.731124349474445</c:v>
                  </c:pt>
                  <c:pt idx="8">
                    <c:v>17.938744478416446</c:v>
                  </c:pt>
                  <c:pt idx="9">
                    <c:v>46.514646100144567</c:v>
                  </c:pt>
                </c:numCache>
              </c:numRef>
            </c:minus>
          </c:errBars>
          <c:cat>
            <c:numRef>
              <c:f>('int - 2k'!$C$2,'int - 2k'!$E$2,'int - 2k'!$G$2,'int - 2k'!$I$2,'int - 2k'!$K$2)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</c:numCache>
            </c:numRef>
          </c:cat>
          <c:val>
            <c:numRef>
              <c:f>('int - 2k'!$C$9,'int - 2k'!$E$9,'int - 2k'!$G$9,'int - 2k'!$I$9,'int - 2k'!$K$9)</c:f>
              <c:numCache>
                <c:formatCode>General</c:formatCode>
                <c:ptCount val="5"/>
                <c:pt idx="0">
                  <c:v>24.09675</c:v>
                </c:pt>
                <c:pt idx="1">
                  <c:v>72.291749999999993</c:v>
                </c:pt>
                <c:pt idx="2">
                  <c:v>104.72175</c:v>
                </c:pt>
                <c:pt idx="3">
                  <c:v>277.97050000000002</c:v>
                </c:pt>
                <c:pt idx="4">
                  <c:v>804.55200000000002</c:v>
                </c:pt>
              </c:numCache>
            </c:numRef>
          </c:val>
        </c:ser>
        <c:ser>
          <c:idx val="1"/>
          <c:order val="1"/>
          <c:tx>
            <c:strRef>
              <c:f>'int - 2k'!$A$14</c:f>
              <c:strCache>
                <c:ptCount val="1"/>
                <c:pt idx="0">
                  <c:v>incremental deletions 1%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5"/>
            <c:spPr>
              <a:noFill/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numRef>
              <c:f>('int - 2k'!$C$2,'int - 2k'!$E$2,'int - 2k'!$G$2,'int - 2k'!$I$2,'int - 2k'!$K$2)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</c:numCache>
            </c:numRef>
          </c:cat>
          <c:val>
            <c:numRef>
              <c:f>('int - 2k'!$C$20,'int - 2k'!$E$20,'int - 2k'!$G$20,'int - 2k'!$I$20,'int - 2k'!$K$20)</c:f>
              <c:numCache>
                <c:formatCode>General</c:formatCode>
                <c:ptCount val="5"/>
                <c:pt idx="0">
                  <c:v>2.5935000000000001</c:v>
                </c:pt>
                <c:pt idx="1">
                  <c:v>7.6677499999999998</c:v>
                </c:pt>
                <c:pt idx="2">
                  <c:v>12.808</c:v>
                </c:pt>
                <c:pt idx="3">
                  <c:v>32.569249999999997</c:v>
                </c:pt>
                <c:pt idx="4">
                  <c:v>69.077749999999995</c:v>
                </c:pt>
              </c:numCache>
            </c:numRef>
          </c:val>
        </c:ser>
        <c:ser>
          <c:idx val="2"/>
          <c:order val="2"/>
          <c:tx>
            <c:strRef>
              <c:f>'int - 2k'!$A$24</c:f>
              <c:strCache>
                <c:ptCount val="1"/>
                <c:pt idx="0">
                  <c:v>incremental deletions 10%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diamond"/>
            <c:size val="18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('int - 2k'!$C$32,'int - 2k'!$E$32,'int - 2k'!$G$32,'int - 2k'!$I$32,'int - 2k'!$K$32)</c:f>
                <c:numCache>
                  <c:formatCode>General</c:formatCode>
                  <c:ptCount val="5"/>
                  <c:pt idx="0">
                    <c:v>0.42200901166384669</c:v>
                  </c:pt>
                  <c:pt idx="1">
                    <c:v>0.11561362214272297</c:v>
                  </c:pt>
                  <c:pt idx="2">
                    <c:v>0.29610048459858179</c:v>
                  </c:pt>
                  <c:pt idx="3">
                    <c:v>11.096059212674175</c:v>
                  </c:pt>
                  <c:pt idx="4">
                    <c:v>11.075079409950105</c:v>
                  </c:pt>
                </c:numCache>
              </c:numRef>
            </c:plus>
            <c:minus>
              <c:numRef>
                <c:f>('int - 2k'!$C$32,'int - 2k'!$E$32,'int - 2k'!$G$32,'int - 2k'!$I$32,'int - 2k'!$K$32)</c:f>
                <c:numCache>
                  <c:formatCode>General</c:formatCode>
                  <c:ptCount val="5"/>
                  <c:pt idx="0">
                    <c:v>0.42200901166384669</c:v>
                  </c:pt>
                  <c:pt idx="1">
                    <c:v>0.11561362214272297</c:v>
                  </c:pt>
                  <c:pt idx="2">
                    <c:v>0.29610048459858179</c:v>
                  </c:pt>
                  <c:pt idx="3">
                    <c:v>11.096059212674175</c:v>
                  </c:pt>
                  <c:pt idx="4">
                    <c:v>11.075079409950105</c:v>
                  </c:pt>
                </c:numCache>
              </c:numRef>
            </c:minus>
          </c:errBars>
          <c:cat>
            <c:numRef>
              <c:f>('int - 2k'!$C$2,'int - 2k'!$E$2,'int - 2k'!$G$2,'int - 2k'!$I$2,'int - 2k'!$K$2)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</c:numCache>
            </c:numRef>
          </c:cat>
          <c:val>
            <c:numRef>
              <c:f>('int - 2k'!$C$30,'int - 2k'!$E$30,'int - 2k'!$G$30,'int - 2k'!$I$30,'int - 2k'!$K$30)</c:f>
              <c:numCache>
                <c:formatCode>General</c:formatCode>
                <c:ptCount val="5"/>
                <c:pt idx="0">
                  <c:v>4.85175</c:v>
                </c:pt>
                <c:pt idx="1">
                  <c:v>13.973750000000001</c:v>
                </c:pt>
                <c:pt idx="2">
                  <c:v>20.518249999999998</c:v>
                </c:pt>
                <c:pt idx="3">
                  <c:v>71.242249999999999</c:v>
                </c:pt>
                <c:pt idx="4">
                  <c:v>117.4705</c:v>
                </c:pt>
              </c:numCache>
            </c:numRef>
          </c:val>
        </c:ser>
        <c:ser>
          <c:idx val="3"/>
          <c:order val="3"/>
          <c:tx>
            <c:strRef>
              <c:f>'int - 2k'!$A$34</c:f>
              <c:strCache>
                <c:ptCount val="1"/>
                <c:pt idx="0">
                  <c:v>incremental deletions 50%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square"/>
            <c:size val="15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('int - 2k'!$C$42,'int - 2k'!$E$42,'int - 2k'!$G$42,'int - 2k'!$I$42,'int - 2k'!$K$42)</c:f>
                <c:numCache>
                  <c:formatCode>General</c:formatCode>
                  <c:ptCount val="5"/>
                  <c:pt idx="0">
                    <c:v>8.3538737228129184E-2</c:v>
                  </c:pt>
                  <c:pt idx="1">
                    <c:v>0.30860804598107627</c:v>
                  </c:pt>
                  <c:pt idx="2">
                    <c:v>9.3264828416583487</c:v>
                  </c:pt>
                  <c:pt idx="3">
                    <c:v>4.4878046202170978</c:v>
                  </c:pt>
                  <c:pt idx="4">
                    <c:v>7.2861029044035313</c:v>
                  </c:pt>
                </c:numCache>
              </c:numRef>
            </c:plus>
            <c:minus>
              <c:numRef>
                <c:f>('int - 2k'!$C$42,'int - 2k'!$E$42,'int - 2k'!$G$42,'int - 2k'!$I$42,'int - 2k'!$K$42)</c:f>
                <c:numCache>
                  <c:formatCode>General</c:formatCode>
                  <c:ptCount val="5"/>
                  <c:pt idx="0">
                    <c:v>8.3538737228129184E-2</c:v>
                  </c:pt>
                  <c:pt idx="1">
                    <c:v>0.30860804598107627</c:v>
                  </c:pt>
                  <c:pt idx="2">
                    <c:v>9.3264828416583487</c:v>
                  </c:pt>
                  <c:pt idx="3">
                    <c:v>4.4878046202170978</c:v>
                  </c:pt>
                  <c:pt idx="4">
                    <c:v>7.2861029044035313</c:v>
                  </c:pt>
                </c:numCache>
              </c:numRef>
            </c:minus>
          </c:errBars>
          <c:cat>
            <c:numRef>
              <c:f>('int - 2k'!$C$2,'int - 2k'!$E$2,'int - 2k'!$G$2,'int - 2k'!$I$2,'int - 2k'!$K$2)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</c:numCache>
            </c:numRef>
          </c:cat>
          <c:val>
            <c:numRef>
              <c:f>('int - 2k'!$C$40,'int - 2k'!$E$40,'int - 2k'!$G$40,'int - 2k'!$I$40,'int - 2k'!$K$40)</c:f>
              <c:numCache>
                <c:formatCode>General</c:formatCode>
                <c:ptCount val="5"/>
                <c:pt idx="0">
                  <c:v>15.260999999999999</c:v>
                </c:pt>
                <c:pt idx="1">
                  <c:v>44.741750000000003</c:v>
                </c:pt>
                <c:pt idx="2">
                  <c:v>64.444249999999997</c:v>
                </c:pt>
                <c:pt idx="3">
                  <c:v>205.86025000000001</c:v>
                </c:pt>
                <c:pt idx="4">
                  <c:v>278.834</c:v>
                </c:pt>
              </c:numCache>
            </c:numRef>
          </c:val>
        </c:ser>
        <c:ser>
          <c:idx val="4"/>
          <c:order val="4"/>
          <c:tx>
            <c:strRef>
              <c:f>'int - 2k'!$A$44</c:f>
              <c:strCache>
                <c:ptCount val="1"/>
                <c:pt idx="0">
                  <c:v>incremental insertions 1%</c:v>
                </c:pt>
              </c:strCache>
            </c:strRef>
          </c:tx>
          <c:spPr>
            <a:ln w="38100">
              <a:solidFill>
                <a:srgbClr val="1F497D"/>
              </a:solidFill>
            </a:ln>
          </c:spPr>
          <c:marker>
            <c:symbol val="triangle"/>
            <c:size val="15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('int - 2k'!$C$52,'int - 2k'!$E$52,'int - 2k'!$G$52,'int - 2k'!$I$52,'int - 2k'!$K$52)</c:f>
                <c:numCache>
                  <c:formatCode>General</c:formatCode>
                  <c:ptCount val="5"/>
                  <c:pt idx="0">
                    <c:v>3.4624027227752104E-2</c:v>
                  </c:pt>
                  <c:pt idx="1">
                    <c:v>1.0778034506192882</c:v>
                  </c:pt>
                  <c:pt idx="2">
                    <c:v>2.4335069821248356</c:v>
                  </c:pt>
                  <c:pt idx="3">
                    <c:v>4.2703335469155075</c:v>
                  </c:pt>
                  <c:pt idx="4">
                    <c:v>0.67928338070191474</c:v>
                  </c:pt>
                </c:numCache>
              </c:numRef>
            </c:plus>
            <c:minus>
              <c:numRef>
                <c:f>('int - 2k'!$C$52,'int - 2k'!$E$52,'int - 2k'!$G$52,'int - 2k'!$I$52,'int - 2k'!$K$52)</c:f>
                <c:numCache>
                  <c:formatCode>General</c:formatCode>
                  <c:ptCount val="5"/>
                  <c:pt idx="0">
                    <c:v>3.4624027227752104E-2</c:v>
                  </c:pt>
                  <c:pt idx="1">
                    <c:v>1.0778034506192882</c:v>
                  </c:pt>
                  <c:pt idx="2">
                    <c:v>2.4335069821248356</c:v>
                  </c:pt>
                  <c:pt idx="3">
                    <c:v>4.2703335469155075</c:v>
                  </c:pt>
                  <c:pt idx="4">
                    <c:v>0.67928338070191474</c:v>
                  </c:pt>
                </c:numCache>
              </c:numRef>
            </c:minus>
          </c:errBars>
          <c:cat>
            <c:numRef>
              <c:f>('int - 2k'!$C$2,'int - 2k'!$E$2,'int - 2k'!$G$2,'int - 2k'!$I$2,'int - 2k'!$K$2)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</c:numCache>
            </c:numRef>
          </c:cat>
          <c:val>
            <c:numRef>
              <c:f>('int - 2k'!$C$50,'int - 2k'!$E$50,'int - 2k'!$G$50,'int - 2k'!$I$50,'int - 2k'!$K$50)</c:f>
              <c:numCache>
                <c:formatCode>General</c:formatCode>
                <c:ptCount val="5"/>
                <c:pt idx="0">
                  <c:v>5.1167499999999997</c:v>
                </c:pt>
                <c:pt idx="1">
                  <c:v>15.506500000000001</c:v>
                </c:pt>
                <c:pt idx="2">
                  <c:v>17.137</c:v>
                </c:pt>
                <c:pt idx="3">
                  <c:v>48.551749999999998</c:v>
                </c:pt>
                <c:pt idx="4">
                  <c:v>79.811250000000001</c:v>
                </c:pt>
              </c:numCache>
            </c:numRef>
          </c:val>
        </c:ser>
        <c:ser>
          <c:idx val="5"/>
          <c:order val="5"/>
          <c:tx>
            <c:strRef>
              <c:f>'int - 2k'!$A$54</c:f>
              <c:strCache>
                <c:ptCount val="1"/>
                <c:pt idx="0">
                  <c:v>incremental insertions 10%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diamond"/>
            <c:size val="18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('int - 2k'!$C$62,'int - 2k'!$E$62,'int - 2k'!$G$62,'int - 2k'!$I$62,'int - 2k'!$K$62)</c:f>
                <c:numCache>
                  <c:formatCode>General</c:formatCode>
                  <c:ptCount val="5"/>
                  <c:pt idx="0">
                    <c:v>1.3641124047300904E-2</c:v>
                  </c:pt>
                  <c:pt idx="1">
                    <c:v>0.16873702056485801</c:v>
                  </c:pt>
                  <c:pt idx="2">
                    <c:v>0.80084158388171622</c:v>
                  </c:pt>
                  <c:pt idx="3">
                    <c:v>1.2591515915466709</c:v>
                  </c:pt>
                  <c:pt idx="4">
                    <c:v>19.72979440565101</c:v>
                  </c:pt>
                </c:numCache>
              </c:numRef>
            </c:plus>
            <c:minus>
              <c:numRef>
                <c:f>('int - 2k'!$C$62,'int - 2k'!$E$62,'int - 2k'!$G$62,'int - 2k'!$I$62,'int - 2k'!$K$62)</c:f>
                <c:numCache>
                  <c:formatCode>General</c:formatCode>
                  <c:ptCount val="5"/>
                  <c:pt idx="0">
                    <c:v>1.3641124047300904E-2</c:v>
                  </c:pt>
                  <c:pt idx="1">
                    <c:v>0.16873702056485801</c:v>
                  </c:pt>
                  <c:pt idx="2">
                    <c:v>0.80084158388171622</c:v>
                  </c:pt>
                  <c:pt idx="3">
                    <c:v>1.2591515915466709</c:v>
                  </c:pt>
                  <c:pt idx="4">
                    <c:v>19.72979440565101</c:v>
                  </c:pt>
                </c:numCache>
              </c:numRef>
            </c:minus>
          </c:errBars>
          <c:cat>
            <c:numRef>
              <c:f>('int - 2k'!$C$2,'int - 2k'!$E$2,'int - 2k'!$G$2,'int - 2k'!$I$2,'int - 2k'!$K$2)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</c:numCache>
            </c:numRef>
          </c:cat>
          <c:val>
            <c:numRef>
              <c:f>('int - 2k'!$C$60,'int - 2k'!$E$60,'int - 2k'!$G$60,'int - 2k'!$I$60,'int - 2k'!$K$60)</c:f>
              <c:numCache>
                <c:formatCode>General</c:formatCode>
                <c:ptCount val="5"/>
                <c:pt idx="0">
                  <c:v>7.0397499999999997</c:v>
                </c:pt>
                <c:pt idx="1">
                  <c:v>20.168500000000002</c:v>
                </c:pt>
                <c:pt idx="2">
                  <c:v>27.261500000000002</c:v>
                </c:pt>
                <c:pt idx="3">
                  <c:v>94.59975</c:v>
                </c:pt>
                <c:pt idx="4">
                  <c:v>125.3725</c:v>
                </c:pt>
              </c:numCache>
            </c:numRef>
          </c:val>
        </c:ser>
        <c:ser>
          <c:idx val="6"/>
          <c:order val="6"/>
          <c:tx>
            <c:strRef>
              <c:f>'int - 2k'!$A$64</c:f>
              <c:strCache>
                <c:ptCount val="1"/>
                <c:pt idx="0">
                  <c:v>incremental insertions 50%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5"/>
            <c:spPr>
              <a:solidFill>
                <a:schemeClr val="tx2"/>
              </a:solidFill>
              <a:ln w="12700">
                <a:solidFill>
                  <a:schemeClr val="tx2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('int - 2k'!$C$72,'int - 2k'!$E$72,'int - 2k'!$G$72,'int - 2k'!$I$72,'int - 2k'!$K$72)</c:f>
                <c:numCache>
                  <c:formatCode>General</c:formatCode>
                  <c:ptCount val="5"/>
                  <c:pt idx="0">
                    <c:v>0.1012666182915085</c:v>
                  </c:pt>
                  <c:pt idx="1">
                    <c:v>2.4094424343172305</c:v>
                  </c:pt>
                  <c:pt idx="2">
                    <c:v>2.0090806881111725</c:v>
                  </c:pt>
                  <c:pt idx="3">
                    <c:v>48.280402993117889</c:v>
                  </c:pt>
                  <c:pt idx="4">
                    <c:v>63.450915680702977</c:v>
                  </c:pt>
                </c:numCache>
              </c:numRef>
            </c:plus>
            <c:minus>
              <c:numRef>
                <c:f>('int - 2k'!$C$72,'int - 2k'!$E$72,'int - 2k'!$G$72,'int - 2k'!$I$72,'int - 2k'!$K$72)</c:f>
                <c:numCache>
                  <c:formatCode>General</c:formatCode>
                  <c:ptCount val="5"/>
                  <c:pt idx="0">
                    <c:v>0.1012666182915085</c:v>
                  </c:pt>
                  <c:pt idx="1">
                    <c:v>2.4094424343172305</c:v>
                  </c:pt>
                  <c:pt idx="2">
                    <c:v>2.0090806881111725</c:v>
                  </c:pt>
                  <c:pt idx="3">
                    <c:v>48.280402993117889</c:v>
                  </c:pt>
                  <c:pt idx="4">
                    <c:v>63.450915680702977</c:v>
                  </c:pt>
                </c:numCache>
              </c:numRef>
            </c:minus>
          </c:errBars>
          <c:cat>
            <c:numRef>
              <c:f>('int - 2k'!$C$2,'int - 2k'!$E$2,'int - 2k'!$G$2,'int - 2k'!$I$2,'int - 2k'!$K$2)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</c:numCache>
            </c:numRef>
          </c:cat>
          <c:val>
            <c:numRef>
              <c:f>('int - 2k'!$C$70,'int - 2k'!$E$70,'int - 2k'!$G$70,'int - 2k'!$I$70,'int - 2k'!$K$70)</c:f>
              <c:numCache>
                <c:formatCode>General</c:formatCode>
                <c:ptCount val="5"/>
                <c:pt idx="0">
                  <c:v>15.959</c:v>
                </c:pt>
                <c:pt idx="1">
                  <c:v>49.126750000000001</c:v>
                </c:pt>
                <c:pt idx="2">
                  <c:v>70.509</c:v>
                </c:pt>
                <c:pt idx="3">
                  <c:v>237.71199999999999</c:v>
                </c:pt>
                <c:pt idx="4">
                  <c:v>356.38799999999998</c:v>
                </c:pt>
              </c:numCache>
            </c:numRef>
          </c:val>
        </c:ser>
        <c:marker val="1"/>
        <c:axId val="72097152"/>
        <c:axId val="72112000"/>
      </c:lineChart>
      <c:catAx>
        <c:axId val="720971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86806515606"/>
              <c:y val="0.9323818329878111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2112000"/>
        <c:crosses val="autoZero"/>
        <c:auto val="1"/>
        <c:lblAlgn val="ctr"/>
        <c:lblOffset val="100"/>
        <c:tickLblSkip val="1"/>
        <c:tickMarkSkip val="1"/>
      </c:catAx>
      <c:valAx>
        <c:axId val="72112000"/>
        <c:scaling>
          <c:orientation val="minMax"/>
          <c:max val="840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2.7773436717356903E-3"/>
              <c:y val="0.3178780711743545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2097152"/>
        <c:crosses val="autoZero"/>
        <c:crossBetween val="between"/>
        <c:majorUnit val="2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496208374546669"/>
          <c:y val="1.2296881862099257E-2"/>
          <c:w val="0.45074031776562279"/>
          <c:h val="0.37520677504244809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4346516799903836"/>
          <c:y val="3.2938076416337295E-2"/>
          <c:w val="0.85239586463905781"/>
          <c:h val="0.80129380506403491"/>
        </c:manualLayout>
      </c:layout>
      <c:lineChart>
        <c:grouping val="standard"/>
        <c:ser>
          <c:idx val="0"/>
          <c:order val="0"/>
          <c:tx>
            <c:strRef>
              <c:f>'int - 10k'!$A$3</c:f>
              <c:strCache>
                <c:ptCount val="1"/>
                <c:pt idx="0">
                  <c:v>time to join</c:v>
                </c:pt>
              </c:strCache>
            </c:strRef>
          </c:tx>
          <c:spPr>
            <a:ln w="38100"/>
          </c:spPr>
          <c:marker>
            <c:symbol val="circle"/>
            <c:size val="15"/>
            <c:spPr>
              <a:solidFill>
                <a:schemeClr val="accent1"/>
              </a:solidFill>
            </c:spPr>
          </c:marker>
          <c:errBars>
            <c:errDir val="y"/>
            <c:errBarType val="both"/>
            <c:errValType val="cust"/>
            <c:plus>
              <c:numRef>
                <c:f>('int - 10k'!$C$11,'int - 10k'!$E$11,'int - 10k'!$G$11,'int - 10k'!$I$11,'int - 10k'!$K$11)</c:f>
                <c:numCache>
                  <c:formatCode>General</c:formatCode>
                  <c:ptCount val="5"/>
                  <c:pt idx="0">
                    <c:v>2.8172735299170793E-2</c:v>
                  </c:pt>
                  <c:pt idx="1">
                    <c:v>0.28370544685291843</c:v>
                  </c:pt>
                  <c:pt idx="2">
                    <c:v>1.6125670354791777</c:v>
                  </c:pt>
                  <c:pt idx="3">
                    <c:v>4.0719407763791482</c:v>
                  </c:pt>
                  <c:pt idx="4">
                    <c:v>5.6275809867215134</c:v>
                  </c:pt>
                </c:numCache>
              </c:numRef>
            </c:plus>
            <c:minus>
              <c:numRef>
                <c:f>('int - 10k'!$C$11,'int - 10k'!$E$11,'int - 10k'!$G$11,'int - 10k'!$I$11,'int - 10k'!$K$11)</c:f>
                <c:numCache>
                  <c:formatCode>General</c:formatCode>
                  <c:ptCount val="5"/>
                  <c:pt idx="0">
                    <c:v>2.8172735299170793E-2</c:v>
                  </c:pt>
                  <c:pt idx="1">
                    <c:v>0.28370544685291843</c:v>
                  </c:pt>
                  <c:pt idx="2">
                    <c:v>1.6125670354791777</c:v>
                  </c:pt>
                  <c:pt idx="3">
                    <c:v>4.0719407763791482</c:v>
                  </c:pt>
                  <c:pt idx="4">
                    <c:v>5.6275809867215134</c:v>
                  </c:pt>
                </c:numCache>
              </c:numRef>
            </c:minus>
          </c:errBars>
          <c:cat>
            <c:numRef>
              <c:f>('int - 10k'!$C$2,'int - 10k'!$E$2,'int - 10k'!$G$2,'int - 10k'!$I$2,'int - 10k'!$K$2)</c:f>
              <c:numCache>
                <c:formatCode>General</c:formatCode>
                <c:ptCount val="5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</c:numCache>
            </c:numRef>
          </c:cat>
          <c:val>
            <c:numRef>
              <c:f>('int - 10k'!$C$9,'int - 10k'!$E$9,'int - 10k'!$G$9,'int - 10k'!$I$9,'int - 10k'!$K$9)</c:f>
              <c:numCache>
                <c:formatCode>General</c:formatCode>
                <c:ptCount val="5"/>
                <c:pt idx="0">
                  <c:v>7.1863333333333337</c:v>
                </c:pt>
                <c:pt idx="1">
                  <c:v>29.053000000000001</c:v>
                </c:pt>
                <c:pt idx="2">
                  <c:v>60.757666666666665</c:v>
                </c:pt>
                <c:pt idx="3">
                  <c:v>121.047</c:v>
                </c:pt>
                <c:pt idx="4">
                  <c:v>148.45666666666668</c:v>
                </c:pt>
              </c:numCache>
            </c:numRef>
          </c:val>
        </c:ser>
        <c:ser>
          <c:idx val="1"/>
          <c:order val="1"/>
          <c:tx>
            <c:strRef>
              <c:f>'int - 10k'!$A$13</c:f>
              <c:strCache>
                <c:ptCount val="1"/>
                <c:pt idx="0">
                  <c:v>incremental deletions 1%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5"/>
            <c:spPr>
              <a:noFill/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('int - 10k'!$C$21,'int - 10k'!$E$21,'int - 10k'!$G$21,'int - 10k'!$I$21,'int - 10k'!$K$21)</c:f>
                <c:numCache>
                  <c:formatCode>General</c:formatCode>
                  <c:ptCount val="5"/>
                  <c:pt idx="0">
                    <c:v>3.1359423752644429E-3</c:v>
                  </c:pt>
                  <c:pt idx="1">
                    <c:v>8.8252805955149876E-3</c:v>
                  </c:pt>
                  <c:pt idx="2">
                    <c:v>0.18960344527412834</c:v>
                  </c:pt>
                  <c:pt idx="3">
                    <c:v>0.29646786073855197</c:v>
                  </c:pt>
                  <c:pt idx="4">
                    <c:v>0.16826561912515262</c:v>
                  </c:pt>
                </c:numCache>
              </c:numRef>
            </c:plus>
            <c:minus>
              <c:numRef>
                <c:f>('int - 10k'!$C$21,'int - 10k'!$E$21,'int - 10k'!$G$21,'int - 10k'!$I$21,'int - 10k'!$K$21)</c:f>
                <c:numCache>
                  <c:formatCode>General</c:formatCode>
                  <c:ptCount val="5"/>
                  <c:pt idx="0">
                    <c:v>3.1359423752644429E-3</c:v>
                  </c:pt>
                  <c:pt idx="1">
                    <c:v>8.8252805955149876E-3</c:v>
                  </c:pt>
                  <c:pt idx="2">
                    <c:v>0.18960344527412834</c:v>
                  </c:pt>
                  <c:pt idx="3">
                    <c:v>0.29646786073855197</c:v>
                  </c:pt>
                  <c:pt idx="4">
                    <c:v>0.16826561912515262</c:v>
                  </c:pt>
                </c:numCache>
              </c:numRef>
            </c:minus>
          </c:errBars>
          <c:cat>
            <c:numRef>
              <c:f>('int - 10k'!$C$2,'int - 10k'!$E$2,'int - 10k'!$G$2,'int - 10k'!$I$2,'int - 10k'!$K$2)</c:f>
              <c:numCache>
                <c:formatCode>General</c:formatCode>
                <c:ptCount val="5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</c:numCache>
            </c:numRef>
          </c:cat>
          <c:val>
            <c:numRef>
              <c:f>('int - 10k'!$C$19,'int - 10k'!$E$19,'int - 10k'!$G$19,'int - 10k'!$I$19,'int - 10k'!$K$19)</c:f>
              <c:numCache>
                <c:formatCode>General</c:formatCode>
                <c:ptCount val="5"/>
                <c:pt idx="0">
                  <c:v>0.46800000000000003</c:v>
                </c:pt>
                <c:pt idx="1">
                  <c:v>1.7370000000000001</c:v>
                </c:pt>
                <c:pt idx="2">
                  <c:v>3.5046666666666666</c:v>
                </c:pt>
                <c:pt idx="3">
                  <c:v>7.2750000000000004</c:v>
                </c:pt>
                <c:pt idx="4">
                  <c:v>10.981666666666667</c:v>
                </c:pt>
              </c:numCache>
            </c:numRef>
          </c:val>
        </c:ser>
        <c:ser>
          <c:idx val="2"/>
          <c:order val="2"/>
          <c:tx>
            <c:strRef>
              <c:f>'int - 10k'!$A$23</c:f>
              <c:strCache>
                <c:ptCount val="1"/>
                <c:pt idx="0">
                  <c:v>incremental deletions 10%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diamond"/>
            <c:size val="18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('int - 10k'!$C$31,'int - 10k'!$E$31,'int - 10k'!$G$31,'int - 10k'!$I$31,'int - 10k'!$K$31)</c:f>
                <c:numCache>
                  <c:formatCode>General</c:formatCode>
                  <c:ptCount val="5"/>
                  <c:pt idx="0">
                    <c:v>1.2347773102602702E-2</c:v>
                  </c:pt>
                  <c:pt idx="1">
                    <c:v>3.8814710289891023E-2</c:v>
                  </c:pt>
                  <c:pt idx="2">
                    <c:v>0.47895125814967821</c:v>
                  </c:pt>
                  <c:pt idx="3">
                    <c:v>1.7055737339816903</c:v>
                  </c:pt>
                  <c:pt idx="4">
                    <c:v>0.79368057293910588</c:v>
                  </c:pt>
                </c:numCache>
              </c:numRef>
            </c:plus>
            <c:minus>
              <c:numRef>
                <c:f>('int - 10k'!$C$31,'int - 10k'!$E$31,'int - 10k'!$G$31,'int - 10k'!$I$31,'int - 10k'!$K$31)</c:f>
                <c:numCache>
                  <c:formatCode>General</c:formatCode>
                  <c:ptCount val="5"/>
                  <c:pt idx="0">
                    <c:v>1.2347773102602702E-2</c:v>
                  </c:pt>
                  <c:pt idx="1">
                    <c:v>3.8814710289891023E-2</c:v>
                  </c:pt>
                  <c:pt idx="2">
                    <c:v>0.47895125814967821</c:v>
                  </c:pt>
                  <c:pt idx="3">
                    <c:v>1.7055737339816903</c:v>
                  </c:pt>
                  <c:pt idx="4">
                    <c:v>0.79368057293910588</c:v>
                  </c:pt>
                </c:numCache>
              </c:numRef>
            </c:minus>
          </c:errBars>
          <c:cat>
            <c:numRef>
              <c:f>('int - 10k'!$C$2,'int - 10k'!$E$2,'int - 10k'!$G$2,'int - 10k'!$I$2,'int - 10k'!$K$2)</c:f>
              <c:numCache>
                <c:formatCode>General</c:formatCode>
                <c:ptCount val="5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</c:numCache>
            </c:numRef>
          </c:cat>
          <c:val>
            <c:numRef>
              <c:f>('int - 10k'!$C$29,'int - 10k'!$E$29,'int - 10k'!$G$29,'int - 10k'!$I$29,'int - 10k'!$K$29)</c:f>
              <c:numCache>
                <c:formatCode>General</c:formatCode>
                <c:ptCount val="5"/>
                <c:pt idx="0">
                  <c:v>1.0609999999999999</c:v>
                </c:pt>
                <c:pt idx="1">
                  <c:v>4.306</c:v>
                </c:pt>
                <c:pt idx="2">
                  <c:v>9.3290000000000006</c:v>
                </c:pt>
                <c:pt idx="3">
                  <c:v>20.103333333333332</c:v>
                </c:pt>
                <c:pt idx="4">
                  <c:v>25.315333333333335</c:v>
                </c:pt>
              </c:numCache>
            </c:numRef>
          </c:val>
        </c:ser>
        <c:ser>
          <c:idx val="3"/>
          <c:order val="3"/>
          <c:tx>
            <c:strRef>
              <c:f>'int - 10k'!$A$33</c:f>
              <c:strCache>
                <c:ptCount val="1"/>
                <c:pt idx="0">
                  <c:v>incremental deletions 50%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square"/>
            <c:size val="15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('int - 10k'!$C$41,'int - 10k'!$E$41,'int - 10k'!$G$41,'int - 10k'!$I$41,'int - 10k'!$K$41)</c:f>
                <c:numCache>
                  <c:formatCode>General</c:formatCode>
                  <c:ptCount val="5"/>
                  <c:pt idx="0">
                    <c:v>5.7917350285666233E-2</c:v>
                  </c:pt>
                  <c:pt idx="1">
                    <c:v>0.17203064009862584</c:v>
                  </c:pt>
                  <c:pt idx="2">
                    <c:v>1.3936983132661684</c:v>
                  </c:pt>
                  <c:pt idx="3">
                    <c:v>1.6056086987680431</c:v>
                  </c:pt>
                  <c:pt idx="4">
                    <c:v>1.8748259217175047</c:v>
                  </c:pt>
                </c:numCache>
              </c:numRef>
            </c:plus>
            <c:minus>
              <c:numRef>
                <c:f>('int - 10k'!$C$41,'int - 10k'!$E$41,'int - 10k'!$G$41,'int - 10k'!$I$41,'int - 10k'!$K$41)</c:f>
                <c:numCache>
                  <c:formatCode>General</c:formatCode>
                  <c:ptCount val="5"/>
                  <c:pt idx="0">
                    <c:v>5.7917350285666233E-2</c:v>
                  </c:pt>
                  <c:pt idx="1">
                    <c:v>0.17203064009862584</c:v>
                  </c:pt>
                  <c:pt idx="2">
                    <c:v>1.3936983132661684</c:v>
                  </c:pt>
                  <c:pt idx="3">
                    <c:v>1.6056086987680431</c:v>
                  </c:pt>
                  <c:pt idx="4">
                    <c:v>1.8748259217175047</c:v>
                  </c:pt>
                </c:numCache>
              </c:numRef>
            </c:minus>
          </c:errBars>
          <c:cat>
            <c:numRef>
              <c:f>('int - 10k'!$C$2,'int - 10k'!$E$2,'int - 10k'!$G$2,'int - 10k'!$I$2,'int - 10k'!$K$2)</c:f>
              <c:numCache>
                <c:formatCode>General</c:formatCode>
                <c:ptCount val="5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</c:numCache>
            </c:numRef>
          </c:cat>
          <c:val>
            <c:numRef>
              <c:f>('int - 10k'!$C$39,'int - 10k'!$E$39,'int - 10k'!$G$39,'int - 10k'!$I$39,'int - 10k'!$K$39)</c:f>
              <c:numCache>
                <c:formatCode>General</c:formatCode>
                <c:ptCount val="5"/>
                <c:pt idx="0">
                  <c:v>4.0713333333333335</c:v>
                </c:pt>
                <c:pt idx="1">
                  <c:v>16.505333333333333</c:v>
                </c:pt>
                <c:pt idx="2">
                  <c:v>40.654333333333334</c:v>
                </c:pt>
                <c:pt idx="3">
                  <c:v>72.431666666666672</c:v>
                </c:pt>
                <c:pt idx="4">
                  <c:v>86.555333333333337</c:v>
                </c:pt>
              </c:numCache>
            </c:numRef>
          </c:val>
        </c:ser>
        <c:ser>
          <c:idx val="4"/>
          <c:order val="4"/>
          <c:tx>
            <c:strRef>
              <c:f>'int - 10k'!$A$43</c:f>
              <c:strCache>
                <c:ptCount val="1"/>
                <c:pt idx="0">
                  <c:v>incremental insertions 1%</c:v>
                </c:pt>
              </c:strCache>
            </c:strRef>
          </c:tx>
          <c:spPr>
            <a:ln w="38100">
              <a:solidFill>
                <a:srgbClr val="1F497D"/>
              </a:solidFill>
            </a:ln>
          </c:spPr>
          <c:marker>
            <c:symbol val="triangle"/>
            <c:size val="15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('int - 10k'!$C$51,'int - 10k'!$E$51,'int - 10k'!$G$51,'int - 10k'!$I$51,'int - 10k'!$K$51)</c:f>
                <c:numCache>
                  <c:formatCode>General</c:formatCode>
                  <c:ptCount val="5"/>
                  <c:pt idx="0">
                    <c:v>5.6855849282329788E-3</c:v>
                  </c:pt>
                  <c:pt idx="1">
                    <c:v>0.27064338524566067</c:v>
                  </c:pt>
                  <c:pt idx="2">
                    <c:v>0.21192717256648544</c:v>
                  </c:pt>
                  <c:pt idx="3">
                    <c:v>0.34098692750973053</c:v>
                  </c:pt>
                  <c:pt idx="4">
                    <c:v>0.37015511603465412</c:v>
                  </c:pt>
                </c:numCache>
              </c:numRef>
            </c:plus>
            <c:minus>
              <c:numRef>
                <c:f>('int - 10k'!$C$51,'int - 10k'!$E$51,'int - 10k'!$G$51,'int - 10k'!$I$51,'int - 10k'!$K$51)</c:f>
                <c:numCache>
                  <c:formatCode>General</c:formatCode>
                  <c:ptCount val="5"/>
                  <c:pt idx="0">
                    <c:v>5.6855849282329788E-3</c:v>
                  </c:pt>
                  <c:pt idx="1">
                    <c:v>0.27064338524566067</c:v>
                  </c:pt>
                  <c:pt idx="2">
                    <c:v>0.21192717256648544</c:v>
                  </c:pt>
                  <c:pt idx="3">
                    <c:v>0.34098692750973053</c:v>
                  </c:pt>
                  <c:pt idx="4">
                    <c:v>0.37015511603465412</c:v>
                  </c:pt>
                </c:numCache>
              </c:numRef>
            </c:minus>
          </c:errBars>
          <c:cat>
            <c:numRef>
              <c:f>('int - 10k'!$C$2,'int - 10k'!$E$2,'int - 10k'!$G$2,'int - 10k'!$I$2,'int - 10k'!$K$2)</c:f>
              <c:numCache>
                <c:formatCode>General</c:formatCode>
                <c:ptCount val="5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</c:numCache>
            </c:numRef>
          </c:cat>
          <c:val>
            <c:numRef>
              <c:f>('int - 10k'!$C$49,'int - 10k'!$E$49,'int - 10k'!$G$49,'int - 10k'!$I$49,'int - 10k'!$K$49)</c:f>
              <c:numCache>
                <c:formatCode>General</c:formatCode>
                <c:ptCount val="5"/>
                <c:pt idx="0">
                  <c:v>1.1023333333333334</c:v>
                </c:pt>
                <c:pt idx="1">
                  <c:v>4.9400000000000004</c:v>
                </c:pt>
                <c:pt idx="2">
                  <c:v>13.489000000000001</c:v>
                </c:pt>
                <c:pt idx="3">
                  <c:v>26.244666666666667</c:v>
                </c:pt>
                <c:pt idx="4">
                  <c:v>31.372333333333334</c:v>
                </c:pt>
              </c:numCache>
            </c:numRef>
          </c:val>
        </c:ser>
        <c:ser>
          <c:idx val="5"/>
          <c:order val="5"/>
          <c:tx>
            <c:strRef>
              <c:f>'int - 10k'!$A$53</c:f>
              <c:strCache>
                <c:ptCount val="1"/>
                <c:pt idx="0">
                  <c:v>incremental insertions 10%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diamond"/>
            <c:size val="18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('int - 10k'!$C$61,'int - 10k'!$E$61,'int - 10k'!$G$61,'int - 10k'!$I$61,'int - 10k'!$K$61)</c:f>
                <c:numCache>
                  <c:formatCode>General</c:formatCode>
                  <c:ptCount val="5"/>
                  <c:pt idx="0">
                    <c:v>1.1955780305695827E-2</c:v>
                  </c:pt>
                  <c:pt idx="1">
                    <c:v>1.8992445426094514E-2</c:v>
                  </c:pt>
                  <c:pt idx="2">
                    <c:v>0.12250033615890255</c:v>
                  </c:pt>
                  <c:pt idx="3">
                    <c:v>0.7888942322643504</c:v>
                  </c:pt>
                  <c:pt idx="4">
                    <c:v>0.51944607152614486</c:v>
                  </c:pt>
                </c:numCache>
              </c:numRef>
            </c:plus>
            <c:minus>
              <c:numRef>
                <c:f>('int - 10k'!$C$61,'int - 10k'!$E$61,'int - 10k'!$G$61,'int - 10k'!$I$61,'int - 10k'!$K$61)</c:f>
                <c:numCache>
                  <c:formatCode>General</c:formatCode>
                  <c:ptCount val="5"/>
                  <c:pt idx="0">
                    <c:v>1.1955780305695827E-2</c:v>
                  </c:pt>
                  <c:pt idx="1">
                    <c:v>1.8992445426094514E-2</c:v>
                  </c:pt>
                  <c:pt idx="2">
                    <c:v>0.12250033615890255</c:v>
                  </c:pt>
                  <c:pt idx="3">
                    <c:v>0.7888942322643504</c:v>
                  </c:pt>
                  <c:pt idx="4">
                    <c:v>0.51944607152614486</c:v>
                  </c:pt>
                </c:numCache>
              </c:numRef>
            </c:minus>
          </c:errBars>
          <c:cat>
            <c:numRef>
              <c:f>('int - 10k'!$C$2,'int - 10k'!$E$2,'int - 10k'!$G$2,'int - 10k'!$I$2,'int - 10k'!$K$2)</c:f>
              <c:numCache>
                <c:formatCode>General</c:formatCode>
                <c:ptCount val="5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</c:numCache>
            </c:numRef>
          </c:cat>
          <c:val>
            <c:numRef>
              <c:f>('int - 10k'!$C$59,'int - 10k'!$E$59,'int - 10k'!$G$59,'int - 10k'!$I$59,'int - 10k'!$K$59)</c:f>
              <c:numCache>
                <c:formatCode>General</c:formatCode>
                <c:ptCount val="5"/>
                <c:pt idx="0">
                  <c:v>1.7106666666666666</c:v>
                </c:pt>
                <c:pt idx="1">
                  <c:v>7.4206666666666665</c:v>
                </c:pt>
                <c:pt idx="2">
                  <c:v>14.731666666666667</c:v>
                </c:pt>
                <c:pt idx="3">
                  <c:v>39.44766666666667</c:v>
                </c:pt>
                <c:pt idx="4">
                  <c:v>47.009</c:v>
                </c:pt>
              </c:numCache>
            </c:numRef>
          </c:val>
        </c:ser>
        <c:ser>
          <c:idx val="6"/>
          <c:order val="6"/>
          <c:tx>
            <c:strRef>
              <c:f>'int - 10k'!$A$63</c:f>
              <c:strCache>
                <c:ptCount val="1"/>
                <c:pt idx="0">
                  <c:v>incremental insertions 50%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5"/>
            <c:spPr>
              <a:solidFill>
                <a:schemeClr val="tx2"/>
              </a:solidFill>
              <a:ln w="12700">
                <a:solidFill>
                  <a:schemeClr val="tx2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('int - 10k'!$C$71,'int - 10k'!$E$71,'int - 10k'!$G$71,'int - 10k'!$I$71,'int - 10k'!$K$71)</c:f>
                <c:numCache>
                  <c:formatCode>General</c:formatCode>
                  <c:ptCount val="5"/>
                  <c:pt idx="0">
                    <c:v>5.9891573601060136E-2</c:v>
                  </c:pt>
                  <c:pt idx="1">
                    <c:v>0.42768259990083529</c:v>
                  </c:pt>
                  <c:pt idx="2">
                    <c:v>0.74290117665917488</c:v>
                  </c:pt>
                  <c:pt idx="3">
                    <c:v>1.8331820752731101</c:v>
                  </c:pt>
                  <c:pt idx="4">
                    <c:v>2.0348098022731769</c:v>
                  </c:pt>
                </c:numCache>
              </c:numRef>
            </c:plus>
            <c:minus>
              <c:numRef>
                <c:f>('int - 10k'!$C$71,'int - 10k'!$E$71,'int - 10k'!$G$71,'int - 10k'!$I$71,'int - 10k'!$K$71)</c:f>
                <c:numCache>
                  <c:formatCode>General</c:formatCode>
                  <c:ptCount val="5"/>
                  <c:pt idx="0">
                    <c:v>5.9891573601060136E-2</c:v>
                  </c:pt>
                  <c:pt idx="1">
                    <c:v>0.42768259990083529</c:v>
                  </c:pt>
                  <c:pt idx="2">
                    <c:v>0.74290117665917488</c:v>
                  </c:pt>
                  <c:pt idx="3">
                    <c:v>1.8331820752731101</c:v>
                  </c:pt>
                  <c:pt idx="4">
                    <c:v>2.0348098022731769</c:v>
                  </c:pt>
                </c:numCache>
              </c:numRef>
            </c:minus>
          </c:errBars>
          <c:cat>
            <c:numRef>
              <c:f>('int - 10k'!$C$2,'int - 10k'!$E$2,'int - 10k'!$G$2,'int - 10k'!$I$2,'int - 10k'!$K$2)</c:f>
              <c:numCache>
                <c:formatCode>General</c:formatCode>
                <c:ptCount val="5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</c:numCache>
            </c:numRef>
          </c:cat>
          <c:val>
            <c:numRef>
              <c:f>('int - 10k'!$C$69,'int - 10k'!$E$69,'int - 10k'!$G$69,'int - 10k'!$I$69,'int - 10k'!$K$69)</c:f>
              <c:numCache>
                <c:formatCode>General</c:formatCode>
                <c:ptCount val="5"/>
                <c:pt idx="0">
                  <c:v>4.524</c:v>
                </c:pt>
                <c:pt idx="1">
                  <c:v>20.145</c:v>
                </c:pt>
                <c:pt idx="2">
                  <c:v>40.612333333333332</c:v>
                </c:pt>
                <c:pt idx="3">
                  <c:v>94.230333333333334</c:v>
                </c:pt>
                <c:pt idx="4">
                  <c:v>107.797</c:v>
                </c:pt>
              </c:numCache>
            </c:numRef>
          </c:val>
        </c:ser>
        <c:marker val="1"/>
        <c:axId val="72438912"/>
        <c:axId val="72441216"/>
      </c:lineChart>
      <c:catAx>
        <c:axId val="724389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86806515606"/>
              <c:y val="0.9240844156473059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2441216"/>
        <c:crosses val="autoZero"/>
        <c:auto val="1"/>
        <c:lblAlgn val="ctr"/>
        <c:lblOffset val="100"/>
        <c:tickLblSkip val="1"/>
        <c:tickMarkSkip val="1"/>
      </c:catAx>
      <c:valAx>
        <c:axId val="72441216"/>
        <c:scaling>
          <c:orientation val="minMax"/>
          <c:max val="160"/>
          <c:min val="0"/>
        </c:scaling>
        <c:axPos val="l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1.3188262446422684E-3"/>
              <c:y val="0.3043478260869566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2438912"/>
        <c:crosses val="autoZero"/>
        <c:crossBetween val="between"/>
        <c:majorUnit val="4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455120113802575"/>
          <c:y val="7.026760031379844E-3"/>
          <c:w val="0.45173318506942356"/>
          <c:h val="0.36817998540696256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2990438509726354"/>
          <c:y val="3.2938076416337295E-2"/>
          <c:w val="0.86467231634177322"/>
          <c:h val="0.80753790201441134"/>
        </c:manualLayout>
      </c:layout>
      <c:lineChart>
        <c:grouping val="standard"/>
        <c:ser>
          <c:idx val="0"/>
          <c:order val="0"/>
          <c:tx>
            <c:strRef>
              <c:f>'int - 10p'!$A$3</c:f>
              <c:strCache>
                <c:ptCount val="1"/>
                <c:pt idx="0">
                  <c:v>time to join</c:v>
                </c:pt>
              </c:strCache>
            </c:strRef>
          </c:tx>
          <c:spPr>
            <a:ln w="38100"/>
          </c:spPr>
          <c:marker>
            <c:symbol val="circle"/>
            <c:size val="15"/>
            <c:spPr>
              <a:solidFill>
                <a:schemeClr val="accent1"/>
              </a:solidFill>
            </c:spPr>
          </c:marker>
          <c:errBars>
            <c:errDir val="y"/>
            <c:errBarType val="both"/>
            <c:errValType val="cust"/>
            <c:plus>
              <c:numRef>
                <c:f>('int - 10p'!$B$11,'int - 10p'!$C$11,'int - 10p'!$D$11,'int - 10p'!$E$11,'int - 10p'!$F$11)</c:f>
                <c:numCache>
                  <c:formatCode>General</c:formatCode>
                  <c:ptCount val="5"/>
                  <c:pt idx="0">
                    <c:v>0.38362901831766727</c:v>
                  </c:pt>
                  <c:pt idx="1">
                    <c:v>0.23653939658753645</c:v>
                  </c:pt>
                  <c:pt idx="2">
                    <c:v>8.5747920331420702E-2</c:v>
                  </c:pt>
                  <c:pt idx="3">
                    <c:v>0.12239241448049232</c:v>
                  </c:pt>
                  <c:pt idx="4">
                    <c:v>0.2509397696399352</c:v>
                  </c:pt>
                </c:numCache>
              </c:numRef>
            </c:plus>
            <c:minus>
              <c:numRef>
                <c:f>('int - 10p'!$B$11,'int - 10p'!$C$11,'int - 10p'!$D$11,'int - 10p'!$E$11,'int - 10p'!$F$11)</c:f>
                <c:numCache>
                  <c:formatCode>General</c:formatCode>
                  <c:ptCount val="5"/>
                  <c:pt idx="0">
                    <c:v>0.38362901831766727</c:v>
                  </c:pt>
                  <c:pt idx="1">
                    <c:v>0.23653939658753645</c:v>
                  </c:pt>
                  <c:pt idx="2">
                    <c:v>8.5747920331420702E-2</c:v>
                  </c:pt>
                  <c:pt idx="3">
                    <c:v>0.12239241448049232</c:v>
                  </c:pt>
                  <c:pt idx="4">
                    <c:v>0.2509397696399352</c:v>
                  </c:pt>
                </c:numCache>
              </c:numRef>
            </c:minus>
          </c:errBars>
          <c:cat>
            <c:strRef>
              <c:f>'int - 10p'!$B$2:$F$2</c:f>
              <c:strCache>
                <c:ptCount val="5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  <c:pt idx="4">
                  <c:v>10k</c:v>
                </c:pt>
              </c:strCache>
            </c:strRef>
          </c:cat>
          <c:val>
            <c:numRef>
              <c:f>'int - 10p'!$B$9:$F$9</c:f>
              <c:numCache>
                <c:formatCode>General</c:formatCode>
                <c:ptCount val="5"/>
                <c:pt idx="0">
                  <c:v>5.79575</c:v>
                </c:pt>
                <c:pt idx="1">
                  <c:v>11.290749999999999</c:v>
                </c:pt>
                <c:pt idx="2">
                  <c:v>17.109500000000001</c:v>
                </c:pt>
                <c:pt idx="3">
                  <c:v>22.304749999999999</c:v>
                </c:pt>
                <c:pt idx="4">
                  <c:v>28.241333333333333</c:v>
                </c:pt>
              </c:numCache>
            </c:numRef>
          </c:val>
        </c:ser>
        <c:ser>
          <c:idx val="1"/>
          <c:order val="1"/>
          <c:tx>
            <c:strRef>
              <c:f>'int - 10p'!$A$13</c:f>
              <c:strCache>
                <c:ptCount val="1"/>
                <c:pt idx="0">
                  <c:v>incremental deletions 1%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5"/>
            <c:spPr>
              <a:noFill/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'int - 10p'!$B$21:$F$21</c:f>
                <c:numCache>
                  <c:formatCode>General</c:formatCode>
                  <c:ptCount val="5"/>
                  <c:pt idx="0">
                    <c:v>1.1149421843201241E-2</c:v>
                  </c:pt>
                  <c:pt idx="1">
                    <c:v>1.820341280840124E-2</c:v>
                  </c:pt>
                  <c:pt idx="2">
                    <c:v>3.9637818528020933E-3</c:v>
                  </c:pt>
                  <c:pt idx="3">
                    <c:v>4.6546565661366567E-3</c:v>
                  </c:pt>
                  <c:pt idx="4">
                    <c:v>2.2991806112520916E-2</c:v>
                  </c:pt>
                </c:numCache>
              </c:numRef>
            </c:plus>
            <c:minus>
              <c:numRef>
                <c:f>'int - 10p'!$B$21:$F$21</c:f>
                <c:numCache>
                  <c:formatCode>General</c:formatCode>
                  <c:ptCount val="5"/>
                  <c:pt idx="0">
                    <c:v>1.1149421843201241E-2</c:v>
                  </c:pt>
                  <c:pt idx="1">
                    <c:v>1.820341280840124E-2</c:v>
                  </c:pt>
                  <c:pt idx="2">
                    <c:v>3.9637818528020933E-3</c:v>
                  </c:pt>
                  <c:pt idx="3">
                    <c:v>4.6546565661366567E-3</c:v>
                  </c:pt>
                  <c:pt idx="4">
                    <c:v>2.2991806112520916E-2</c:v>
                  </c:pt>
                </c:numCache>
              </c:numRef>
            </c:minus>
          </c:errBars>
          <c:cat>
            <c:strRef>
              <c:f>'int - 10p'!$B$2:$F$2</c:f>
              <c:strCache>
                <c:ptCount val="5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  <c:pt idx="4">
                  <c:v>10k</c:v>
                </c:pt>
              </c:strCache>
            </c:strRef>
          </c:cat>
          <c:val>
            <c:numRef>
              <c:f>'int - 10p'!$B$19:$F$19</c:f>
              <c:numCache>
                <c:formatCode>General</c:formatCode>
                <c:ptCount val="5"/>
                <c:pt idx="0">
                  <c:v>0.86599999999999999</c:v>
                </c:pt>
                <c:pt idx="1">
                  <c:v>1.0255000000000001</c:v>
                </c:pt>
                <c:pt idx="2">
                  <c:v>1.3140000000000001</c:v>
                </c:pt>
                <c:pt idx="3">
                  <c:v>1.58775</c:v>
                </c:pt>
                <c:pt idx="4">
                  <c:v>1.9706666666666666</c:v>
                </c:pt>
              </c:numCache>
            </c:numRef>
          </c:val>
        </c:ser>
        <c:ser>
          <c:idx val="2"/>
          <c:order val="2"/>
          <c:tx>
            <c:strRef>
              <c:f>'int - 10p'!$A$23</c:f>
              <c:strCache>
                <c:ptCount val="1"/>
                <c:pt idx="0">
                  <c:v>incremental deletions 10%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diamond"/>
            <c:size val="18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'int - 10p'!$B$31:$F$31</c:f>
                <c:numCache>
                  <c:formatCode>General</c:formatCode>
                  <c:ptCount val="5"/>
                  <c:pt idx="0">
                    <c:v>1.0259433302430452E-2</c:v>
                  </c:pt>
                  <c:pt idx="1">
                    <c:v>2.447523418680618E-2</c:v>
                  </c:pt>
                  <c:pt idx="2">
                    <c:v>3.9214711369667275E-2</c:v>
                  </c:pt>
                  <c:pt idx="3">
                    <c:v>3.1506078132121779E-2</c:v>
                  </c:pt>
                  <c:pt idx="4">
                    <c:v>4.8388291694329559E-2</c:v>
                  </c:pt>
                </c:numCache>
              </c:numRef>
            </c:plus>
            <c:minus>
              <c:numRef>
                <c:f>'int - 10p'!$B$31:$F$31</c:f>
                <c:numCache>
                  <c:formatCode>General</c:formatCode>
                  <c:ptCount val="5"/>
                  <c:pt idx="0">
                    <c:v>1.0259433302430452E-2</c:v>
                  </c:pt>
                  <c:pt idx="1">
                    <c:v>2.447523418680618E-2</c:v>
                  </c:pt>
                  <c:pt idx="2">
                    <c:v>3.9214711369667275E-2</c:v>
                  </c:pt>
                  <c:pt idx="3">
                    <c:v>3.1506078132121779E-2</c:v>
                  </c:pt>
                  <c:pt idx="4">
                    <c:v>4.8388291694329559E-2</c:v>
                  </c:pt>
                </c:numCache>
              </c:numRef>
            </c:minus>
          </c:errBars>
          <c:cat>
            <c:strRef>
              <c:f>'int - 10p'!$B$2:$F$2</c:f>
              <c:strCache>
                <c:ptCount val="5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  <c:pt idx="4">
                  <c:v>10k</c:v>
                </c:pt>
              </c:strCache>
            </c:strRef>
          </c:cat>
          <c:val>
            <c:numRef>
              <c:f>'int - 10p'!$B$29:$F$29</c:f>
              <c:numCache>
                <c:formatCode>General</c:formatCode>
                <c:ptCount val="5"/>
                <c:pt idx="0">
                  <c:v>1.34175</c:v>
                </c:pt>
                <c:pt idx="1">
                  <c:v>1.9695</c:v>
                </c:pt>
                <c:pt idx="2">
                  <c:v>2.7959999999999998</c:v>
                </c:pt>
                <c:pt idx="3">
                  <c:v>3.5179999999999998</c:v>
                </c:pt>
                <c:pt idx="4">
                  <c:v>4.3940000000000001</c:v>
                </c:pt>
              </c:numCache>
            </c:numRef>
          </c:val>
        </c:ser>
        <c:ser>
          <c:idx val="3"/>
          <c:order val="3"/>
          <c:tx>
            <c:strRef>
              <c:f>'int - 10p'!$A$33</c:f>
              <c:strCache>
                <c:ptCount val="1"/>
                <c:pt idx="0">
                  <c:v>incremental deletions 50%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square"/>
            <c:size val="15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'int - 10p'!$B$41:$F$41</c:f>
                <c:numCache>
                  <c:formatCode>General</c:formatCode>
                  <c:ptCount val="5"/>
                  <c:pt idx="0">
                    <c:v>3.5334568606508333E-2</c:v>
                  </c:pt>
                  <c:pt idx="1">
                    <c:v>7.4416324916182955E-2</c:v>
                  </c:pt>
                  <c:pt idx="2">
                    <c:v>0.11779391700011047</c:v>
                  </c:pt>
                  <c:pt idx="3">
                    <c:v>0.15922430638085536</c:v>
                  </c:pt>
                  <c:pt idx="4">
                    <c:v>0.12691406231496122</c:v>
                  </c:pt>
                </c:numCache>
              </c:numRef>
            </c:plus>
            <c:minus>
              <c:numRef>
                <c:f>'int - 10p'!$B$41:$F$41</c:f>
                <c:numCache>
                  <c:formatCode>General</c:formatCode>
                  <c:ptCount val="5"/>
                  <c:pt idx="0">
                    <c:v>3.5334568606508333E-2</c:v>
                  </c:pt>
                  <c:pt idx="1">
                    <c:v>7.4416324916182955E-2</c:v>
                  </c:pt>
                  <c:pt idx="2">
                    <c:v>0.11779391700011047</c:v>
                  </c:pt>
                  <c:pt idx="3">
                    <c:v>0.15922430638085536</c:v>
                  </c:pt>
                  <c:pt idx="4">
                    <c:v>0.12691406231496122</c:v>
                  </c:pt>
                </c:numCache>
              </c:numRef>
            </c:minus>
          </c:errBars>
          <c:cat>
            <c:strRef>
              <c:f>'int - 10p'!$B$2:$F$2</c:f>
              <c:strCache>
                <c:ptCount val="5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  <c:pt idx="4">
                  <c:v>10k</c:v>
                </c:pt>
              </c:strCache>
            </c:strRef>
          </c:cat>
          <c:val>
            <c:numRef>
              <c:f>'int - 10p'!$B$39:$F$39</c:f>
              <c:numCache>
                <c:formatCode>General</c:formatCode>
                <c:ptCount val="5"/>
                <c:pt idx="0">
                  <c:v>3.6267499999999999</c:v>
                </c:pt>
                <c:pt idx="1">
                  <c:v>6.8877499999999996</c:v>
                </c:pt>
                <c:pt idx="2">
                  <c:v>10.2455</c:v>
                </c:pt>
                <c:pt idx="3">
                  <c:v>12.8505</c:v>
                </c:pt>
                <c:pt idx="4">
                  <c:v>16.598333333333333</c:v>
                </c:pt>
              </c:numCache>
            </c:numRef>
          </c:val>
        </c:ser>
        <c:ser>
          <c:idx val="4"/>
          <c:order val="4"/>
          <c:tx>
            <c:strRef>
              <c:f>'int - 10p'!$A$43</c:f>
              <c:strCache>
                <c:ptCount val="1"/>
                <c:pt idx="0">
                  <c:v>incremental insertions 1%</c:v>
                </c:pt>
              </c:strCache>
            </c:strRef>
          </c:tx>
          <c:spPr>
            <a:ln w="38100">
              <a:solidFill>
                <a:srgbClr val="1F497D"/>
              </a:solidFill>
            </a:ln>
          </c:spPr>
          <c:marker>
            <c:symbol val="triangle"/>
            <c:size val="15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'int - 10p'!$B$51:$F$51</c:f>
                <c:numCache>
                  <c:formatCode>General</c:formatCode>
                  <c:ptCount val="5"/>
                  <c:pt idx="0">
                    <c:v>1.1380456236006824E-2</c:v>
                  </c:pt>
                  <c:pt idx="1">
                    <c:v>0.15295286938955327</c:v>
                  </c:pt>
                  <c:pt idx="2">
                    <c:v>1.7082072825619923E-2</c:v>
                  </c:pt>
                  <c:pt idx="3">
                    <c:v>0.22855197086318407</c:v>
                  </c:pt>
                  <c:pt idx="4">
                    <c:v>0.37448362574369121</c:v>
                  </c:pt>
                </c:numCache>
              </c:numRef>
            </c:plus>
            <c:minus>
              <c:numRef>
                <c:f>'int - 10p'!$B$51:$F$51</c:f>
                <c:numCache>
                  <c:formatCode>General</c:formatCode>
                  <c:ptCount val="5"/>
                  <c:pt idx="0">
                    <c:v>1.1380456236006824E-2</c:v>
                  </c:pt>
                  <c:pt idx="1">
                    <c:v>0.15295286938955327</c:v>
                  </c:pt>
                  <c:pt idx="2">
                    <c:v>1.7082072825619923E-2</c:v>
                  </c:pt>
                  <c:pt idx="3">
                    <c:v>0.22855197086318407</c:v>
                  </c:pt>
                  <c:pt idx="4">
                    <c:v>0.37448362574369121</c:v>
                  </c:pt>
                </c:numCache>
              </c:numRef>
            </c:minus>
          </c:errBars>
          <c:cat>
            <c:strRef>
              <c:f>'int - 10p'!$B$2:$F$2</c:f>
              <c:strCache>
                <c:ptCount val="5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  <c:pt idx="4">
                  <c:v>10k</c:v>
                </c:pt>
              </c:strCache>
            </c:strRef>
          </c:cat>
          <c:val>
            <c:numRef>
              <c:f>'int - 10p'!$B$49:$F$49</c:f>
              <c:numCache>
                <c:formatCode>General</c:formatCode>
                <c:ptCount val="5"/>
                <c:pt idx="0">
                  <c:v>1.3065</c:v>
                </c:pt>
                <c:pt idx="1">
                  <c:v>2.0750000000000002</c:v>
                </c:pt>
                <c:pt idx="2">
                  <c:v>2.92875</c:v>
                </c:pt>
                <c:pt idx="3">
                  <c:v>3.6539999999999999</c:v>
                </c:pt>
                <c:pt idx="4">
                  <c:v>4.6280000000000001</c:v>
                </c:pt>
              </c:numCache>
            </c:numRef>
          </c:val>
        </c:ser>
        <c:ser>
          <c:idx val="5"/>
          <c:order val="5"/>
          <c:tx>
            <c:strRef>
              <c:f>'int - 10p'!$A$53</c:f>
              <c:strCache>
                <c:ptCount val="1"/>
                <c:pt idx="0">
                  <c:v>incremental insertions 10%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diamond"/>
            <c:size val="18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'int - 10p'!$B$61:$F$61</c:f>
                <c:numCache>
                  <c:formatCode>General</c:formatCode>
                  <c:ptCount val="5"/>
                  <c:pt idx="0">
                    <c:v>5.7108655550325588E-3</c:v>
                  </c:pt>
                  <c:pt idx="1">
                    <c:v>4.8069090699344686E-3</c:v>
                  </c:pt>
                  <c:pt idx="2">
                    <c:v>1.5287719079417101E-2</c:v>
                  </c:pt>
                  <c:pt idx="3">
                    <c:v>8.9581289767298958E-3</c:v>
                  </c:pt>
                  <c:pt idx="4">
                    <c:v>2.0939534612628211E-2</c:v>
                  </c:pt>
                </c:numCache>
              </c:numRef>
            </c:plus>
            <c:minus>
              <c:numRef>
                <c:f>'int - 10p'!$B$61:$F$61</c:f>
                <c:numCache>
                  <c:formatCode>General</c:formatCode>
                  <c:ptCount val="5"/>
                  <c:pt idx="0">
                    <c:v>5.7108655550325588E-3</c:v>
                  </c:pt>
                  <c:pt idx="1">
                    <c:v>4.8069090699344686E-3</c:v>
                  </c:pt>
                  <c:pt idx="2">
                    <c:v>1.5287719079417101E-2</c:v>
                  </c:pt>
                  <c:pt idx="3">
                    <c:v>8.9581289767298958E-3</c:v>
                  </c:pt>
                  <c:pt idx="4">
                    <c:v>2.0939534612628211E-2</c:v>
                  </c:pt>
                </c:numCache>
              </c:numRef>
            </c:minus>
          </c:errBars>
          <c:cat>
            <c:strRef>
              <c:f>'int - 10p'!$B$2:$F$2</c:f>
              <c:strCache>
                <c:ptCount val="5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  <c:pt idx="4">
                  <c:v>10k</c:v>
                </c:pt>
              </c:strCache>
            </c:strRef>
          </c:cat>
          <c:val>
            <c:numRef>
              <c:f>'int - 10p'!$B$59:$F$59</c:f>
              <c:numCache>
                <c:formatCode>General</c:formatCode>
                <c:ptCount val="5"/>
                <c:pt idx="0">
                  <c:v>1.7549999999999999</c:v>
                </c:pt>
                <c:pt idx="1">
                  <c:v>3.0067499999999998</c:v>
                </c:pt>
                <c:pt idx="2">
                  <c:v>4.3334999999999999</c:v>
                </c:pt>
                <c:pt idx="3">
                  <c:v>5.5532500000000002</c:v>
                </c:pt>
                <c:pt idx="4">
                  <c:v>6.9006666666666669</c:v>
                </c:pt>
              </c:numCache>
            </c:numRef>
          </c:val>
        </c:ser>
        <c:ser>
          <c:idx val="6"/>
          <c:order val="6"/>
          <c:tx>
            <c:strRef>
              <c:f>'int - 10p'!$A$63</c:f>
              <c:strCache>
                <c:ptCount val="1"/>
                <c:pt idx="0">
                  <c:v>incremental insertions 50%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5"/>
            <c:spPr>
              <a:solidFill>
                <a:schemeClr val="tx2"/>
              </a:solidFill>
              <a:ln w="12700">
                <a:solidFill>
                  <a:schemeClr val="tx2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'int - 10p'!$B$71:$F$71</c:f>
                <c:numCache>
                  <c:formatCode>General</c:formatCode>
                  <c:ptCount val="5"/>
                  <c:pt idx="0">
                    <c:v>3.312223157642278E-2</c:v>
                  </c:pt>
                  <c:pt idx="1">
                    <c:v>6.9550696603825179E-2</c:v>
                  </c:pt>
                  <c:pt idx="2">
                    <c:v>0.10409171099849121</c:v>
                  </c:pt>
                  <c:pt idx="3">
                    <c:v>0.11769595966730943</c:v>
                  </c:pt>
                  <c:pt idx="4">
                    <c:v>0.90485678734646946</c:v>
                  </c:pt>
                </c:numCache>
              </c:numRef>
            </c:plus>
            <c:minus>
              <c:numRef>
                <c:f>('int - 10p'!$B$71,'int - 10p'!$C$71,'int - 10p'!$D$71,'int - 10p'!$E$71,'int - 10p'!$F$71)</c:f>
                <c:numCache>
                  <c:formatCode>General</c:formatCode>
                  <c:ptCount val="5"/>
                  <c:pt idx="0">
                    <c:v>3.312223157642278E-2</c:v>
                  </c:pt>
                  <c:pt idx="1">
                    <c:v>6.9550696603825179E-2</c:v>
                  </c:pt>
                  <c:pt idx="2">
                    <c:v>0.10409171099849121</c:v>
                  </c:pt>
                  <c:pt idx="3">
                    <c:v>0.11769595966730943</c:v>
                  </c:pt>
                  <c:pt idx="4">
                    <c:v>0.90485678734646946</c:v>
                  </c:pt>
                </c:numCache>
              </c:numRef>
            </c:minus>
          </c:errBars>
          <c:cat>
            <c:strRef>
              <c:f>'int - 10p'!$B$2:$F$2</c:f>
              <c:strCache>
                <c:ptCount val="5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  <c:pt idx="4">
                  <c:v>10k</c:v>
                </c:pt>
              </c:strCache>
            </c:strRef>
          </c:cat>
          <c:val>
            <c:numRef>
              <c:f>'int - 10p'!$B$69:$F$69</c:f>
              <c:numCache>
                <c:formatCode>General</c:formatCode>
                <c:ptCount val="5"/>
                <c:pt idx="0">
                  <c:v>3.8530000000000002</c:v>
                </c:pt>
                <c:pt idx="1">
                  <c:v>7.2424999999999997</c:v>
                </c:pt>
                <c:pt idx="2">
                  <c:v>10.80325</c:v>
                </c:pt>
                <c:pt idx="3">
                  <c:v>14.204000000000001</c:v>
                </c:pt>
                <c:pt idx="4">
                  <c:v>22.219666666666665</c:v>
                </c:pt>
              </c:numCache>
            </c:numRef>
          </c:val>
        </c:ser>
        <c:marker val="1"/>
        <c:axId val="72718592"/>
        <c:axId val="72737536"/>
      </c:lineChart>
      <c:catAx>
        <c:axId val="727185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Number of tuples</a:t>
                </a:r>
              </a:p>
            </c:rich>
          </c:tx>
          <c:layout>
            <c:manualLayout>
              <c:xMode val="edge"/>
              <c:yMode val="edge"/>
              <c:x val="0.38773491592482712"/>
              <c:y val="0.923144488361879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2737536"/>
        <c:crosses val="autoZero"/>
        <c:auto val="1"/>
        <c:lblAlgn val="ctr"/>
        <c:lblOffset val="100"/>
        <c:tickLblSkip val="1"/>
        <c:tickMarkSkip val="1"/>
      </c:catAx>
      <c:valAx>
        <c:axId val="72737536"/>
        <c:scaling>
          <c:orientation val="minMax"/>
          <c:max val="30"/>
          <c:min val="0"/>
        </c:scaling>
        <c:axPos val="l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4.7739504439924061E-5"/>
              <c:y val="0.3195261964318738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27185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2971323770420029"/>
          <c:y val="1.7567457961450744E-3"/>
          <c:w val="0.44766013876482791"/>
          <c:h val="0.3720191156575145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2626351905442021"/>
          <c:y val="3.2938076416337295E-2"/>
          <c:w val="0.85560266505148419"/>
          <c:h val="0.80413316073438879"/>
        </c:manualLayout>
      </c:layout>
      <c:lineChart>
        <c:grouping val="standard"/>
        <c:ser>
          <c:idx val="5"/>
          <c:order val="0"/>
          <c:tx>
            <c:strRef>
              <c:f>'int - 10p'!$A$23</c:f>
              <c:strCache>
                <c:ptCount val="1"/>
                <c:pt idx="0">
                  <c:v>incremental deletions 10%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diamond"/>
            <c:size val="18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'int - 10p'!$B$31:$F$31</c:f>
                <c:numCache>
                  <c:formatCode>General</c:formatCode>
                  <c:ptCount val="5"/>
                  <c:pt idx="0">
                    <c:v>1.0259433302430452E-2</c:v>
                  </c:pt>
                  <c:pt idx="1">
                    <c:v>2.447523418680618E-2</c:v>
                  </c:pt>
                  <c:pt idx="2">
                    <c:v>3.9214711369667275E-2</c:v>
                  </c:pt>
                  <c:pt idx="3">
                    <c:v>3.1506078132121779E-2</c:v>
                  </c:pt>
                  <c:pt idx="4">
                    <c:v>4.8388291694329559E-2</c:v>
                  </c:pt>
                </c:numCache>
              </c:numRef>
            </c:plus>
            <c:minus>
              <c:numRef>
                <c:f>'int - 10p'!$B$31:$F$31</c:f>
                <c:numCache>
                  <c:formatCode>General</c:formatCode>
                  <c:ptCount val="5"/>
                  <c:pt idx="0">
                    <c:v>1.0259433302430452E-2</c:v>
                  </c:pt>
                  <c:pt idx="1">
                    <c:v>2.447523418680618E-2</c:v>
                  </c:pt>
                  <c:pt idx="2">
                    <c:v>3.9214711369667275E-2</c:v>
                  </c:pt>
                  <c:pt idx="3">
                    <c:v>3.1506078132121779E-2</c:v>
                  </c:pt>
                  <c:pt idx="4">
                    <c:v>4.8388291694329559E-2</c:v>
                  </c:pt>
                </c:numCache>
              </c:numRef>
            </c:minus>
          </c:errBars>
          <c:cat>
            <c:strRef>
              <c:f>'int - 10p'!$B$2:$F$2</c:f>
              <c:strCache>
                <c:ptCount val="5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  <c:pt idx="4">
                  <c:v>10k</c:v>
                </c:pt>
              </c:strCache>
            </c:strRef>
          </c:cat>
          <c:val>
            <c:numRef>
              <c:f>'int - 10p'!$B$29:$F$29</c:f>
              <c:numCache>
                <c:formatCode>General</c:formatCode>
                <c:ptCount val="5"/>
                <c:pt idx="0">
                  <c:v>1.34175</c:v>
                </c:pt>
                <c:pt idx="1">
                  <c:v>1.9695</c:v>
                </c:pt>
                <c:pt idx="2">
                  <c:v>2.7959999999999998</c:v>
                </c:pt>
                <c:pt idx="3">
                  <c:v>3.5179999999999998</c:v>
                </c:pt>
                <c:pt idx="4">
                  <c:v>4.3940000000000001</c:v>
                </c:pt>
              </c:numCache>
            </c:numRef>
          </c:val>
        </c:ser>
        <c:ser>
          <c:idx val="2"/>
          <c:order val="1"/>
          <c:tx>
            <c:strRef>
              <c:f>'int - 10p'!$A$146</c:f>
              <c:strCache>
                <c:ptCount val="1"/>
                <c:pt idx="0">
                  <c:v>DRed deletions 10%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8"/>
            <c:spPr>
              <a:solidFill>
                <a:srgbClr val="1F497D"/>
              </a:solidFill>
              <a:ln w="25400">
                <a:solidFill>
                  <a:schemeClr val="tx2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'int - 10p'!$B$154:$F$154</c:f>
                <c:numCache>
                  <c:formatCode>General</c:formatCode>
                  <c:ptCount val="5"/>
                  <c:pt idx="0">
                    <c:v>2.538058765360264E-2</c:v>
                  </c:pt>
                  <c:pt idx="1">
                    <c:v>4.2095445589730454E-2</c:v>
                  </c:pt>
                  <c:pt idx="2">
                    <c:v>0.17553406150866846</c:v>
                  </c:pt>
                  <c:pt idx="3">
                    <c:v>0.12694341906298373</c:v>
                  </c:pt>
                  <c:pt idx="4">
                    <c:v>4.0415198756892708E-2</c:v>
                  </c:pt>
                </c:numCache>
              </c:numRef>
            </c:plus>
            <c:minus>
              <c:numRef>
                <c:f>'int - 10p'!$B$154:$F$154</c:f>
                <c:numCache>
                  <c:formatCode>General</c:formatCode>
                  <c:ptCount val="5"/>
                  <c:pt idx="0">
                    <c:v>2.538058765360264E-2</c:v>
                  </c:pt>
                  <c:pt idx="1">
                    <c:v>4.2095445589730454E-2</c:v>
                  </c:pt>
                  <c:pt idx="2">
                    <c:v>0.17553406150866846</c:v>
                  </c:pt>
                  <c:pt idx="3">
                    <c:v>0.12694341906298373</c:v>
                  </c:pt>
                  <c:pt idx="4">
                    <c:v>4.0415198756892708E-2</c:v>
                  </c:pt>
                </c:numCache>
              </c:numRef>
            </c:minus>
          </c:errBars>
          <c:cat>
            <c:strRef>
              <c:f>'int - 10p'!$B$2:$F$2</c:f>
              <c:strCache>
                <c:ptCount val="5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  <c:pt idx="4">
                  <c:v>10k</c:v>
                </c:pt>
              </c:strCache>
            </c:strRef>
          </c:cat>
          <c:val>
            <c:numRef>
              <c:f>'int - 10p'!$B$152:$F$152</c:f>
              <c:numCache>
                <c:formatCode>General</c:formatCode>
                <c:ptCount val="5"/>
                <c:pt idx="0">
                  <c:v>1.0297499999999999</c:v>
                </c:pt>
                <c:pt idx="1">
                  <c:v>2.3506666666666667</c:v>
                </c:pt>
                <c:pt idx="2">
                  <c:v>3.0056666666666665</c:v>
                </c:pt>
                <c:pt idx="3">
                  <c:v>3.2553333333333332</c:v>
                </c:pt>
                <c:pt idx="4">
                  <c:v>3.5516666666666667</c:v>
                </c:pt>
              </c:numCache>
            </c:numRef>
          </c:val>
        </c:ser>
        <c:ser>
          <c:idx val="8"/>
          <c:order val="2"/>
          <c:tx>
            <c:strRef>
              <c:f>'int - 10p'!$A$85</c:f>
              <c:strCache>
                <c:ptCount val="1"/>
                <c:pt idx="0">
                  <c:v>non-incremental deletions 10%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circle"/>
            <c:size val="15"/>
            <c:spPr>
              <a:solidFill>
                <a:schemeClr val="tx2"/>
              </a:solidFill>
              <a:ln w="38100">
                <a:solidFill>
                  <a:schemeClr val="tx2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'int - 10p'!$B$93:$F$93</c:f>
                <c:numCache>
                  <c:formatCode>General</c:formatCode>
                  <c:ptCount val="5"/>
                  <c:pt idx="0">
                    <c:v>1.3981152745449605E-2</c:v>
                  </c:pt>
                  <c:pt idx="1">
                    <c:v>1.0238818839057187E-2</c:v>
                  </c:pt>
                  <c:pt idx="2">
                    <c:v>1.0346122464040887E-2</c:v>
                  </c:pt>
                  <c:pt idx="3">
                    <c:v>1.3243904626302774E-2</c:v>
                  </c:pt>
                  <c:pt idx="4">
                    <c:v>1.7849666512991379E-2</c:v>
                  </c:pt>
                </c:numCache>
              </c:numRef>
            </c:plus>
            <c:minus>
              <c:numRef>
                <c:f>'int - 10p'!$B$93:$F$93</c:f>
                <c:numCache>
                  <c:formatCode>General</c:formatCode>
                  <c:ptCount val="5"/>
                  <c:pt idx="0">
                    <c:v>1.3981152745449605E-2</c:v>
                  </c:pt>
                  <c:pt idx="1">
                    <c:v>1.0238818839057187E-2</c:v>
                  </c:pt>
                  <c:pt idx="2">
                    <c:v>1.0346122464040887E-2</c:v>
                  </c:pt>
                  <c:pt idx="3">
                    <c:v>1.3243904626302774E-2</c:v>
                  </c:pt>
                  <c:pt idx="4">
                    <c:v>1.7849666512991379E-2</c:v>
                  </c:pt>
                </c:numCache>
              </c:numRef>
            </c:minus>
          </c:errBars>
          <c:val>
            <c:numRef>
              <c:f>'int - 10p'!$B$91:$F$91</c:f>
              <c:numCache>
                <c:formatCode>General</c:formatCode>
                <c:ptCount val="5"/>
                <c:pt idx="0">
                  <c:v>5.2885</c:v>
                </c:pt>
                <c:pt idx="1">
                  <c:v>10.426333333333334</c:v>
                </c:pt>
                <c:pt idx="2">
                  <c:v>15.46</c:v>
                </c:pt>
                <c:pt idx="3">
                  <c:v>20.536000000000001</c:v>
                </c:pt>
                <c:pt idx="4">
                  <c:v>25.521666666666668</c:v>
                </c:pt>
              </c:numCache>
            </c:numRef>
          </c:val>
        </c:ser>
        <c:ser>
          <c:idx val="6"/>
          <c:order val="3"/>
          <c:tx>
            <c:strRef>
              <c:f>'int - 10p'!$A$33</c:f>
              <c:strCache>
                <c:ptCount val="1"/>
                <c:pt idx="0">
                  <c:v>incremental deletions 50%</c:v>
                </c:pt>
              </c:strCache>
            </c:strRef>
          </c:tx>
          <c:spPr>
            <a:ln w="38100">
              <a:solidFill>
                <a:schemeClr val="accent5"/>
              </a:solidFill>
            </a:ln>
          </c:spPr>
          <c:marker>
            <c:symbol val="diamond"/>
            <c:size val="15"/>
            <c:spPr>
              <a:noFill/>
              <a:ln w="25400">
                <a:solidFill>
                  <a:schemeClr val="accent5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'int - 10p'!$B$41:$F$41</c:f>
                <c:numCache>
                  <c:formatCode>General</c:formatCode>
                  <c:ptCount val="5"/>
                  <c:pt idx="0">
                    <c:v>3.5334568606508333E-2</c:v>
                  </c:pt>
                  <c:pt idx="1">
                    <c:v>7.4416324916182955E-2</c:v>
                  </c:pt>
                  <c:pt idx="2">
                    <c:v>0.11779391700011047</c:v>
                  </c:pt>
                  <c:pt idx="3">
                    <c:v>0.15922430638085536</c:v>
                  </c:pt>
                  <c:pt idx="4">
                    <c:v>0.12691406231496122</c:v>
                  </c:pt>
                </c:numCache>
              </c:numRef>
            </c:plus>
            <c:minus>
              <c:numRef>
                <c:f>'int - 10p'!$B$41:$F$41</c:f>
                <c:numCache>
                  <c:formatCode>General</c:formatCode>
                  <c:ptCount val="5"/>
                  <c:pt idx="0">
                    <c:v>3.5334568606508333E-2</c:v>
                  </c:pt>
                  <c:pt idx="1">
                    <c:v>7.4416324916182955E-2</c:v>
                  </c:pt>
                  <c:pt idx="2">
                    <c:v>0.11779391700011047</c:v>
                  </c:pt>
                  <c:pt idx="3">
                    <c:v>0.15922430638085536</c:v>
                  </c:pt>
                  <c:pt idx="4">
                    <c:v>0.12691406231496122</c:v>
                  </c:pt>
                </c:numCache>
              </c:numRef>
            </c:minus>
          </c:errBars>
          <c:cat>
            <c:strRef>
              <c:f>'int - 10p'!$B$2:$F$2</c:f>
              <c:strCache>
                <c:ptCount val="5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  <c:pt idx="4">
                  <c:v>10k</c:v>
                </c:pt>
              </c:strCache>
            </c:strRef>
          </c:cat>
          <c:val>
            <c:numRef>
              <c:f>'int - 10p'!$B$39:$F$39</c:f>
              <c:numCache>
                <c:formatCode>General</c:formatCode>
                <c:ptCount val="5"/>
                <c:pt idx="0">
                  <c:v>3.6267499999999999</c:v>
                </c:pt>
                <c:pt idx="1">
                  <c:v>6.8877499999999996</c:v>
                </c:pt>
                <c:pt idx="2">
                  <c:v>10.2455</c:v>
                </c:pt>
                <c:pt idx="3">
                  <c:v>12.8505</c:v>
                </c:pt>
                <c:pt idx="4">
                  <c:v>16.598333333333333</c:v>
                </c:pt>
              </c:numCache>
            </c:numRef>
          </c:val>
        </c:ser>
        <c:ser>
          <c:idx val="3"/>
          <c:order val="4"/>
          <c:tx>
            <c:strRef>
              <c:f>'int - 10p'!$A$156</c:f>
              <c:strCache>
                <c:ptCount val="1"/>
                <c:pt idx="0">
                  <c:v>DRed deletions 50%</c:v>
                </c:pt>
              </c:strCache>
            </c:strRef>
          </c:tx>
          <c:spPr>
            <a:ln w="38100">
              <a:solidFill>
                <a:schemeClr val="accent5"/>
              </a:solidFill>
            </a:ln>
          </c:spPr>
          <c:marker>
            <c:symbol val="square"/>
            <c:size val="15"/>
            <c:spPr>
              <a:noFill/>
              <a:ln w="25400">
                <a:solidFill>
                  <a:schemeClr val="accent5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'int - 10p'!$B$164:$F$164</c:f>
                <c:numCache>
                  <c:formatCode>General</c:formatCode>
                  <c:ptCount val="5"/>
                  <c:pt idx="0">
                    <c:v>3.0180581642324764E-2</c:v>
                  </c:pt>
                  <c:pt idx="1">
                    <c:v>0.59094583167536374</c:v>
                  </c:pt>
                  <c:pt idx="2">
                    <c:v>0.30752515713193684</c:v>
                  </c:pt>
                  <c:pt idx="3">
                    <c:v>0.11543131303502149</c:v>
                  </c:pt>
                  <c:pt idx="4">
                    <c:v>0.24308531839163641</c:v>
                  </c:pt>
                </c:numCache>
              </c:numRef>
            </c:plus>
            <c:minus>
              <c:numRef>
                <c:f>'int - 10p'!$B$164:$F$164</c:f>
                <c:numCache>
                  <c:formatCode>General</c:formatCode>
                  <c:ptCount val="5"/>
                  <c:pt idx="0">
                    <c:v>3.0180581642324764E-2</c:v>
                  </c:pt>
                  <c:pt idx="1">
                    <c:v>0.59094583167536374</c:v>
                  </c:pt>
                  <c:pt idx="2">
                    <c:v>0.30752515713193684</c:v>
                  </c:pt>
                  <c:pt idx="3">
                    <c:v>0.11543131303502149</c:v>
                  </c:pt>
                  <c:pt idx="4">
                    <c:v>0.24308531839163641</c:v>
                  </c:pt>
                </c:numCache>
              </c:numRef>
            </c:minus>
          </c:errBars>
          <c:cat>
            <c:strRef>
              <c:f>'int - 10p'!$B$2:$F$2</c:f>
              <c:strCache>
                <c:ptCount val="5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  <c:pt idx="4">
                  <c:v>10k</c:v>
                </c:pt>
              </c:strCache>
            </c:strRef>
          </c:cat>
          <c:val>
            <c:numRef>
              <c:f>'int - 10p'!$B$162:$F$162</c:f>
              <c:numCache>
                <c:formatCode>General</c:formatCode>
                <c:ptCount val="5"/>
                <c:pt idx="0">
                  <c:v>3.1435</c:v>
                </c:pt>
                <c:pt idx="1">
                  <c:v>7.6026666666666669</c:v>
                </c:pt>
                <c:pt idx="2">
                  <c:v>9.5939999999999994</c:v>
                </c:pt>
                <c:pt idx="3">
                  <c:v>10.618333333333334</c:v>
                </c:pt>
                <c:pt idx="4">
                  <c:v>13.072666666666667</c:v>
                </c:pt>
              </c:numCache>
            </c:numRef>
          </c:val>
        </c:ser>
        <c:ser>
          <c:idx val="9"/>
          <c:order val="5"/>
          <c:tx>
            <c:strRef>
              <c:f>'int - 10p'!$A$95</c:f>
              <c:strCache>
                <c:ptCount val="1"/>
                <c:pt idx="0">
                  <c:v>non-incremental deletions 50%</c:v>
                </c:pt>
              </c:strCache>
            </c:strRef>
          </c:tx>
          <c:spPr>
            <a:ln w="38100">
              <a:solidFill>
                <a:schemeClr val="accent5"/>
              </a:solidFill>
            </a:ln>
          </c:spPr>
          <c:marker>
            <c:symbol val="circle"/>
            <c:size val="15"/>
            <c:spPr>
              <a:noFill/>
              <a:ln w="25400">
                <a:solidFill>
                  <a:schemeClr val="accent5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'int - 10p'!$B$41:$F$41</c:f>
                <c:numCache>
                  <c:formatCode>General</c:formatCode>
                  <c:ptCount val="5"/>
                  <c:pt idx="0">
                    <c:v>3.5334568606508333E-2</c:v>
                  </c:pt>
                  <c:pt idx="1">
                    <c:v>7.4416324916182955E-2</c:v>
                  </c:pt>
                  <c:pt idx="2">
                    <c:v>0.11779391700011047</c:v>
                  </c:pt>
                  <c:pt idx="3">
                    <c:v>0.15922430638085536</c:v>
                  </c:pt>
                  <c:pt idx="4">
                    <c:v>0.12691406231496122</c:v>
                  </c:pt>
                </c:numCache>
              </c:numRef>
            </c:plus>
            <c:minus>
              <c:numRef>
                <c:f>'int - 10p'!$B$41:$F$41</c:f>
                <c:numCache>
                  <c:formatCode>General</c:formatCode>
                  <c:ptCount val="5"/>
                  <c:pt idx="0">
                    <c:v>3.5334568606508333E-2</c:v>
                  </c:pt>
                  <c:pt idx="1">
                    <c:v>7.4416324916182955E-2</c:v>
                  </c:pt>
                  <c:pt idx="2">
                    <c:v>0.11779391700011047</c:v>
                  </c:pt>
                  <c:pt idx="3">
                    <c:v>0.15922430638085536</c:v>
                  </c:pt>
                  <c:pt idx="4">
                    <c:v>0.12691406231496122</c:v>
                  </c:pt>
                </c:numCache>
              </c:numRef>
            </c:minus>
          </c:errBars>
          <c:val>
            <c:numRef>
              <c:f>'int - 10p'!$B$101:$F$101</c:f>
              <c:numCache>
                <c:formatCode>General</c:formatCode>
                <c:ptCount val="5"/>
                <c:pt idx="0">
                  <c:v>3.1509999999999998</c:v>
                </c:pt>
                <c:pt idx="1">
                  <c:v>5.8713333333333333</c:v>
                </c:pt>
                <c:pt idx="2">
                  <c:v>8.533666666666667</c:v>
                </c:pt>
                <c:pt idx="3">
                  <c:v>11.273999999999999</c:v>
                </c:pt>
                <c:pt idx="4">
                  <c:v>14.097</c:v>
                </c:pt>
              </c:numCache>
            </c:numRef>
          </c:val>
        </c:ser>
        <c:marker val="1"/>
        <c:axId val="72663424"/>
        <c:axId val="72665728"/>
      </c:lineChart>
      <c:catAx>
        <c:axId val="726634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Number of tuples</a:t>
                </a:r>
              </a:p>
            </c:rich>
          </c:tx>
          <c:layout>
            <c:manualLayout>
              <c:xMode val="edge"/>
              <c:yMode val="edge"/>
              <c:x val="0.38641608968018487"/>
              <c:y val="0.923144488361879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2665728"/>
        <c:crosses val="autoZero"/>
        <c:auto val="1"/>
        <c:lblAlgn val="ctr"/>
        <c:lblOffset val="100"/>
        <c:tickLblSkip val="1"/>
        <c:tickMarkSkip val="1"/>
      </c:catAx>
      <c:valAx>
        <c:axId val="7266572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1.3188664807212498E-3"/>
              <c:y val="0.3178780711743545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26634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2510248184788866"/>
          <c:y val="1.2296831252088544E-2"/>
          <c:w val="0.51137487636003964"/>
          <c:h val="0.3314365150996445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2496350730229266"/>
          <c:y val="2.8166460651009473E-2"/>
          <c:w val="0.86580004954099543"/>
          <c:h val="0.79480671838146311"/>
        </c:manualLayout>
      </c:layout>
      <c:lineChart>
        <c:grouping val="standard"/>
        <c:ser>
          <c:idx val="4"/>
          <c:order val="0"/>
          <c:tx>
            <c:strRef>
              <c:f>'int - 10k 10p - faceoff'!$A$3</c:f>
              <c:strCache>
                <c:ptCount val="1"/>
                <c:pt idx="0">
                  <c:v>incremental deletions</c:v>
                </c:pt>
              </c:strCache>
            </c:strRef>
          </c:tx>
          <c:spPr>
            <a:ln w="38100">
              <a:solidFill>
                <a:srgbClr val="1F497D"/>
              </a:solidFill>
            </a:ln>
          </c:spPr>
          <c:marker>
            <c:symbol val="triangle"/>
            <c:size val="15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'int - 10k 10p - faceoff'!$B$11:$K$11</c:f>
                <c:numCache>
                  <c:formatCode>General</c:formatCode>
                  <c:ptCount val="10"/>
                  <c:pt idx="0">
                    <c:v>1.4766404755180524</c:v>
                  </c:pt>
                  <c:pt idx="1">
                    <c:v>0.30240948619696717</c:v>
                  </c:pt>
                  <c:pt idx="2">
                    <c:v>0.25147365239540953</c:v>
                  </c:pt>
                  <c:pt idx="3">
                    <c:v>0.12388329086857618</c:v>
                  </c:pt>
                  <c:pt idx="4">
                    <c:v>3.807781791638843E-2</c:v>
                  </c:pt>
                  <c:pt idx="5">
                    <c:v>0.27040105951658283</c:v>
                  </c:pt>
                  <c:pt idx="6">
                    <c:v>0.47607505011934625</c:v>
                  </c:pt>
                  <c:pt idx="7">
                    <c:v>2.9595780661969568E-2</c:v>
                  </c:pt>
                  <c:pt idx="8">
                    <c:v>0.7805424980285659</c:v>
                  </c:pt>
                  <c:pt idx="9">
                    <c:v>1.0363237702660077</c:v>
                  </c:pt>
                </c:numCache>
              </c:numRef>
            </c:plus>
            <c:minus>
              <c:numRef>
                <c:f>'int - 10k 10p - faceoff'!$B$11:$K$11</c:f>
                <c:numCache>
                  <c:formatCode>General</c:formatCode>
                  <c:ptCount val="10"/>
                  <c:pt idx="0">
                    <c:v>1.4766404755180524</c:v>
                  </c:pt>
                  <c:pt idx="1">
                    <c:v>0.30240948619696717</c:v>
                  </c:pt>
                  <c:pt idx="2">
                    <c:v>0.25147365239540953</c:v>
                  </c:pt>
                  <c:pt idx="3">
                    <c:v>0.12388329086857618</c:v>
                  </c:pt>
                  <c:pt idx="4">
                    <c:v>3.807781791638843E-2</c:v>
                  </c:pt>
                  <c:pt idx="5">
                    <c:v>0.27040105951658283</c:v>
                  </c:pt>
                  <c:pt idx="6">
                    <c:v>0.47607505011934625</c:v>
                  </c:pt>
                  <c:pt idx="7">
                    <c:v>2.9595780661969568E-2</c:v>
                  </c:pt>
                  <c:pt idx="8">
                    <c:v>0.7805424980285659</c:v>
                  </c:pt>
                  <c:pt idx="9">
                    <c:v>1.0363237702660077</c:v>
                  </c:pt>
                </c:numCache>
              </c:numRef>
            </c:minus>
          </c:errBars>
          <c:cat>
            <c:numRef>
              <c:f>'int - 10k 10p - faceoff'!$B$3:$H$3</c:f>
              <c:numCache>
                <c:formatCode>0%</c:formatCode>
                <c:ptCount val="7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</c:numCache>
            </c:numRef>
          </c:cat>
          <c:val>
            <c:numRef>
              <c:f>'int - 10k 10p - faceoff'!$B$9:$H$9</c:f>
              <c:numCache>
                <c:formatCode>General</c:formatCode>
                <c:ptCount val="7"/>
                <c:pt idx="0">
                  <c:v>6.8019999999999996</c:v>
                </c:pt>
                <c:pt idx="1">
                  <c:v>11.502333333333333</c:v>
                </c:pt>
                <c:pt idx="2">
                  <c:v>16.733333333333334</c:v>
                </c:pt>
                <c:pt idx="3">
                  <c:v>21.331</c:v>
                </c:pt>
                <c:pt idx="4">
                  <c:v>22.433</c:v>
                </c:pt>
                <c:pt idx="5">
                  <c:v>26.894666666666666</c:v>
                </c:pt>
                <c:pt idx="6">
                  <c:v>31.101666666666667</c:v>
                </c:pt>
              </c:numCache>
            </c:numRef>
          </c:val>
        </c:ser>
        <c:ser>
          <c:idx val="6"/>
          <c:order val="1"/>
          <c:tx>
            <c:strRef>
              <c:f>'int - 10k 10p - faceoff'!$A$25</c:f>
              <c:strCache>
                <c:ptCount val="1"/>
                <c:pt idx="0">
                  <c:v>DRed deletions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5"/>
            <c:spPr>
              <a:solidFill>
                <a:schemeClr val="tx2"/>
              </a:solidFill>
              <a:ln w="12700">
                <a:solidFill>
                  <a:schemeClr val="tx2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'int - 10k 10p - faceoff'!$B$33:$K$33</c:f>
                <c:numCache>
                  <c:formatCode>General</c:formatCode>
                  <c:ptCount val="10"/>
                  <c:pt idx="0">
                    <c:v>1.9006046499187235</c:v>
                  </c:pt>
                  <c:pt idx="1">
                    <c:v>9.069520238844947E-2</c:v>
                  </c:pt>
                  <c:pt idx="2">
                    <c:v>0.28024822453825932</c:v>
                  </c:pt>
                  <c:pt idx="3">
                    <c:v>0.35823544326253781</c:v>
                  </c:pt>
                  <c:pt idx="4">
                    <c:v>0.7464720771618768</c:v>
                  </c:pt>
                  <c:pt idx="5">
                    <c:v>6.9001171615322932E-2</c:v>
                  </c:pt>
                  <c:pt idx="6">
                    <c:v>2.7503120847391937E-2</c:v>
                  </c:pt>
                  <c:pt idx="7">
                    <c:v>0.86427928260853293</c:v>
                  </c:pt>
                  <c:pt idx="8">
                    <c:v>0.85821074611620274</c:v>
                  </c:pt>
                  <c:pt idx="9">
                    <c:v>0.60449221476047754</c:v>
                  </c:pt>
                </c:numCache>
              </c:numRef>
            </c:plus>
            <c:minus>
              <c:numRef>
                <c:f>'int - 10k 10p - faceoff'!$B$33:$K$33</c:f>
                <c:numCache>
                  <c:formatCode>General</c:formatCode>
                  <c:ptCount val="10"/>
                  <c:pt idx="0">
                    <c:v>1.9006046499187235</c:v>
                  </c:pt>
                  <c:pt idx="1">
                    <c:v>9.069520238844947E-2</c:v>
                  </c:pt>
                  <c:pt idx="2">
                    <c:v>0.28024822453825932</c:v>
                  </c:pt>
                  <c:pt idx="3">
                    <c:v>0.35823544326253781</c:v>
                  </c:pt>
                  <c:pt idx="4">
                    <c:v>0.7464720771618768</c:v>
                  </c:pt>
                  <c:pt idx="5">
                    <c:v>6.9001171615322932E-2</c:v>
                  </c:pt>
                  <c:pt idx="6">
                    <c:v>2.7503120847391937E-2</c:v>
                  </c:pt>
                  <c:pt idx="7">
                    <c:v>0.86427928260853293</c:v>
                  </c:pt>
                  <c:pt idx="8">
                    <c:v>0.85821074611620274</c:v>
                  </c:pt>
                  <c:pt idx="9">
                    <c:v>0.60449221476047754</c:v>
                  </c:pt>
                </c:numCache>
              </c:numRef>
            </c:minus>
          </c:errBars>
          <c:cat>
            <c:numRef>
              <c:f>'int - 10k 10p - faceoff'!$B$3:$H$3</c:f>
              <c:numCache>
                <c:formatCode>0%</c:formatCode>
                <c:ptCount val="7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</c:numCache>
            </c:numRef>
          </c:cat>
          <c:val>
            <c:numRef>
              <c:f>'int - 10k 10p - faceoff'!$B$31:$H$31</c:f>
              <c:numCache>
                <c:formatCode>General</c:formatCode>
                <c:ptCount val="7"/>
                <c:pt idx="0">
                  <c:v>19.161666666666665</c:v>
                </c:pt>
                <c:pt idx="1">
                  <c:v>24.196000000000002</c:v>
                </c:pt>
                <c:pt idx="2">
                  <c:v>29.722999999999999</c:v>
                </c:pt>
                <c:pt idx="3">
                  <c:v>35.885666666666665</c:v>
                </c:pt>
                <c:pt idx="4">
                  <c:v>38.412666666666667</c:v>
                </c:pt>
                <c:pt idx="5">
                  <c:v>42.37</c:v>
                </c:pt>
                <c:pt idx="6">
                  <c:v>46.894333333333336</c:v>
                </c:pt>
              </c:numCache>
            </c:numRef>
          </c:val>
        </c:ser>
        <c:ser>
          <c:idx val="5"/>
          <c:order val="2"/>
          <c:tx>
            <c:strRef>
              <c:f>'int - 10k 10p - faceoff'!$A$14</c:f>
              <c:strCache>
                <c:ptCount val="1"/>
                <c:pt idx="0">
                  <c:v>non-incremental deletions</c:v>
                </c:pt>
              </c:strCache>
            </c:strRef>
          </c:tx>
          <c:spPr>
            <a:ln w="38100">
              <a:solidFill>
                <a:schemeClr val="accent5"/>
              </a:solidFill>
            </a:ln>
          </c:spPr>
          <c:marker>
            <c:symbol val="diamond"/>
            <c:size val="18"/>
            <c:spPr>
              <a:noFill/>
              <a:ln w="38100">
                <a:solidFill>
                  <a:schemeClr val="accent5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'int - 10k 10p - faceoff'!$B$22:$K$22</c:f>
                <c:numCache>
                  <c:formatCode>General</c:formatCode>
                  <c:ptCount val="10"/>
                  <c:pt idx="0">
                    <c:v>0.58126716358055819</c:v>
                  </c:pt>
                  <c:pt idx="1">
                    <c:v>1.0156502637026872</c:v>
                  </c:pt>
                  <c:pt idx="2">
                    <c:v>0.21899788942394038</c:v>
                  </c:pt>
                  <c:pt idx="3">
                    <c:v>0.59268922009473257</c:v>
                  </c:pt>
                  <c:pt idx="4">
                    <c:v>1.3112730334427981E-2</c:v>
                  </c:pt>
                  <c:pt idx="5">
                    <c:v>1.1256576708675956E-2</c:v>
                  </c:pt>
                  <c:pt idx="6">
                    <c:v>8.20594344891514E-2</c:v>
                  </c:pt>
                  <c:pt idx="7">
                    <c:v>0.34741137033253855</c:v>
                  </c:pt>
                  <c:pt idx="8">
                    <c:v>5.7644270139367865E-3</c:v>
                  </c:pt>
                  <c:pt idx="9">
                    <c:v>1.0105700507429637E-2</c:v>
                  </c:pt>
                </c:numCache>
              </c:numRef>
            </c:plus>
            <c:minus>
              <c:numRef>
                <c:f>'int - 10k 10p - faceoff'!$B$22:$K$22</c:f>
                <c:numCache>
                  <c:formatCode>General</c:formatCode>
                  <c:ptCount val="10"/>
                  <c:pt idx="0">
                    <c:v>0.58126716358055819</c:v>
                  </c:pt>
                  <c:pt idx="1">
                    <c:v>1.0156502637026872</c:v>
                  </c:pt>
                  <c:pt idx="2">
                    <c:v>0.21899788942394038</c:v>
                  </c:pt>
                  <c:pt idx="3">
                    <c:v>0.59268922009473257</c:v>
                  </c:pt>
                  <c:pt idx="4">
                    <c:v>1.3112730334427981E-2</c:v>
                  </c:pt>
                  <c:pt idx="5">
                    <c:v>1.1256576708675956E-2</c:v>
                  </c:pt>
                  <c:pt idx="6">
                    <c:v>8.20594344891514E-2</c:v>
                  </c:pt>
                  <c:pt idx="7">
                    <c:v>0.34741137033253855</c:v>
                  </c:pt>
                  <c:pt idx="8">
                    <c:v>5.7644270139367865E-3</c:v>
                  </c:pt>
                  <c:pt idx="9">
                    <c:v>1.0105700507429637E-2</c:v>
                  </c:pt>
                </c:numCache>
              </c:numRef>
            </c:minus>
          </c:errBars>
          <c:cat>
            <c:numRef>
              <c:f>'int - 10k 10p - faceoff'!$B$3:$H$3</c:f>
              <c:numCache>
                <c:formatCode>0%</c:formatCode>
                <c:ptCount val="7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</c:numCache>
            </c:numRef>
          </c:cat>
          <c:val>
            <c:numRef>
              <c:f>'int - 10k 10p - faceoff'!$B$20:$H$20</c:f>
              <c:numCache>
                <c:formatCode>General</c:formatCode>
                <c:ptCount val="7"/>
                <c:pt idx="0">
                  <c:v>32.625666666666667</c:v>
                </c:pt>
                <c:pt idx="1">
                  <c:v>32.511000000000003</c:v>
                </c:pt>
                <c:pt idx="2">
                  <c:v>31.236999999999998</c:v>
                </c:pt>
                <c:pt idx="3">
                  <c:v>25.246666666666666</c:v>
                </c:pt>
                <c:pt idx="4">
                  <c:v>22.786999999999999</c:v>
                </c:pt>
                <c:pt idx="5">
                  <c:v>20.441333333333333</c:v>
                </c:pt>
                <c:pt idx="6">
                  <c:v>18.153333333333332</c:v>
                </c:pt>
              </c:numCache>
            </c:numRef>
          </c:val>
        </c:ser>
        <c:marker val="1"/>
        <c:axId val="72989312"/>
        <c:axId val="73004160"/>
      </c:lineChart>
      <c:catAx>
        <c:axId val="729893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Deletion</a:t>
                </a:r>
                <a:r>
                  <a:rPr lang="en-US" sz="3200" baseline="0">
                    <a:latin typeface="+mn-lt"/>
                  </a:rPr>
                  <a:t> ratio</a:t>
                </a:r>
                <a:endParaRPr lang="en-US" sz="3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42459545273714"/>
              <c:y val="0.92908558247277184"/>
            </c:manualLayout>
          </c:layout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3004160"/>
        <c:crosses val="autoZero"/>
        <c:auto val="1"/>
        <c:lblAlgn val="ctr"/>
        <c:lblOffset val="100"/>
        <c:tickLblSkip val="1"/>
        <c:tickMarkSkip val="1"/>
      </c:catAx>
      <c:valAx>
        <c:axId val="7300416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1.3187912998005849E-3"/>
              <c:y val="0.304693069114197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2989312"/>
        <c:crosses val="autoZero"/>
        <c:crossBetween val="between"/>
        <c:majorUnit val="1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2774450858085071"/>
          <c:y val="1.2296831252088549E-2"/>
          <c:w val="0.44147708539399932"/>
          <c:h val="0.18724015229321644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5496208374546669"/>
          <c:y val="2.8096999588984792E-2"/>
          <c:w val="0.84404879657105203"/>
          <c:h val="0.81046787770517592"/>
        </c:manualLayout>
      </c:layout>
      <c:lineChart>
        <c:grouping val="standard"/>
        <c:ser>
          <c:idx val="0"/>
          <c:order val="0"/>
          <c:tx>
            <c:strRef>
              <c:f>'str - 2k'!$A$3</c:f>
              <c:strCache>
                <c:ptCount val="1"/>
                <c:pt idx="0">
                  <c:v>time to join</c:v>
                </c:pt>
              </c:strCache>
            </c:strRef>
          </c:tx>
          <c:spPr>
            <a:ln w="38100"/>
          </c:spPr>
          <c:marker>
            <c:symbol val="circle"/>
            <c:size val="15"/>
            <c:spPr>
              <a:solidFill>
                <a:schemeClr val="accent1"/>
              </a:solidFill>
            </c:spPr>
          </c:marker>
          <c:errBars>
            <c:errDir val="y"/>
            <c:errBarType val="both"/>
            <c:errValType val="cust"/>
            <c:plus>
              <c:numRef>
                <c:f>'str - 2k'!$B$11:$I$11</c:f>
                <c:numCache>
                  <c:formatCode>General</c:formatCode>
                  <c:ptCount val="8"/>
                  <c:pt idx="0">
                    <c:v>4.8356923192310643E-2</c:v>
                  </c:pt>
                  <c:pt idx="1">
                    <c:v>0.77968677878252224</c:v>
                  </c:pt>
                  <c:pt idx="2">
                    <c:v>6.2773739959819572</c:v>
                  </c:pt>
                  <c:pt idx="3">
                    <c:v>27.71304130022488</c:v>
                  </c:pt>
                  <c:pt idx="4">
                    <c:v>15.818151911454104</c:v>
                  </c:pt>
                  <c:pt idx="5">
                    <c:v>34.682293922024783</c:v>
                  </c:pt>
                  <c:pt idx="6">
                    <c:v>26.125380470705394</c:v>
                  </c:pt>
                  <c:pt idx="7">
                    <c:v>108.94539518400585</c:v>
                  </c:pt>
                </c:numCache>
              </c:numRef>
            </c:plus>
            <c:minus>
              <c:numRef>
                <c:f>'str - 2k'!$B$11:$I$11</c:f>
                <c:numCache>
                  <c:formatCode>General</c:formatCode>
                  <c:ptCount val="8"/>
                  <c:pt idx="0">
                    <c:v>4.8356923192310643E-2</c:v>
                  </c:pt>
                  <c:pt idx="1">
                    <c:v>0.77968677878252224</c:v>
                  </c:pt>
                  <c:pt idx="2">
                    <c:v>6.2773739959819572</c:v>
                  </c:pt>
                  <c:pt idx="3">
                    <c:v>27.71304130022488</c:v>
                  </c:pt>
                  <c:pt idx="4">
                    <c:v>15.818151911454104</c:v>
                  </c:pt>
                  <c:pt idx="5">
                    <c:v>34.682293922024783</c:v>
                  </c:pt>
                  <c:pt idx="6">
                    <c:v>26.125380470705394</c:v>
                  </c:pt>
                  <c:pt idx="7">
                    <c:v>108.94539518400585</c:v>
                  </c:pt>
                </c:numCache>
              </c:numRef>
            </c:minus>
          </c:errBars>
          <c:cat>
            <c:numRef>
              <c:f>('str - 2k'!$C$2,'str - 2k'!$E$2,'str - 2k'!$G$2,'str - 2k'!$I$2)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cat>
          <c:val>
            <c:numRef>
              <c:f>('str - 2k'!$C$9,'str - 2k'!$E$9,'str - 2k'!$G$9,'str - 2k'!$I$9)</c:f>
              <c:numCache>
                <c:formatCode>General</c:formatCode>
                <c:ptCount val="4"/>
                <c:pt idx="0">
                  <c:v>20.565999999999999</c:v>
                </c:pt>
                <c:pt idx="1">
                  <c:v>241.69</c:v>
                </c:pt>
                <c:pt idx="2">
                  <c:v>378.64766666666668</c:v>
                </c:pt>
                <c:pt idx="3">
                  <c:v>946.24766666666665</c:v>
                </c:pt>
              </c:numCache>
            </c:numRef>
          </c:val>
        </c:ser>
        <c:ser>
          <c:idx val="1"/>
          <c:order val="1"/>
          <c:tx>
            <c:strRef>
              <c:f>'str - 2k'!$A$13</c:f>
              <c:strCache>
                <c:ptCount val="1"/>
                <c:pt idx="0">
                  <c:v>incremental deletions 1%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5"/>
            <c:spPr>
              <a:noFill/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cat>
            <c:numRef>
              <c:f>('str - 2k'!$C$2,'str - 2k'!$E$2,'str - 2k'!$G$2,'str - 2k'!$I$2)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cat>
          <c:val>
            <c:numRef>
              <c:f>('str - 2k'!$C$19,'str - 2k'!$E$19,'str - 2k'!$G$19)</c:f>
              <c:numCache>
                <c:formatCode>General</c:formatCode>
                <c:ptCount val="3"/>
                <c:pt idx="0">
                  <c:v>13.606333333333334</c:v>
                </c:pt>
                <c:pt idx="1">
                  <c:v>48.444000000000003</c:v>
                </c:pt>
                <c:pt idx="2">
                  <c:v>89.018000000000001</c:v>
                </c:pt>
              </c:numCache>
            </c:numRef>
          </c:val>
        </c:ser>
        <c:ser>
          <c:idx val="2"/>
          <c:order val="2"/>
          <c:tx>
            <c:strRef>
              <c:f>'str - 2k'!$A$23</c:f>
              <c:strCache>
                <c:ptCount val="1"/>
                <c:pt idx="0">
                  <c:v>incremental deletions 10%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diamond"/>
            <c:size val="18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'str - 2k'!$B$31:$I$31</c:f>
                <c:numCache>
                  <c:formatCode>General</c:formatCode>
                  <c:ptCount val="8"/>
                  <c:pt idx="0">
                    <c:v>1.4015455639973E-2</c:v>
                  </c:pt>
                  <c:pt idx="1">
                    <c:v>0.54841926981495115</c:v>
                  </c:pt>
                  <c:pt idx="2">
                    <c:v>0.34838124132531945</c:v>
                  </c:pt>
                  <c:pt idx="3">
                    <c:v>0.40293534786541851</c:v>
                  </c:pt>
                  <c:pt idx="4">
                    <c:v>0.4294457984192161</c:v>
                  </c:pt>
                  <c:pt idx="5">
                    <c:v>1.2505950491295712</c:v>
                  </c:pt>
                  <c:pt idx="6">
                    <c:v>0.93915338826120998</c:v>
                  </c:pt>
                  <c:pt idx="7">
                    <c:v>1.774230211159733</c:v>
                  </c:pt>
                </c:numCache>
              </c:numRef>
            </c:plus>
            <c:minus>
              <c:numRef>
                <c:f>'str - 2k'!$B$31:$I$31</c:f>
                <c:numCache>
                  <c:formatCode>General</c:formatCode>
                  <c:ptCount val="8"/>
                  <c:pt idx="0">
                    <c:v>1.4015455639973E-2</c:v>
                  </c:pt>
                  <c:pt idx="1">
                    <c:v>0.54841926981495115</c:v>
                  </c:pt>
                  <c:pt idx="2">
                    <c:v>0.34838124132531945</c:v>
                  </c:pt>
                  <c:pt idx="3">
                    <c:v>0.40293534786541851</c:v>
                  </c:pt>
                  <c:pt idx="4">
                    <c:v>0.4294457984192161</c:v>
                  </c:pt>
                  <c:pt idx="5">
                    <c:v>1.2505950491295712</c:v>
                  </c:pt>
                  <c:pt idx="6">
                    <c:v>0.93915338826120998</c:v>
                  </c:pt>
                  <c:pt idx="7">
                    <c:v>1.774230211159733</c:v>
                  </c:pt>
                </c:numCache>
              </c:numRef>
            </c:minus>
          </c:errBars>
          <c:cat>
            <c:numRef>
              <c:f>('str - 2k'!$C$2,'str - 2k'!$E$2,'str - 2k'!$G$2,'str - 2k'!$I$2)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cat>
          <c:val>
            <c:numRef>
              <c:f>('str - 2k'!$C$29,'str - 2k'!$E$29,'str - 2k'!$G$29,'str - 2k'!$I$29)</c:f>
              <c:numCache>
                <c:formatCode>General</c:formatCode>
                <c:ptCount val="4"/>
                <c:pt idx="0">
                  <c:v>14.695333333333334</c:v>
                </c:pt>
                <c:pt idx="1">
                  <c:v>53.542999999999999</c:v>
                </c:pt>
                <c:pt idx="2">
                  <c:v>104.89366666666666</c:v>
                </c:pt>
                <c:pt idx="3">
                  <c:v>141.84899999999999</c:v>
                </c:pt>
              </c:numCache>
            </c:numRef>
          </c:val>
        </c:ser>
        <c:ser>
          <c:idx val="3"/>
          <c:order val="3"/>
          <c:tx>
            <c:strRef>
              <c:f>'str - 2k'!$A$33</c:f>
              <c:strCache>
                <c:ptCount val="1"/>
                <c:pt idx="0">
                  <c:v>incremental deletions 50%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square"/>
            <c:size val="15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'str - 2k'!$B$41:$I$41</c:f>
                <c:numCache>
                  <c:formatCode>General</c:formatCode>
                  <c:ptCount val="8"/>
                  <c:pt idx="0">
                    <c:v>6.7871518081718915E-2</c:v>
                  </c:pt>
                  <c:pt idx="1">
                    <c:v>0.32930903438879378</c:v>
                  </c:pt>
                  <c:pt idx="2">
                    <c:v>1.6902335428048783</c:v>
                  </c:pt>
                  <c:pt idx="3">
                    <c:v>1.4852704710628803</c:v>
                  </c:pt>
                  <c:pt idx="4">
                    <c:v>1.435364118373424</c:v>
                  </c:pt>
                  <c:pt idx="5">
                    <c:v>6.1792456493064494</c:v>
                  </c:pt>
                  <c:pt idx="6">
                    <c:v>2.8982157761049008</c:v>
                  </c:pt>
                  <c:pt idx="7">
                    <c:v>6.5899922520834329</c:v>
                  </c:pt>
                </c:numCache>
              </c:numRef>
            </c:plus>
            <c:minus>
              <c:numRef>
                <c:f>'str - 2k'!$B$41:$I$41</c:f>
                <c:numCache>
                  <c:formatCode>General</c:formatCode>
                  <c:ptCount val="8"/>
                  <c:pt idx="0">
                    <c:v>6.7871518081718915E-2</c:v>
                  </c:pt>
                  <c:pt idx="1">
                    <c:v>0.32930903438879378</c:v>
                  </c:pt>
                  <c:pt idx="2">
                    <c:v>1.6902335428048783</c:v>
                  </c:pt>
                  <c:pt idx="3">
                    <c:v>1.4852704710628803</c:v>
                  </c:pt>
                  <c:pt idx="4">
                    <c:v>1.435364118373424</c:v>
                  </c:pt>
                  <c:pt idx="5">
                    <c:v>6.1792456493064494</c:v>
                  </c:pt>
                  <c:pt idx="6">
                    <c:v>2.8982157761049008</c:v>
                  </c:pt>
                  <c:pt idx="7">
                    <c:v>6.5899922520834329</c:v>
                  </c:pt>
                </c:numCache>
              </c:numRef>
            </c:minus>
          </c:errBars>
          <c:cat>
            <c:numRef>
              <c:f>('str - 2k'!$C$2,'str - 2k'!$E$2,'str - 2k'!$G$2,'str - 2k'!$I$2)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cat>
          <c:val>
            <c:numRef>
              <c:f>('str - 2k'!$C$39,'str - 2k'!$E$39,'str - 2k'!$G$39,'str - 2k'!$I$39)</c:f>
              <c:numCache>
                <c:formatCode>General</c:formatCode>
                <c:ptCount val="4"/>
                <c:pt idx="0">
                  <c:v>18.094999999999999</c:v>
                </c:pt>
                <c:pt idx="1">
                  <c:v>82.128</c:v>
                </c:pt>
                <c:pt idx="2">
                  <c:v>150.99833333333333</c:v>
                </c:pt>
                <c:pt idx="3">
                  <c:v>279.72666666666669</c:v>
                </c:pt>
              </c:numCache>
            </c:numRef>
          </c:val>
        </c:ser>
        <c:ser>
          <c:idx val="4"/>
          <c:order val="4"/>
          <c:tx>
            <c:strRef>
              <c:f>'str - 2k'!$A$43</c:f>
              <c:strCache>
                <c:ptCount val="1"/>
                <c:pt idx="0">
                  <c:v>incremental insertions 1%</c:v>
                </c:pt>
              </c:strCache>
            </c:strRef>
          </c:tx>
          <c:spPr>
            <a:ln w="38100">
              <a:solidFill>
                <a:srgbClr val="1F497D"/>
              </a:solidFill>
            </a:ln>
          </c:spPr>
          <c:marker>
            <c:symbol val="triangle"/>
            <c:size val="15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'str - 2k'!$B$51:$I$51</c:f>
                <c:numCache>
                  <c:formatCode>General</c:formatCode>
                  <c:ptCount val="8"/>
                  <c:pt idx="0">
                    <c:v>2.2608505273063337E-2</c:v>
                  </c:pt>
                  <c:pt idx="1">
                    <c:v>6.3375671077809184E-2</c:v>
                  </c:pt>
                  <c:pt idx="2">
                    <c:v>0.34200366261717341</c:v>
                  </c:pt>
                  <c:pt idx="3">
                    <c:v>0.32742443481303901</c:v>
                  </c:pt>
                  <c:pt idx="4">
                    <c:v>0.59116775047134629</c:v>
                  </c:pt>
                  <c:pt idx="5">
                    <c:v>2.1654946913392177</c:v>
                  </c:pt>
                  <c:pt idx="6">
                    <c:v>0.60724281884370679</c:v>
                  </c:pt>
                  <c:pt idx="7">
                    <c:v>1.6035777456721607</c:v>
                  </c:pt>
                </c:numCache>
              </c:numRef>
            </c:plus>
            <c:minus>
              <c:numRef>
                <c:f>'str - 2k'!$B$51:$I$51</c:f>
                <c:numCache>
                  <c:formatCode>General</c:formatCode>
                  <c:ptCount val="8"/>
                  <c:pt idx="0">
                    <c:v>2.2608505273063337E-2</c:v>
                  </c:pt>
                  <c:pt idx="1">
                    <c:v>6.3375671077809184E-2</c:v>
                  </c:pt>
                  <c:pt idx="2">
                    <c:v>0.34200366261717341</c:v>
                  </c:pt>
                  <c:pt idx="3">
                    <c:v>0.32742443481303901</c:v>
                  </c:pt>
                  <c:pt idx="4">
                    <c:v>0.59116775047134629</c:v>
                  </c:pt>
                  <c:pt idx="5">
                    <c:v>2.1654946913392177</c:v>
                  </c:pt>
                  <c:pt idx="6">
                    <c:v>0.60724281884370679</c:v>
                  </c:pt>
                  <c:pt idx="7">
                    <c:v>1.6035777456721607</c:v>
                  </c:pt>
                </c:numCache>
              </c:numRef>
            </c:minus>
          </c:errBars>
          <c:cat>
            <c:numRef>
              <c:f>('str - 2k'!$C$2,'str - 2k'!$E$2,'str - 2k'!$G$2,'str - 2k'!$I$2)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cat>
          <c:val>
            <c:numRef>
              <c:f>('str - 2k'!$C$49,'str - 2k'!$E$49,'str - 2k'!$G$49,'str - 2k'!$I$49)</c:f>
              <c:numCache>
                <c:formatCode>General</c:formatCode>
                <c:ptCount val="4"/>
                <c:pt idx="0">
                  <c:v>14.658333333333333</c:v>
                </c:pt>
                <c:pt idx="1">
                  <c:v>50.877333333333333</c:v>
                </c:pt>
                <c:pt idx="2">
                  <c:v>94.543999999999997</c:v>
                </c:pt>
                <c:pt idx="3">
                  <c:v>127.34666666666666</c:v>
                </c:pt>
              </c:numCache>
            </c:numRef>
          </c:val>
        </c:ser>
        <c:ser>
          <c:idx val="5"/>
          <c:order val="5"/>
          <c:tx>
            <c:strRef>
              <c:f>'str - 2k'!$A$53</c:f>
              <c:strCache>
                <c:ptCount val="1"/>
                <c:pt idx="0">
                  <c:v>incremental insertions 10%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diamond"/>
            <c:size val="18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'str - 2k'!$B$61:$I$61</c:f>
                <c:numCache>
                  <c:formatCode>General</c:formatCode>
                  <c:ptCount val="8"/>
                  <c:pt idx="0">
                    <c:v>1.8093875427714672E-2</c:v>
                  </c:pt>
                  <c:pt idx="1">
                    <c:v>5.5813050262330813E-2</c:v>
                  </c:pt>
                  <c:pt idx="2">
                    <c:v>0.25277905574889004</c:v>
                  </c:pt>
                  <c:pt idx="3">
                    <c:v>1.9415155661646002</c:v>
                  </c:pt>
                  <c:pt idx="4">
                    <c:v>0.21617323231934024</c:v>
                  </c:pt>
                  <c:pt idx="5">
                    <c:v>4.1821152043380749</c:v>
                  </c:pt>
                  <c:pt idx="6">
                    <c:v>1.7355406768103538</c:v>
                  </c:pt>
                  <c:pt idx="7">
                    <c:v>3.0861573949431316</c:v>
                  </c:pt>
                </c:numCache>
              </c:numRef>
            </c:plus>
            <c:minus>
              <c:numRef>
                <c:f>'str - 2k'!$B$61:$I$61</c:f>
                <c:numCache>
                  <c:formatCode>General</c:formatCode>
                  <c:ptCount val="8"/>
                  <c:pt idx="0">
                    <c:v>1.8093875427714672E-2</c:v>
                  </c:pt>
                  <c:pt idx="1">
                    <c:v>5.5813050262330813E-2</c:v>
                  </c:pt>
                  <c:pt idx="2">
                    <c:v>0.25277905574889004</c:v>
                  </c:pt>
                  <c:pt idx="3">
                    <c:v>1.9415155661646002</c:v>
                  </c:pt>
                  <c:pt idx="4">
                    <c:v>0.21617323231934024</c:v>
                  </c:pt>
                  <c:pt idx="5">
                    <c:v>4.1821152043380749</c:v>
                  </c:pt>
                  <c:pt idx="6">
                    <c:v>1.7355406768103538</c:v>
                  </c:pt>
                  <c:pt idx="7">
                    <c:v>3.0861573949431316</c:v>
                  </c:pt>
                </c:numCache>
              </c:numRef>
            </c:minus>
          </c:errBars>
          <c:cat>
            <c:numRef>
              <c:f>('str - 2k'!$C$2,'str - 2k'!$E$2,'str - 2k'!$G$2,'str - 2k'!$I$2)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cat>
          <c:val>
            <c:numRef>
              <c:f>('str - 2k'!$C$59,'str - 2k'!$E$59,'str - 2k'!$G$59,'str - 2k'!$I$59)</c:f>
              <c:numCache>
                <c:formatCode>General</c:formatCode>
                <c:ptCount val="4"/>
                <c:pt idx="0">
                  <c:v>15.101666666666667</c:v>
                </c:pt>
                <c:pt idx="1">
                  <c:v>69.337000000000003</c:v>
                </c:pt>
                <c:pt idx="2">
                  <c:v>137.79366666666667</c:v>
                </c:pt>
                <c:pt idx="3">
                  <c:v>204.24233333333333</c:v>
                </c:pt>
              </c:numCache>
            </c:numRef>
          </c:val>
        </c:ser>
        <c:ser>
          <c:idx val="6"/>
          <c:order val="6"/>
          <c:tx>
            <c:strRef>
              <c:f>'str - 2k'!$A$63</c:f>
              <c:strCache>
                <c:ptCount val="1"/>
                <c:pt idx="0">
                  <c:v>incremental insertions 50%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5"/>
            <c:spPr>
              <a:solidFill>
                <a:schemeClr val="tx2"/>
              </a:solidFill>
              <a:ln w="12700">
                <a:solidFill>
                  <a:schemeClr val="tx2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'str - 2k'!$B$71:$I$71</c:f>
                <c:numCache>
                  <c:formatCode>General</c:formatCode>
                  <c:ptCount val="8"/>
                  <c:pt idx="0">
                    <c:v>1.226740189692554E-2</c:v>
                  </c:pt>
                  <c:pt idx="1">
                    <c:v>0.25563457189924693</c:v>
                  </c:pt>
                  <c:pt idx="2">
                    <c:v>2.1956221435923498</c:v>
                  </c:pt>
                  <c:pt idx="3">
                    <c:v>3.7179525555563568</c:v>
                  </c:pt>
                  <c:pt idx="4">
                    <c:v>1.7804335544288632</c:v>
                  </c:pt>
                  <c:pt idx="5">
                    <c:v>4.9234671619678574</c:v>
                  </c:pt>
                  <c:pt idx="6">
                    <c:v>5.2732977372834968</c:v>
                  </c:pt>
                  <c:pt idx="7">
                    <c:v>19.09378900725843</c:v>
                  </c:pt>
                </c:numCache>
              </c:numRef>
            </c:plus>
            <c:minus>
              <c:numRef>
                <c:f>'str - 2k'!$B$71:$I$71</c:f>
                <c:numCache>
                  <c:formatCode>General</c:formatCode>
                  <c:ptCount val="8"/>
                  <c:pt idx="0">
                    <c:v>1.226740189692554E-2</c:v>
                  </c:pt>
                  <c:pt idx="1">
                    <c:v>0.25563457189924693</c:v>
                  </c:pt>
                  <c:pt idx="2">
                    <c:v>2.1956221435923498</c:v>
                  </c:pt>
                  <c:pt idx="3">
                    <c:v>3.7179525555563568</c:v>
                  </c:pt>
                  <c:pt idx="4">
                    <c:v>1.7804335544288632</c:v>
                  </c:pt>
                  <c:pt idx="5">
                    <c:v>4.9234671619678574</c:v>
                  </c:pt>
                  <c:pt idx="6">
                    <c:v>5.2732977372834968</c:v>
                  </c:pt>
                  <c:pt idx="7">
                    <c:v>19.09378900725843</c:v>
                  </c:pt>
                </c:numCache>
              </c:numRef>
            </c:minus>
          </c:errBars>
          <c:cat>
            <c:numRef>
              <c:f>('str - 2k'!$C$2,'str - 2k'!$E$2,'str - 2k'!$G$2,'str - 2k'!$I$2)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cat>
          <c:val>
            <c:numRef>
              <c:f>('str - 2k'!$C$69,'str - 2k'!$E$69,'str - 2k'!$G$69,'str - 2k'!$I$69)</c:f>
              <c:numCache>
                <c:formatCode>General</c:formatCode>
                <c:ptCount val="4"/>
                <c:pt idx="0">
                  <c:v>21.090666666666667</c:v>
                </c:pt>
                <c:pt idx="1">
                  <c:v>188.55433333333335</c:v>
                </c:pt>
                <c:pt idx="2">
                  <c:v>315.82600000000002</c:v>
                </c:pt>
                <c:pt idx="3">
                  <c:v>684.22433333333333</c:v>
                </c:pt>
              </c:numCache>
            </c:numRef>
          </c:val>
        </c:ser>
        <c:marker val="1"/>
        <c:axId val="73483008"/>
        <c:axId val="73485312"/>
      </c:lineChart>
      <c:catAx>
        <c:axId val="734830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Number of peers</a:t>
                </a:r>
              </a:p>
            </c:rich>
          </c:tx>
          <c:layout>
            <c:manualLayout>
              <c:xMode val="edge"/>
              <c:yMode val="edge"/>
              <c:x val="0.42844733625854031"/>
              <c:y val="0.9308425164486996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3485312"/>
        <c:crosses val="autoZero"/>
        <c:auto val="1"/>
        <c:lblAlgn val="ctr"/>
        <c:lblOffset val="100"/>
        <c:tickLblSkip val="1"/>
        <c:tickMarkSkip val="1"/>
      </c:catAx>
      <c:valAx>
        <c:axId val="73485312"/>
        <c:scaling>
          <c:orientation val="minMax"/>
          <c:max val="1000"/>
        </c:scaling>
        <c:axPos val="l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2.6376950972731472E-3"/>
              <c:y val="0.3128605040276256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3483008"/>
        <c:crosses val="autoZero"/>
        <c:crossBetween val="between"/>
        <c:majorUnit val="2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891856247939345"/>
          <c:y val="8.7834870443566169E-3"/>
          <c:w val="0.4599406528189911"/>
          <c:h val="0.38223356467793307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4968677876689745"/>
          <c:y val="2.8271298593879259E-2"/>
          <c:w val="0.84287327763724484"/>
          <c:h val="0.81418560273018004"/>
        </c:manualLayout>
      </c:layout>
      <c:lineChart>
        <c:grouping val="standard"/>
        <c:ser>
          <c:idx val="0"/>
          <c:order val="0"/>
          <c:tx>
            <c:strRef>
              <c:f>'str - 10p'!$A$3</c:f>
              <c:strCache>
                <c:ptCount val="1"/>
                <c:pt idx="0">
                  <c:v>time to join</c:v>
                </c:pt>
              </c:strCache>
            </c:strRef>
          </c:tx>
          <c:spPr>
            <a:ln w="38100"/>
          </c:spPr>
          <c:marker>
            <c:symbol val="circle"/>
            <c:size val="15"/>
            <c:spPr>
              <a:solidFill>
                <a:schemeClr val="accent1"/>
              </a:solidFill>
            </c:spPr>
          </c:marker>
          <c:errBars>
            <c:errDir val="y"/>
            <c:errBarType val="both"/>
            <c:errValType val="cust"/>
            <c:plus>
              <c:numRef>
                <c:f>'str - 10p'!$B$11:$E$11</c:f>
                <c:numCache>
                  <c:formatCode>General</c:formatCode>
                  <c:ptCount val="4"/>
                  <c:pt idx="0">
                    <c:v>0.96227273716824258</c:v>
                  </c:pt>
                  <c:pt idx="1">
                    <c:v>3.8342719049117258</c:v>
                  </c:pt>
                  <c:pt idx="2">
                    <c:v>12.022681779454382</c:v>
                  </c:pt>
                  <c:pt idx="3">
                    <c:v>22.681773203277878</c:v>
                  </c:pt>
                </c:numCache>
              </c:numRef>
            </c:plus>
            <c:minus>
              <c:numRef>
                <c:f>'str - 10p'!$B$11:$E$11</c:f>
                <c:numCache>
                  <c:formatCode>General</c:formatCode>
                  <c:ptCount val="4"/>
                  <c:pt idx="0">
                    <c:v>0.96227273716824258</c:v>
                  </c:pt>
                  <c:pt idx="1">
                    <c:v>3.8342719049117258</c:v>
                  </c:pt>
                  <c:pt idx="2">
                    <c:v>12.022681779454382</c:v>
                  </c:pt>
                  <c:pt idx="3">
                    <c:v>22.681773203277878</c:v>
                  </c:pt>
                </c:numCache>
              </c:numRef>
            </c:minus>
          </c:errBars>
          <c:cat>
            <c:strRef>
              <c:f>'str - 10p'!$B$2:$E$2</c:f>
              <c:strCache>
                <c:ptCount val="4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</c:strCache>
            </c:strRef>
          </c:cat>
          <c:val>
            <c:numRef>
              <c:f>'str - 10p'!$B$9:$E$9</c:f>
              <c:numCache>
                <c:formatCode>General</c:formatCode>
                <c:ptCount val="4"/>
                <c:pt idx="0">
                  <c:v>23.302</c:v>
                </c:pt>
                <c:pt idx="1">
                  <c:v>38.907499999999999</c:v>
                </c:pt>
                <c:pt idx="2">
                  <c:v>102.539</c:v>
                </c:pt>
                <c:pt idx="3">
                  <c:v>161.79425000000001</c:v>
                </c:pt>
              </c:numCache>
            </c:numRef>
          </c:val>
        </c:ser>
        <c:ser>
          <c:idx val="1"/>
          <c:order val="1"/>
          <c:tx>
            <c:strRef>
              <c:f>'str - 10p'!$A$13</c:f>
              <c:strCache>
                <c:ptCount val="1"/>
                <c:pt idx="0">
                  <c:v>incremental deletions 1%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5"/>
            <c:spPr>
              <a:noFill/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'str - 10p'!$B$21:$E$21</c:f>
                <c:numCache>
                  <c:formatCode>General</c:formatCode>
                  <c:ptCount val="4"/>
                  <c:pt idx="0">
                    <c:v>0.11191274213182417</c:v>
                  </c:pt>
                  <c:pt idx="1">
                    <c:v>0.18194325716240115</c:v>
                  </c:pt>
                  <c:pt idx="2">
                    <c:v>0.1594047275764382</c:v>
                  </c:pt>
                  <c:pt idx="3">
                    <c:v>0.23533434555130833</c:v>
                  </c:pt>
                </c:numCache>
              </c:numRef>
            </c:plus>
            <c:minus>
              <c:numRef>
                <c:f>'str - 10p'!$B$21:$E$21</c:f>
                <c:numCache>
                  <c:formatCode>General</c:formatCode>
                  <c:ptCount val="4"/>
                  <c:pt idx="0">
                    <c:v>0.11191274213182417</c:v>
                  </c:pt>
                  <c:pt idx="1">
                    <c:v>0.18194325716240115</c:v>
                  </c:pt>
                  <c:pt idx="2">
                    <c:v>0.1594047275764382</c:v>
                  </c:pt>
                  <c:pt idx="3">
                    <c:v>0.23533434555130833</c:v>
                  </c:pt>
                </c:numCache>
              </c:numRef>
            </c:minus>
          </c:errBars>
          <c:cat>
            <c:strRef>
              <c:f>'str - 10p'!$B$2:$E$2</c:f>
              <c:strCache>
                <c:ptCount val="4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</c:strCache>
            </c:strRef>
          </c:cat>
          <c:val>
            <c:numRef>
              <c:f>'str - 10p'!$B$19:$E$19</c:f>
              <c:numCache>
                <c:formatCode>General</c:formatCode>
                <c:ptCount val="4"/>
                <c:pt idx="0">
                  <c:v>12.734249999999999</c:v>
                </c:pt>
                <c:pt idx="1">
                  <c:v>13.153</c:v>
                </c:pt>
                <c:pt idx="2">
                  <c:v>13.446999999999999</c:v>
                </c:pt>
                <c:pt idx="3">
                  <c:v>13.663</c:v>
                </c:pt>
              </c:numCache>
            </c:numRef>
          </c:val>
        </c:ser>
        <c:ser>
          <c:idx val="2"/>
          <c:order val="2"/>
          <c:tx>
            <c:strRef>
              <c:f>'str - 10p'!$A$23</c:f>
              <c:strCache>
                <c:ptCount val="1"/>
                <c:pt idx="0">
                  <c:v>incremental deletions 10%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diamond"/>
            <c:size val="18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'str - 10p'!$B$31:$E$31</c:f>
                <c:numCache>
                  <c:formatCode>General</c:formatCode>
                  <c:ptCount val="4"/>
                  <c:pt idx="0">
                    <c:v>2.0571687120507592E-2</c:v>
                  </c:pt>
                  <c:pt idx="1">
                    <c:v>0.12718542919343129</c:v>
                  </c:pt>
                  <c:pt idx="2">
                    <c:v>0.21479555511245396</c:v>
                  </c:pt>
                  <c:pt idx="3">
                    <c:v>0.31916576730686047</c:v>
                  </c:pt>
                </c:numCache>
              </c:numRef>
            </c:plus>
            <c:minus>
              <c:numRef>
                <c:f>'str - 10p'!$B$31:$E$31</c:f>
                <c:numCache>
                  <c:formatCode>General</c:formatCode>
                  <c:ptCount val="4"/>
                  <c:pt idx="0">
                    <c:v>2.0571687120507592E-2</c:v>
                  </c:pt>
                  <c:pt idx="1">
                    <c:v>0.12718542919343129</c:v>
                  </c:pt>
                  <c:pt idx="2">
                    <c:v>0.21479555511245396</c:v>
                  </c:pt>
                  <c:pt idx="3">
                    <c:v>0.31916576730686047</c:v>
                  </c:pt>
                </c:numCache>
              </c:numRef>
            </c:minus>
          </c:errBars>
          <c:cat>
            <c:strRef>
              <c:f>'str - 10p'!$B$2:$E$2</c:f>
              <c:strCache>
                <c:ptCount val="4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</c:strCache>
            </c:strRef>
          </c:cat>
          <c:val>
            <c:numRef>
              <c:f>'str - 10p'!$B$29:$E$29</c:f>
              <c:numCache>
                <c:formatCode>General</c:formatCode>
                <c:ptCount val="4"/>
                <c:pt idx="0">
                  <c:v>13.37</c:v>
                </c:pt>
                <c:pt idx="1">
                  <c:v>14.731</c:v>
                </c:pt>
                <c:pt idx="2">
                  <c:v>15.93</c:v>
                </c:pt>
                <c:pt idx="3">
                  <c:v>18.004999999999999</c:v>
                </c:pt>
              </c:numCache>
            </c:numRef>
          </c:val>
        </c:ser>
        <c:ser>
          <c:idx val="3"/>
          <c:order val="3"/>
          <c:tx>
            <c:strRef>
              <c:f>'str - 10p'!$A$33</c:f>
              <c:strCache>
                <c:ptCount val="1"/>
                <c:pt idx="0">
                  <c:v>incremental deletions 50%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square"/>
            <c:size val="15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'str - 10p'!$B$41:$E$41</c:f>
                <c:numCache>
                  <c:formatCode>General</c:formatCode>
                  <c:ptCount val="4"/>
                  <c:pt idx="0">
                    <c:v>0.33659312966726018</c:v>
                  </c:pt>
                  <c:pt idx="1">
                    <c:v>1.6353747811548698</c:v>
                  </c:pt>
                  <c:pt idx="2">
                    <c:v>4.4613746122148648</c:v>
                  </c:pt>
                  <c:pt idx="3">
                    <c:v>7.2025439711932018</c:v>
                  </c:pt>
                </c:numCache>
              </c:numRef>
            </c:plus>
            <c:minus>
              <c:numRef>
                <c:f>'str - 10p'!$B$41:$E$41</c:f>
                <c:numCache>
                  <c:formatCode>General</c:formatCode>
                  <c:ptCount val="4"/>
                  <c:pt idx="0">
                    <c:v>0.33659312966726018</c:v>
                  </c:pt>
                  <c:pt idx="1">
                    <c:v>1.6353747811548698</c:v>
                  </c:pt>
                  <c:pt idx="2">
                    <c:v>4.4613746122148648</c:v>
                  </c:pt>
                  <c:pt idx="3">
                    <c:v>7.2025439711932018</c:v>
                  </c:pt>
                </c:numCache>
              </c:numRef>
            </c:minus>
          </c:errBars>
          <c:cat>
            <c:strRef>
              <c:f>'str - 10p'!$B$2:$E$2</c:f>
              <c:strCache>
                <c:ptCount val="4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</c:strCache>
            </c:strRef>
          </c:cat>
          <c:val>
            <c:numRef>
              <c:f>'str - 10p'!$B$39:$E$39</c:f>
              <c:numCache>
                <c:formatCode>General</c:formatCode>
                <c:ptCount val="4"/>
                <c:pt idx="0">
                  <c:v>18.007000000000001</c:v>
                </c:pt>
                <c:pt idx="1">
                  <c:v>28.425999999999998</c:v>
                </c:pt>
                <c:pt idx="2">
                  <c:v>45.923000000000002</c:v>
                </c:pt>
                <c:pt idx="3">
                  <c:v>68.583749999999995</c:v>
                </c:pt>
              </c:numCache>
            </c:numRef>
          </c:val>
        </c:ser>
        <c:ser>
          <c:idx val="4"/>
          <c:order val="4"/>
          <c:tx>
            <c:strRef>
              <c:f>'str - 10p'!$A$43</c:f>
              <c:strCache>
                <c:ptCount val="1"/>
                <c:pt idx="0">
                  <c:v>incremental insertions 1%</c:v>
                </c:pt>
              </c:strCache>
            </c:strRef>
          </c:tx>
          <c:spPr>
            <a:ln w="38100">
              <a:solidFill>
                <a:srgbClr val="1F497D"/>
              </a:solidFill>
            </a:ln>
          </c:spPr>
          <c:marker>
            <c:symbol val="triangle"/>
            <c:size val="15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'str - 10p'!$B$51:$E$51</c:f>
                <c:numCache>
                  <c:formatCode>General</c:formatCode>
                  <c:ptCount val="4"/>
                  <c:pt idx="0">
                    <c:v>1.7210894504976617E-2</c:v>
                  </c:pt>
                  <c:pt idx="1">
                    <c:v>4.6319675875833473E-2</c:v>
                  </c:pt>
                  <c:pt idx="2">
                    <c:v>0.26554589964639147</c:v>
                  </c:pt>
                  <c:pt idx="3">
                    <c:v>0.82532676587359577</c:v>
                  </c:pt>
                </c:numCache>
              </c:numRef>
            </c:plus>
            <c:minus>
              <c:numRef>
                <c:f>'str - 10p'!$B$51:$E$51</c:f>
                <c:numCache>
                  <c:formatCode>General</c:formatCode>
                  <c:ptCount val="4"/>
                  <c:pt idx="0">
                    <c:v>1.7210894504976617E-2</c:v>
                  </c:pt>
                  <c:pt idx="1">
                    <c:v>4.6319675875833473E-2</c:v>
                  </c:pt>
                  <c:pt idx="2">
                    <c:v>0.26554589964639147</c:v>
                  </c:pt>
                  <c:pt idx="3">
                    <c:v>0.82532676587359577</c:v>
                  </c:pt>
                </c:numCache>
              </c:numRef>
            </c:minus>
          </c:errBars>
          <c:cat>
            <c:strRef>
              <c:f>'str - 10p'!$B$2:$E$2</c:f>
              <c:strCache>
                <c:ptCount val="4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</c:strCache>
            </c:strRef>
          </c:cat>
          <c:val>
            <c:numRef>
              <c:f>'str - 10p'!$B$49:$E$49</c:f>
              <c:numCache>
                <c:formatCode>General</c:formatCode>
                <c:ptCount val="4"/>
                <c:pt idx="0">
                  <c:v>14.74475</c:v>
                </c:pt>
                <c:pt idx="1">
                  <c:v>14.53525</c:v>
                </c:pt>
                <c:pt idx="2">
                  <c:v>15.85975</c:v>
                </c:pt>
                <c:pt idx="3">
                  <c:v>16.623249999999999</c:v>
                </c:pt>
              </c:numCache>
            </c:numRef>
          </c:val>
        </c:ser>
        <c:ser>
          <c:idx val="5"/>
          <c:order val="5"/>
          <c:tx>
            <c:strRef>
              <c:f>'str - 10p'!$A$53</c:f>
              <c:strCache>
                <c:ptCount val="1"/>
                <c:pt idx="0">
                  <c:v>incremental insertions 10%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diamond"/>
            <c:size val="18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'str - 10p'!$B$61:$E$61</c:f>
                <c:numCache>
                  <c:formatCode>General</c:formatCode>
                  <c:ptCount val="4"/>
                  <c:pt idx="0">
                    <c:v>0.20190754275402309</c:v>
                  </c:pt>
                  <c:pt idx="1">
                    <c:v>0.50497632423315397</c:v>
                  </c:pt>
                  <c:pt idx="2">
                    <c:v>0.69020135194145094</c:v>
                  </c:pt>
                  <c:pt idx="3">
                    <c:v>2.1845636711031227</c:v>
                  </c:pt>
                </c:numCache>
              </c:numRef>
            </c:plus>
            <c:minus>
              <c:numRef>
                <c:f>'str - 10p'!$B$61:$E$61</c:f>
                <c:numCache>
                  <c:formatCode>General</c:formatCode>
                  <c:ptCount val="4"/>
                  <c:pt idx="0">
                    <c:v>0.20190754275402309</c:v>
                  </c:pt>
                  <c:pt idx="1">
                    <c:v>0.50497632423315397</c:v>
                  </c:pt>
                  <c:pt idx="2">
                    <c:v>0.69020135194145094</c:v>
                  </c:pt>
                  <c:pt idx="3">
                    <c:v>2.1845636711031227</c:v>
                  </c:pt>
                </c:numCache>
              </c:numRef>
            </c:minus>
          </c:errBars>
          <c:cat>
            <c:strRef>
              <c:f>'str - 10p'!$B$2:$E$2</c:f>
              <c:strCache>
                <c:ptCount val="4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</c:strCache>
            </c:strRef>
          </c:cat>
          <c:val>
            <c:numRef>
              <c:f>'str - 10p'!$B$59:$E$59</c:f>
              <c:numCache>
                <c:formatCode>General</c:formatCode>
                <c:ptCount val="4"/>
                <c:pt idx="0">
                  <c:v>15.420249999999999</c:v>
                </c:pt>
                <c:pt idx="1">
                  <c:v>17.976749999999999</c:v>
                </c:pt>
                <c:pt idx="2">
                  <c:v>18.334499999999998</c:v>
                </c:pt>
                <c:pt idx="3">
                  <c:v>29.2745</c:v>
                </c:pt>
              </c:numCache>
            </c:numRef>
          </c:val>
        </c:ser>
        <c:ser>
          <c:idx val="6"/>
          <c:order val="6"/>
          <c:tx>
            <c:strRef>
              <c:f>'str - 10p'!$A$63</c:f>
              <c:strCache>
                <c:ptCount val="1"/>
                <c:pt idx="0">
                  <c:v>incremental insertions 50%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5"/>
            <c:spPr>
              <a:solidFill>
                <a:schemeClr val="tx2"/>
              </a:solidFill>
              <a:ln w="12700">
                <a:solidFill>
                  <a:schemeClr val="tx2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'str - 10p'!$B$71:$E$71</c:f>
                <c:numCache>
                  <c:formatCode>General</c:formatCode>
                  <c:ptCount val="4"/>
                  <c:pt idx="0">
                    <c:v>0.8624391640685467</c:v>
                  </c:pt>
                  <c:pt idx="1">
                    <c:v>4.6700905696832491</c:v>
                  </c:pt>
                  <c:pt idx="2">
                    <c:v>2.4401797270849066</c:v>
                  </c:pt>
                  <c:pt idx="3">
                    <c:v>5.9704882854992292</c:v>
                  </c:pt>
                </c:numCache>
              </c:numRef>
            </c:plus>
            <c:minus>
              <c:numRef>
                <c:f>'str - 10p'!$B$71:$E$71</c:f>
                <c:numCache>
                  <c:formatCode>General</c:formatCode>
                  <c:ptCount val="4"/>
                  <c:pt idx="0">
                    <c:v>0.8624391640685467</c:v>
                  </c:pt>
                  <c:pt idx="1">
                    <c:v>4.6700905696832491</c:v>
                  </c:pt>
                  <c:pt idx="2">
                    <c:v>2.4401797270849066</c:v>
                  </c:pt>
                  <c:pt idx="3">
                    <c:v>5.9704882854992292</c:v>
                  </c:pt>
                </c:numCache>
              </c:numRef>
            </c:minus>
          </c:errBars>
          <c:cat>
            <c:strRef>
              <c:f>'str - 10p'!$B$2:$E$2</c:f>
              <c:strCache>
                <c:ptCount val="4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</c:strCache>
            </c:strRef>
          </c:cat>
          <c:val>
            <c:numRef>
              <c:f>'str - 10p'!$B$69:$E$69</c:f>
              <c:numCache>
                <c:formatCode>General</c:formatCode>
                <c:ptCount val="4"/>
                <c:pt idx="0">
                  <c:v>21.2315</c:v>
                </c:pt>
                <c:pt idx="1">
                  <c:v>33.070749999999997</c:v>
                </c:pt>
                <c:pt idx="2">
                  <c:v>78.815749999999994</c:v>
                </c:pt>
                <c:pt idx="3">
                  <c:v>123.48125</c:v>
                </c:pt>
              </c:numCache>
            </c:numRef>
          </c:val>
        </c:ser>
        <c:marker val="1"/>
        <c:axId val="73762304"/>
        <c:axId val="73777152"/>
      </c:lineChart>
      <c:catAx>
        <c:axId val="737623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Number of tuples</a:t>
                </a:r>
              </a:p>
            </c:rich>
          </c:tx>
          <c:layout>
            <c:manualLayout>
              <c:xMode val="edge"/>
              <c:yMode val="edge"/>
              <c:x val="0.39960435212660744"/>
              <c:y val="0.9297615651641559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3777152"/>
        <c:crosses val="autoZero"/>
        <c:auto val="1"/>
        <c:lblAlgn val="ctr"/>
        <c:lblOffset val="100"/>
        <c:tickLblSkip val="1"/>
        <c:tickMarkSkip val="1"/>
      </c:catAx>
      <c:valAx>
        <c:axId val="7377715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1.3188262446422684E-3"/>
              <c:y val="0.3139661202399329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3762304"/>
        <c:crosses val="autoZero"/>
        <c:crossBetween val="between"/>
        <c:majorUnit val="4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364325750082439"/>
          <c:y val="8.7834870443566169E-3"/>
          <c:w val="0.4599406528189911"/>
          <c:h val="0.39628714394890385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5043686874384254"/>
          <c:y val="3.0293320875063687E-2"/>
          <c:w val="0.68415334902621383"/>
          <c:h val="0.81029624078201579"/>
        </c:manualLayout>
      </c:layout>
      <c:lineChart>
        <c:grouping val="standard"/>
        <c:ser>
          <c:idx val="2"/>
          <c:order val="0"/>
          <c:tx>
            <c:strRef>
              <c:f>'bidir - initial'!$A$15</c:f>
              <c:strCache>
                <c:ptCount val="1"/>
                <c:pt idx="0">
                  <c:v>Bidirectional - time to join</c:v>
                </c:pt>
              </c:strCache>
            </c:strRef>
          </c:tx>
          <c:spPr>
            <a:ln w="38100">
              <a:solidFill>
                <a:schemeClr val="tx2">
                  <a:lumMod val="75000"/>
                </a:schemeClr>
              </a:solidFill>
              <a:prstDash val="solid"/>
            </a:ln>
          </c:spPr>
          <c:marker>
            <c:symbol val="triangle"/>
            <c:size val="15"/>
            <c:spPr>
              <a:solidFill>
                <a:schemeClr val="tx2">
                  <a:lumMod val="75000"/>
                </a:schemeClr>
              </a:solidFill>
              <a:ln w="25400">
                <a:solidFill>
                  <a:schemeClr val="tx2">
                    <a:lumMod val="75000"/>
                  </a:schemeClr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plus>
              <c:numRef>
                <c:f>'bidir - initial'!$B$23:$F$23</c:f>
                <c:numCache>
                  <c:formatCode>General</c:formatCode>
                  <c:ptCount val="5"/>
                  <c:pt idx="0">
                    <c:v>0.23188672597492693</c:v>
                  </c:pt>
                  <c:pt idx="1">
                    <c:v>0.15662847116379028</c:v>
                  </c:pt>
                  <c:pt idx="2">
                    <c:v>0.4490411800996581</c:v>
                  </c:pt>
                  <c:pt idx="3">
                    <c:v>4.2015363795784619</c:v>
                  </c:pt>
                  <c:pt idx="4">
                    <c:v>58.063053757125658</c:v>
                  </c:pt>
                </c:numCache>
              </c:numRef>
            </c:plus>
            <c:minus>
              <c:numRef>
                <c:f>'bidir - initial'!$B$23:$F$23</c:f>
                <c:numCache>
                  <c:formatCode>General</c:formatCode>
                  <c:ptCount val="5"/>
                  <c:pt idx="0">
                    <c:v>0.23188672597492693</c:v>
                  </c:pt>
                  <c:pt idx="1">
                    <c:v>0.15662847116379028</c:v>
                  </c:pt>
                  <c:pt idx="2">
                    <c:v>0.4490411800996581</c:v>
                  </c:pt>
                  <c:pt idx="3">
                    <c:v>4.2015363795784619</c:v>
                  </c:pt>
                  <c:pt idx="4">
                    <c:v>58.063053757125658</c:v>
                  </c:pt>
                </c:numCache>
              </c:numRef>
            </c:minus>
          </c:errBars>
          <c:cat>
            <c:numRef>
              <c:f>'bidir - initial'!$B$2:$G$2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'bidir - initial'!$B$21:$F$21</c:f>
              <c:numCache>
                <c:formatCode>General</c:formatCode>
                <c:ptCount val="5"/>
                <c:pt idx="0">
                  <c:v>7.3266666666666671</c:v>
                </c:pt>
                <c:pt idx="1">
                  <c:v>44.616666666666667</c:v>
                </c:pt>
                <c:pt idx="2">
                  <c:v>105.18266666666666</c:v>
                </c:pt>
                <c:pt idx="3">
                  <c:v>226.28899999999999</c:v>
                </c:pt>
                <c:pt idx="4">
                  <c:v>550.89133333333336</c:v>
                </c:pt>
              </c:numCache>
            </c:numRef>
          </c:val>
        </c:ser>
        <c:ser>
          <c:idx val="0"/>
          <c:order val="2"/>
          <c:tx>
            <c:strRef>
              <c:f>'bidir - initial'!$A$3</c:f>
              <c:strCache>
                <c:ptCount val="1"/>
                <c:pt idx="0">
                  <c:v>Unidirectional - time to join</c:v>
                </c:pt>
              </c:strCache>
            </c:strRef>
          </c:tx>
          <c:spPr>
            <a:ln w="38100">
              <a:solidFill>
                <a:schemeClr val="accent5"/>
              </a:solidFill>
              <a:prstDash val="solid"/>
            </a:ln>
          </c:spPr>
          <c:marker>
            <c:symbol val="triangle"/>
            <c:size val="15"/>
            <c:spPr>
              <a:noFill/>
              <a:ln w="25400">
                <a:solidFill>
                  <a:schemeClr val="accent5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plus>
              <c:numRef>
                <c:f>'bidir - initial'!$B$11:$G$11</c:f>
                <c:numCache>
                  <c:formatCode>General</c:formatCode>
                  <c:ptCount val="6"/>
                  <c:pt idx="0">
                    <c:v>0.19656665337670376</c:v>
                  </c:pt>
                  <c:pt idx="1">
                    <c:v>0.39008010557190265</c:v>
                  </c:pt>
                  <c:pt idx="2">
                    <c:v>0.43243526249300451</c:v>
                  </c:pt>
                  <c:pt idx="3">
                    <c:v>0.55464842421335159</c:v>
                  </c:pt>
                  <c:pt idx="4">
                    <c:v>0.92516245172556577</c:v>
                  </c:pt>
                  <c:pt idx="5">
                    <c:v>1.0095866375095599</c:v>
                  </c:pt>
                </c:numCache>
              </c:numRef>
            </c:plus>
            <c:minus>
              <c:numRef>
                <c:f>'bidir - initial'!$B$11:$G$11</c:f>
                <c:numCache>
                  <c:formatCode>General</c:formatCode>
                  <c:ptCount val="6"/>
                  <c:pt idx="0">
                    <c:v>0.19656665337670376</c:v>
                  </c:pt>
                  <c:pt idx="1">
                    <c:v>0.39008010557190265</c:v>
                  </c:pt>
                  <c:pt idx="2">
                    <c:v>0.43243526249300451</c:v>
                  </c:pt>
                  <c:pt idx="3">
                    <c:v>0.55464842421335159</c:v>
                  </c:pt>
                  <c:pt idx="4">
                    <c:v>0.92516245172556577</c:v>
                  </c:pt>
                  <c:pt idx="5">
                    <c:v>1.0095866375095599</c:v>
                  </c:pt>
                </c:numCache>
              </c:numRef>
            </c:minus>
          </c:errBars>
          <c:cat>
            <c:numRef>
              <c:f>'bidir - initial'!$B$2:$G$2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'bidir - initial'!$B$9:$F$9</c:f>
              <c:numCache>
                <c:formatCode>General</c:formatCode>
                <c:ptCount val="5"/>
                <c:pt idx="0">
                  <c:v>2.1373333333333333</c:v>
                </c:pt>
                <c:pt idx="1">
                  <c:v>5.8446666666666669</c:v>
                </c:pt>
                <c:pt idx="2">
                  <c:v>15.553333333333333</c:v>
                </c:pt>
                <c:pt idx="3">
                  <c:v>23.876666666666665</c:v>
                </c:pt>
                <c:pt idx="4">
                  <c:v>19.844333333333335</c:v>
                </c:pt>
              </c:numCache>
            </c:numRef>
          </c:val>
        </c:ser>
        <c:marker val="1"/>
        <c:axId val="73640192"/>
        <c:axId val="73650944"/>
      </c:lineChart>
      <c:lineChart>
        <c:grouping val="standard"/>
        <c:ser>
          <c:idx val="3"/>
          <c:order val="1"/>
          <c:tx>
            <c:strRef>
              <c:f>'bidir - initial'!$A$24</c:f>
              <c:strCache>
                <c:ptCount val="1"/>
                <c:pt idx="0">
                  <c:v>Bidirectional - instance size</c:v>
                </c:pt>
              </c:strCache>
            </c:strRef>
          </c:tx>
          <c:spPr>
            <a:ln w="38100">
              <a:solidFill>
                <a:schemeClr val="tx2">
                  <a:lumMod val="75000"/>
                </a:schemeClr>
              </a:solidFill>
            </a:ln>
          </c:spPr>
          <c:marker>
            <c:symbol val="square"/>
            <c:size val="15"/>
            <c:spPr>
              <a:solidFill>
                <a:schemeClr val="tx2">
                  <a:lumMod val="75000"/>
                </a:schemeClr>
              </a:solidFill>
              <a:ln w="25400">
                <a:solidFill>
                  <a:schemeClr val="tx2">
                    <a:lumMod val="75000"/>
                  </a:schemeClr>
                </a:solidFill>
              </a:ln>
            </c:spPr>
          </c:marker>
          <c:cat>
            <c:numRef>
              <c:f>'bidir - initial'!$B$2:$G$2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'bidir - initial'!$B$24:$G$24</c:f>
              <c:numCache>
                <c:formatCode>General</c:formatCode>
                <c:ptCount val="6"/>
                <c:pt idx="0">
                  <c:v>160</c:v>
                </c:pt>
                <c:pt idx="1">
                  <c:v>620</c:v>
                </c:pt>
                <c:pt idx="2">
                  <c:v>1380</c:v>
                </c:pt>
                <c:pt idx="3">
                  <c:v>2440</c:v>
                </c:pt>
                <c:pt idx="4">
                  <c:v>3800</c:v>
                </c:pt>
              </c:numCache>
            </c:numRef>
          </c:val>
        </c:ser>
        <c:ser>
          <c:idx val="1"/>
          <c:order val="3"/>
          <c:tx>
            <c:strRef>
              <c:f>'bidir - initial'!$A$12</c:f>
              <c:strCache>
                <c:ptCount val="1"/>
                <c:pt idx="0">
                  <c:v>Unidirectional - instance size</c:v>
                </c:pt>
              </c:strCache>
            </c:strRef>
          </c:tx>
          <c:spPr>
            <a:ln w="38100">
              <a:solidFill>
                <a:schemeClr val="accent5"/>
              </a:solidFill>
              <a:prstDash val="solid"/>
            </a:ln>
          </c:spPr>
          <c:marker>
            <c:symbol val="square"/>
            <c:size val="15"/>
            <c:spPr>
              <a:noFill/>
              <a:ln w="25400">
                <a:solidFill>
                  <a:schemeClr val="accent5"/>
                </a:solidFill>
                <a:prstDash val="solid"/>
              </a:ln>
            </c:spPr>
          </c:marker>
          <c:cat>
            <c:numRef>
              <c:f>'bidir - initial'!$B$2:$G$2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'bidir - initial'!$B$12:$F$12</c:f>
              <c:numCache>
                <c:formatCode>General</c:formatCode>
                <c:ptCount val="5"/>
                <c:pt idx="0">
                  <c:v>76</c:v>
                </c:pt>
                <c:pt idx="1">
                  <c:v>176</c:v>
                </c:pt>
                <c:pt idx="2">
                  <c:v>408</c:v>
                </c:pt>
                <c:pt idx="3">
                  <c:v>562</c:v>
                </c:pt>
                <c:pt idx="4">
                  <c:v>518</c:v>
                </c:pt>
              </c:numCache>
            </c:numRef>
          </c:val>
        </c:ser>
        <c:marker val="1"/>
        <c:axId val="73652864"/>
        <c:axId val="73654656"/>
      </c:lineChart>
      <c:catAx>
        <c:axId val="736401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3036597428288855"/>
              <c:y val="0.9301712779973649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3650944"/>
        <c:crosses val="autoZero"/>
        <c:lblAlgn val="ctr"/>
        <c:lblOffset val="100"/>
        <c:tickLblSkip val="1"/>
        <c:tickMarkSkip val="1"/>
      </c:catAx>
      <c:valAx>
        <c:axId val="73650944"/>
        <c:scaling>
          <c:orientation val="minMax"/>
          <c:max val="700"/>
          <c:min val="0"/>
        </c:scaling>
        <c:axPos val="l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Number of tuples (K)</a:t>
                </a:r>
              </a:p>
            </c:rich>
          </c:tx>
          <c:layout>
            <c:manualLayout>
              <c:xMode val="edge"/>
              <c:yMode val="edge"/>
              <c:x val="0.94296076491922098"/>
              <c:y val="0.1993851559068950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3640192"/>
        <c:crosses val="autoZero"/>
        <c:crossBetween val="between"/>
      </c:valAx>
      <c:catAx>
        <c:axId val="73652864"/>
        <c:scaling>
          <c:orientation val="minMax"/>
        </c:scaling>
        <c:delete val="1"/>
        <c:axPos val="b"/>
        <c:numFmt formatCode="General" sourceLinked="1"/>
        <c:tickLblPos val="nextTo"/>
        <c:crossAx val="73654656"/>
        <c:crosses val="autoZero"/>
        <c:lblAlgn val="ctr"/>
        <c:lblOffset val="100"/>
      </c:catAx>
      <c:valAx>
        <c:axId val="73654656"/>
        <c:scaling>
          <c:orientation val="minMax"/>
          <c:max val="4000"/>
          <c:min val="0"/>
        </c:scaling>
        <c:axPos val="r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Time</a:t>
                </a:r>
                <a:r>
                  <a:rPr lang="en-US" sz="3200" baseline="0">
                    <a:latin typeface="+mn-lt"/>
                  </a:rPr>
                  <a:t> </a:t>
                </a:r>
                <a:r>
                  <a:rPr lang="en-US" sz="3200">
                    <a:latin typeface="+mn-lt"/>
                  </a:rPr>
                  <a:t>(sec)</a:t>
                </a:r>
              </a:p>
            </c:rich>
          </c:tx>
          <c:layout>
            <c:manualLayout>
              <c:xMode val="edge"/>
              <c:yMode val="edge"/>
              <c:x val="6.594131223211342E-4"/>
              <c:y val="0.3364075537988583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3652864"/>
        <c:crosses val="max"/>
        <c:crossBetween val="between"/>
        <c:majorUnit val="10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364325750082439"/>
          <c:y val="5.2700922266139694E-3"/>
          <c:w val="0.49355099158599253"/>
          <c:h val="0.23651454635364255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470491762143499"/>
          <c:y val="2.985148514851485E-2"/>
          <c:w val="0.84932405915799725"/>
          <c:h val="0.81260518177802032"/>
        </c:manualLayout>
      </c:layout>
      <c:lineChart>
        <c:grouping val="standard"/>
        <c:ser>
          <c:idx val="4"/>
          <c:order val="0"/>
          <c:tx>
            <c:strRef>
              <c:f>'bidir - se-nse'!$A$95</c:f>
              <c:strCache>
                <c:ptCount val="1"/>
                <c:pt idx="0">
                  <c:v>Side effect free 10% - update policy and s.e. detection</c:v>
                </c:pt>
              </c:strCache>
            </c:strRef>
          </c:tx>
          <c:spPr>
            <a:ln w="38100">
              <a:solidFill>
                <a:srgbClr val="1F497D"/>
              </a:solidFill>
            </a:ln>
          </c:spPr>
          <c:marker>
            <c:symbol val="triangle"/>
            <c:size val="15"/>
            <c:spPr>
              <a:solidFill>
                <a:schemeClr val="tx2"/>
              </a:solidFill>
              <a:ln w="25400">
                <a:solidFill>
                  <a:srgbClr val="1F497D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'bidir - se-nse'!$B$113:$H$113</c:f>
                <c:numCache>
                  <c:formatCode>General</c:formatCode>
                  <c:ptCount val="7"/>
                  <c:pt idx="0">
                    <c:v>3.045837003514169E-3</c:v>
                  </c:pt>
                  <c:pt idx="1">
                    <c:v>6.0521326700060246E-3</c:v>
                  </c:pt>
                  <c:pt idx="2">
                    <c:v>6.9059185673120364E-3</c:v>
                  </c:pt>
                  <c:pt idx="3">
                    <c:v>1.710510774795088E-2</c:v>
                  </c:pt>
                  <c:pt idx="4">
                    <c:v>0.18562938821077973</c:v>
                  </c:pt>
                  <c:pt idx="5">
                    <c:v>4.1131935115788831E-2</c:v>
                  </c:pt>
                  <c:pt idx="6">
                    <c:v>0.33967445337651664</c:v>
                  </c:pt>
                </c:numCache>
              </c:numRef>
            </c:plus>
            <c:minus>
              <c:numRef>
                <c:f>'bidir - se-nse'!$B$113:$H$113</c:f>
                <c:numCache>
                  <c:formatCode>General</c:formatCode>
                  <c:ptCount val="7"/>
                  <c:pt idx="0">
                    <c:v>3.045837003514169E-3</c:v>
                  </c:pt>
                  <c:pt idx="1">
                    <c:v>6.0521326700060246E-3</c:v>
                  </c:pt>
                  <c:pt idx="2">
                    <c:v>6.9059185673120364E-3</c:v>
                  </c:pt>
                  <c:pt idx="3">
                    <c:v>1.710510774795088E-2</c:v>
                  </c:pt>
                  <c:pt idx="4">
                    <c:v>0.18562938821077973</c:v>
                  </c:pt>
                  <c:pt idx="5">
                    <c:v>4.1131935115788831E-2</c:v>
                  </c:pt>
                  <c:pt idx="6">
                    <c:v>0.33967445337651664</c:v>
                  </c:pt>
                </c:numCache>
              </c:numRef>
            </c:minus>
          </c:errBars>
          <c:cat>
            <c:numRef>
              <c:f>'bidir - se-nse'!$B$2:$H$2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cat>
          <c:val>
            <c:numRef>
              <c:f>'bidir - se-nse'!$B$101:$H$101</c:f>
              <c:numCache>
                <c:formatCode>General</c:formatCode>
                <c:ptCount val="7"/>
                <c:pt idx="0">
                  <c:v>0.40033333333333332</c:v>
                </c:pt>
                <c:pt idx="1">
                  <c:v>2.9273333333333333</c:v>
                </c:pt>
                <c:pt idx="2">
                  <c:v>10.332000000000001</c:v>
                </c:pt>
                <c:pt idx="3">
                  <c:v>26.342333333333332</c:v>
                </c:pt>
                <c:pt idx="4">
                  <c:v>65.614666666666665</c:v>
                </c:pt>
                <c:pt idx="5">
                  <c:v>103.93899999999999</c:v>
                </c:pt>
                <c:pt idx="6">
                  <c:v>139.93899999999999</c:v>
                </c:pt>
              </c:numCache>
            </c:numRef>
          </c:val>
        </c:ser>
        <c:ser>
          <c:idx val="6"/>
          <c:order val="1"/>
          <c:tx>
            <c:strRef>
              <c:f>'bidir - se-nse'!$A$115</c:f>
              <c:strCache>
                <c:ptCount val="1"/>
                <c:pt idx="0">
                  <c:v>Side effect free 10% - total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5"/>
            <c:spPr>
              <a:solidFill>
                <a:schemeClr val="tx2"/>
              </a:solidFill>
              <a:ln w="25400">
                <a:solidFill>
                  <a:schemeClr val="tx2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'bidir - se-nse'!$B$103:$H$103</c:f>
                <c:numCache>
                  <c:formatCode>General</c:formatCode>
                  <c:ptCount val="7"/>
                  <c:pt idx="0">
                    <c:v>3.8879481040046833E-3</c:v>
                  </c:pt>
                  <c:pt idx="1">
                    <c:v>1.0710983506670765E-2</c:v>
                  </c:pt>
                  <c:pt idx="2">
                    <c:v>3.4702434002513834E-2</c:v>
                  </c:pt>
                  <c:pt idx="3">
                    <c:v>1.5598038159262886E-2</c:v>
                  </c:pt>
                  <c:pt idx="4">
                    <c:v>0.22169817925648938</c:v>
                  </c:pt>
                  <c:pt idx="5">
                    <c:v>0.19149525177178897</c:v>
                  </c:pt>
                  <c:pt idx="6">
                    <c:v>0.47603440069879072</c:v>
                  </c:pt>
                </c:numCache>
              </c:numRef>
            </c:plus>
            <c:minus>
              <c:numRef>
                <c:f>'bidir - se-nse'!$B$103:$H$103</c:f>
                <c:numCache>
                  <c:formatCode>General</c:formatCode>
                  <c:ptCount val="7"/>
                  <c:pt idx="0">
                    <c:v>3.8879481040046833E-3</c:v>
                  </c:pt>
                  <c:pt idx="1">
                    <c:v>1.0710983506670765E-2</c:v>
                  </c:pt>
                  <c:pt idx="2">
                    <c:v>3.4702434002513834E-2</c:v>
                  </c:pt>
                  <c:pt idx="3">
                    <c:v>1.5598038159262886E-2</c:v>
                  </c:pt>
                  <c:pt idx="4">
                    <c:v>0.22169817925648938</c:v>
                  </c:pt>
                  <c:pt idx="5">
                    <c:v>0.19149525177178897</c:v>
                  </c:pt>
                  <c:pt idx="6">
                    <c:v>0.47603440069879072</c:v>
                  </c:pt>
                </c:numCache>
              </c:numRef>
            </c:minus>
          </c:errBars>
          <c:cat>
            <c:numRef>
              <c:f>'bidir - se-nse'!$B$2:$H$2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cat>
          <c:val>
            <c:numRef>
              <c:f>'bidir - se-nse'!$B$116:$H$116</c:f>
              <c:numCache>
                <c:formatCode>General</c:formatCode>
                <c:ptCount val="7"/>
                <c:pt idx="0">
                  <c:v>0.52500000000000002</c:v>
                </c:pt>
                <c:pt idx="1">
                  <c:v>5.0283333333333333</c:v>
                </c:pt>
                <c:pt idx="2">
                  <c:v>18.943666666666665</c:v>
                </c:pt>
                <c:pt idx="3">
                  <c:v>49.864666666666665</c:v>
                </c:pt>
                <c:pt idx="4">
                  <c:v>126.34100000000001</c:v>
                </c:pt>
                <c:pt idx="5">
                  <c:v>200.94633333333331</c:v>
                </c:pt>
                <c:pt idx="6">
                  <c:v>270.11733333333336</c:v>
                </c:pt>
              </c:numCache>
            </c:numRef>
          </c:val>
        </c:ser>
        <c:ser>
          <c:idx val="1"/>
          <c:order val="2"/>
          <c:tx>
            <c:strRef>
              <c:f>'bidir - se-nse'!$A$26</c:f>
              <c:strCache>
                <c:ptCount val="1"/>
                <c:pt idx="0">
                  <c:v>Side effecting 10% - update policy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5"/>
            <c:spPr>
              <a:noFill/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'bidir - se-nse'!$B$34:$H$34</c:f>
                <c:numCache>
                  <c:formatCode>General</c:formatCode>
                  <c:ptCount val="7"/>
                  <c:pt idx="0">
                    <c:v>0</c:v>
                  </c:pt>
                  <c:pt idx="1">
                    <c:v>3.7649678681708669E-3</c:v>
                  </c:pt>
                  <c:pt idx="2">
                    <c:v>6.1278266924159226E-3</c:v>
                  </c:pt>
                  <c:pt idx="3">
                    <c:v>7.5018245596100777E-3</c:v>
                  </c:pt>
                  <c:pt idx="4">
                    <c:v>5.7108655550482208E-3</c:v>
                  </c:pt>
                  <c:pt idx="5">
                    <c:v>5.685584928181853E-3</c:v>
                  </c:pt>
                  <c:pt idx="6">
                    <c:v>5.9819051241384088E-3</c:v>
                  </c:pt>
                </c:numCache>
              </c:numRef>
            </c:plus>
            <c:minus>
              <c:numRef>
                <c:f>'bidir - se-nse'!$B$34:$H$34</c:f>
                <c:numCache>
                  <c:formatCode>General</c:formatCode>
                  <c:ptCount val="7"/>
                  <c:pt idx="0">
                    <c:v>0</c:v>
                  </c:pt>
                  <c:pt idx="1">
                    <c:v>3.7649678681708669E-3</c:v>
                  </c:pt>
                  <c:pt idx="2">
                    <c:v>6.1278266924159226E-3</c:v>
                  </c:pt>
                  <c:pt idx="3">
                    <c:v>7.5018245596100777E-3</c:v>
                  </c:pt>
                  <c:pt idx="4">
                    <c:v>5.7108655550482208E-3</c:v>
                  </c:pt>
                  <c:pt idx="5">
                    <c:v>5.685584928181853E-3</c:v>
                  </c:pt>
                  <c:pt idx="6">
                    <c:v>5.9819051241384088E-3</c:v>
                  </c:pt>
                </c:numCache>
              </c:numRef>
            </c:minus>
          </c:errBars>
          <c:cat>
            <c:numRef>
              <c:f>'bidir - se-nse'!$B$2:$H$2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cat>
          <c:val>
            <c:numRef>
              <c:f>'bidir - se-nse'!$B$32:$H$32</c:f>
              <c:numCache>
                <c:formatCode>General</c:formatCode>
                <c:ptCount val="7"/>
                <c:pt idx="0">
                  <c:v>0.125</c:v>
                </c:pt>
                <c:pt idx="1">
                  <c:v>0.47833333333333333</c:v>
                </c:pt>
                <c:pt idx="2">
                  <c:v>1.2010000000000001</c:v>
                </c:pt>
                <c:pt idx="3">
                  <c:v>2.028</c:v>
                </c:pt>
                <c:pt idx="4">
                  <c:v>3.7546666666666666</c:v>
                </c:pt>
                <c:pt idx="5">
                  <c:v>5.3923333333333332</c:v>
                </c:pt>
                <c:pt idx="6">
                  <c:v>8.4083333333333332</c:v>
                </c:pt>
              </c:numCache>
            </c:numRef>
          </c:val>
        </c:ser>
        <c:ser>
          <c:idx val="3"/>
          <c:order val="3"/>
          <c:tx>
            <c:strRef>
              <c:f>'bidir - se-nse'!$A$46</c:f>
              <c:strCache>
                <c:ptCount val="1"/>
                <c:pt idx="0">
                  <c:v>Side effecting 10% - total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square"/>
            <c:size val="15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'bidir - se-nse'!$B$90:$H$90</c:f>
                <c:numCache>
                  <c:formatCode>General</c:formatCode>
                  <c:ptCount val="7"/>
                  <c:pt idx="0">
                    <c:v>6.1777741447544112E-3</c:v>
                  </c:pt>
                  <c:pt idx="1">
                    <c:v>1.7147164725863355E-2</c:v>
                  </c:pt>
                  <c:pt idx="2">
                    <c:v>2.5804248965734085E-2</c:v>
                  </c:pt>
                  <c:pt idx="3">
                    <c:v>5.763977171157008E-2</c:v>
                  </c:pt>
                  <c:pt idx="4">
                    <c:v>0.14076430772205997</c:v>
                  </c:pt>
                  <c:pt idx="5">
                    <c:v>7.3121368009516324E-2</c:v>
                  </c:pt>
                  <c:pt idx="6">
                    <c:v>0.21941750849705294</c:v>
                  </c:pt>
                </c:numCache>
              </c:numRef>
            </c:plus>
            <c:minus>
              <c:numRef>
                <c:f>'bidir - se-nse'!$B$90:$H$90</c:f>
                <c:numCache>
                  <c:formatCode>General</c:formatCode>
                  <c:ptCount val="7"/>
                  <c:pt idx="0">
                    <c:v>6.1777741447544112E-3</c:v>
                  </c:pt>
                  <c:pt idx="1">
                    <c:v>1.7147164725863355E-2</c:v>
                  </c:pt>
                  <c:pt idx="2">
                    <c:v>2.5804248965734085E-2</c:v>
                  </c:pt>
                  <c:pt idx="3">
                    <c:v>5.763977171157008E-2</c:v>
                  </c:pt>
                  <c:pt idx="4">
                    <c:v>0.14076430772205997</c:v>
                  </c:pt>
                  <c:pt idx="5">
                    <c:v>7.3121368009516324E-2</c:v>
                  </c:pt>
                  <c:pt idx="6">
                    <c:v>0.21941750849705294</c:v>
                  </c:pt>
                </c:numCache>
              </c:numRef>
            </c:minus>
          </c:errBars>
          <c:cat>
            <c:numRef>
              <c:f>'bidir - se-nse'!$B$2:$H$2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cat>
          <c:val>
            <c:numRef>
              <c:f>'bidir - se-nse'!$B$47:$H$47</c:f>
              <c:numCache>
                <c:formatCode>General</c:formatCode>
                <c:ptCount val="7"/>
                <c:pt idx="0">
                  <c:v>0.32766666666666666</c:v>
                </c:pt>
                <c:pt idx="1">
                  <c:v>2.7350000000000003</c:v>
                </c:pt>
                <c:pt idx="2">
                  <c:v>10.025</c:v>
                </c:pt>
                <c:pt idx="3">
                  <c:v>25.854666666666667</c:v>
                </c:pt>
                <c:pt idx="4">
                  <c:v>64.580666666666673</c:v>
                </c:pt>
                <c:pt idx="5">
                  <c:v>103.10666666666665</c:v>
                </c:pt>
                <c:pt idx="6">
                  <c:v>137.90033333333332</c:v>
                </c:pt>
              </c:numCache>
            </c:numRef>
          </c:val>
        </c:ser>
        <c:marker val="1"/>
        <c:axId val="74672768"/>
        <c:axId val="74687616"/>
      </c:lineChart>
      <c:catAx>
        <c:axId val="746727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Number of tuples</a:t>
                </a:r>
              </a:p>
            </c:rich>
          </c:tx>
          <c:layout>
            <c:manualLayout>
              <c:xMode val="edge"/>
              <c:yMode val="edge"/>
              <c:x val="0.38773491592482712"/>
              <c:y val="0.9319279754062362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4687616"/>
        <c:crosses val="autoZero"/>
        <c:auto val="1"/>
        <c:lblAlgn val="ctr"/>
        <c:lblOffset val="100"/>
        <c:tickLblSkip val="1"/>
        <c:tickMarkSkip val="1"/>
      </c:catAx>
      <c:valAx>
        <c:axId val="7468761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0"/>
              <c:y val="0.283267457180500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46727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100560501153973"/>
          <c:y val="3.5133948177426466E-3"/>
          <c:w val="0.84108143752060693"/>
          <c:h val="0.24696786419484129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485444864325039"/>
          <c:y val="2.8201320132013208E-2"/>
          <c:w val="0.8478287489398435"/>
          <c:h val="0.81249863569034064"/>
        </c:manualLayout>
      </c:layout>
      <c:lineChart>
        <c:grouping val="standard"/>
        <c:ser>
          <c:idx val="4"/>
          <c:order val="0"/>
          <c:tx>
            <c:strRef>
              <c:f>'int - 2k - fanout'!$B$3</c:f>
              <c:strCache>
                <c:ptCount val="1"/>
                <c:pt idx="0">
                  <c:v>fan-in/fan-out: 1</c:v>
                </c:pt>
              </c:strCache>
            </c:strRef>
          </c:tx>
          <c:spPr>
            <a:ln w="38100">
              <a:solidFill>
                <a:srgbClr val="1F497D"/>
              </a:solidFill>
            </a:ln>
          </c:spPr>
          <c:marker>
            <c:symbol val="triangle"/>
            <c:size val="15"/>
            <c:spPr>
              <a:solidFill>
                <a:schemeClr val="tx2"/>
              </a:solidFill>
              <a:ln w="25400">
                <a:solidFill>
                  <a:srgbClr val="1F497D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'int - 2k - fanout'!$B$11:$F$11</c:f>
                <c:numCache>
                  <c:formatCode>General</c:formatCode>
                  <c:ptCount val="5"/>
                  <c:pt idx="0">
                    <c:v>0.19663977862830839</c:v>
                  </c:pt>
                  <c:pt idx="1">
                    <c:v>0.41059229330012098</c:v>
                  </c:pt>
                  <c:pt idx="2">
                    <c:v>0.56534234483758172</c:v>
                  </c:pt>
                  <c:pt idx="3">
                    <c:v>2.0331501633565514</c:v>
                  </c:pt>
                  <c:pt idx="4">
                    <c:v>1.7196636657310855</c:v>
                  </c:pt>
                </c:numCache>
              </c:numRef>
            </c:plus>
            <c:minus>
              <c:numRef>
                <c:f>'int - 2k - fanout'!$B$11:$F$11</c:f>
                <c:numCache>
                  <c:formatCode>General</c:formatCode>
                  <c:ptCount val="5"/>
                  <c:pt idx="0">
                    <c:v>0.19663977862830839</c:v>
                  </c:pt>
                  <c:pt idx="1">
                    <c:v>0.41059229330012098</c:v>
                  </c:pt>
                  <c:pt idx="2">
                    <c:v>0.56534234483758172</c:v>
                  </c:pt>
                  <c:pt idx="3">
                    <c:v>2.0331501633565514</c:v>
                  </c:pt>
                  <c:pt idx="4">
                    <c:v>1.7196636657310855</c:v>
                  </c:pt>
                </c:numCache>
              </c:numRef>
            </c:minus>
          </c:errBars>
          <c:cat>
            <c:numRef>
              <c:f>'int - 2k - fanout'!$B$2:$F$2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</c:numCache>
            </c:numRef>
          </c:cat>
          <c:val>
            <c:numRef>
              <c:f>'int - 2k - fanout'!$B$9:$F$9</c:f>
              <c:numCache>
                <c:formatCode>General</c:formatCode>
                <c:ptCount val="5"/>
                <c:pt idx="0">
                  <c:v>2.0906666666666665</c:v>
                </c:pt>
                <c:pt idx="1">
                  <c:v>5.6840000000000002</c:v>
                </c:pt>
                <c:pt idx="2">
                  <c:v>15.033333333333333</c:v>
                </c:pt>
                <c:pt idx="3">
                  <c:v>21.617000000000001</c:v>
                </c:pt>
                <c:pt idx="4">
                  <c:v>25.402333333333335</c:v>
                </c:pt>
              </c:numCache>
            </c:numRef>
          </c:val>
        </c:ser>
        <c:ser>
          <c:idx val="5"/>
          <c:order val="1"/>
          <c:tx>
            <c:strRef>
              <c:f>'int - 2k - fanout'!$B$14</c:f>
              <c:strCache>
                <c:ptCount val="1"/>
                <c:pt idx="0">
                  <c:v>fan-in/fan-out: 2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diamond"/>
            <c:size val="18"/>
            <c:spPr>
              <a:solidFill>
                <a:schemeClr val="tx2"/>
              </a:solidFill>
              <a:ln w="25400">
                <a:solidFill>
                  <a:srgbClr val="1F497D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'int - 2k - fanout'!$B$22:$F$22</c:f>
                <c:numCache>
                  <c:formatCode>General</c:formatCode>
                  <c:ptCount val="5"/>
                  <c:pt idx="0">
                    <c:v>0.51984127385291112</c:v>
                  </c:pt>
                  <c:pt idx="1">
                    <c:v>0.32705765202932247</c:v>
                  </c:pt>
                  <c:pt idx="2">
                    <c:v>1.2456263720767231</c:v>
                  </c:pt>
                  <c:pt idx="3">
                    <c:v>27.403447198609349</c:v>
                  </c:pt>
                  <c:pt idx="4">
                    <c:v>23.742039361452328</c:v>
                  </c:pt>
                </c:numCache>
              </c:numRef>
            </c:plus>
            <c:minus>
              <c:numRef>
                <c:f>'int - 2k - fanout'!$B$22:$F$22</c:f>
                <c:numCache>
                  <c:formatCode>General</c:formatCode>
                  <c:ptCount val="5"/>
                  <c:pt idx="0">
                    <c:v>0.51984127385291112</c:v>
                  </c:pt>
                  <c:pt idx="1">
                    <c:v>0.32705765202932247</c:v>
                  </c:pt>
                  <c:pt idx="2">
                    <c:v>1.2456263720767231</c:v>
                  </c:pt>
                  <c:pt idx="3">
                    <c:v>27.403447198609349</c:v>
                  </c:pt>
                  <c:pt idx="4">
                    <c:v>23.742039361452328</c:v>
                  </c:pt>
                </c:numCache>
              </c:numRef>
            </c:minus>
          </c:errBars>
          <c:cat>
            <c:numRef>
              <c:f>'int - 2k - fanout'!$B$2:$F$2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</c:numCache>
            </c:numRef>
          </c:cat>
          <c:val>
            <c:numRef>
              <c:f>'int - 2k - fanout'!$B$20:$F$20</c:f>
              <c:numCache>
                <c:formatCode>General</c:formatCode>
                <c:ptCount val="5"/>
                <c:pt idx="0">
                  <c:v>7.5140000000000002</c:v>
                </c:pt>
                <c:pt idx="1">
                  <c:v>9.4440000000000008</c:v>
                </c:pt>
                <c:pt idx="2">
                  <c:v>88.593666666666664</c:v>
                </c:pt>
                <c:pt idx="3">
                  <c:v>117.53733333333334</c:v>
                </c:pt>
                <c:pt idx="4">
                  <c:v>433.93299999999999</c:v>
                </c:pt>
              </c:numCache>
            </c:numRef>
          </c:val>
        </c:ser>
        <c:ser>
          <c:idx val="6"/>
          <c:order val="2"/>
          <c:tx>
            <c:strRef>
              <c:f>'int - 2k - fanout'!$B$25</c:f>
              <c:strCache>
                <c:ptCount val="1"/>
                <c:pt idx="0">
                  <c:v>fan-in/fan-out: 3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5"/>
            <c:spPr>
              <a:solidFill>
                <a:schemeClr val="tx2"/>
              </a:solidFill>
              <a:ln w="25400">
                <a:solidFill>
                  <a:schemeClr val="tx2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'int - 2k - fanout'!$B$33:$E$33</c:f>
                <c:numCache>
                  <c:formatCode>General</c:formatCode>
                  <c:ptCount val="4"/>
                  <c:pt idx="0">
                    <c:v>0.36850455590958875</c:v>
                  </c:pt>
                  <c:pt idx="1">
                    <c:v>0.27859276521309223</c:v>
                  </c:pt>
                  <c:pt idx="2">
                    <c:v>18.714520732452055</c:v>
                  </c:pt>
                  <c:pt idx="3">
                    <c:v>26.906511224614118</c:v>
                  </c:pt>
                </c:numCache>
              </c:numRef>
            </c:plus>
            <c:minus>
              <c:numRef>
                <c:f>'int - 2k - fanout'!$B$33:$E$33</c:f>
                <c:numCache>
                  <c:formatCode>General</c:formatCode>
                  <c:ptCount val="4"/>
                  <c:pt idx="0">
                    <c:v>0.36850455590958875</c:v>
                  </c:pt>
                  <c:pt idx="1">
                    <c:v>0.27859276521309223</c:v>
                  </c:pt>
                  <c:pt idx="2">
                    <c:v>18.714520732452055</c:v>
                  </c:pt>
                  <c:pt idx="3">
                    <c:v>26.906511224614118</c:v>
                  </c:pt>
                </c:numCache>
              </c:numRef>
            </c:minus>
          </c:errBars>
          <c:cat>
            <c:numRef>
              <c:f>'int - 2k - fanout'!$B$2:$F$2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</c:numCache>
            </c:numRef>
          </c:cat>
          <c:val>
            <c:numRef>
              <c:f>'int - 2k - fanout'!$B$31:$F$31</c:f>
              <c:numCache>
                <c:formatCode>General</c:formatCode>
                <c:ptCount val="5"/>
                <c:pt idx="0">
                  <c:v>10.311999999999999</c:v>
                </c:pt>
                <c:pt idx="1">
                  <c:v>26.609000000000002</c:v>
                </c:pt>
                <c:pt idx="2">
                  <c:v>345.59100000000001</c:v>
                </c:pt>
                <c:pt idx="3">
                  <c:v>475.50966666666665</c:v>
                </c:pt>
              </c:numCache>
            </c:numRef>
          </c:val>
        </c:ser>
        <c:marker val="1"/>
        <c:axId val="74851072"/>
        <c:axId val="74853376"/>
      </c:lineChart>
      <c:catAx>
        <c:axId val="748510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91592482712"/>
              <c:y val="0.9249011857707507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4853376"/>
        <c:crosses val="autoZero"/>
        <c:auto val="1"/>
        <c:lblAlgn val="ctr"/>
        <c:lblOffset val="100"/>
        <c:tickLblSkip val="1"/>
        <c:tickMarkSkip val="1"/>
      </c:catAx>
      <c:valAx>
        <c:axId val="74853376"/>
        <c:scaling>
          <c:orientation val="minMax"/>
          <c:max val="510"/>
          <c:min val="0"/>
        </c:scaling>
        <c:axPos val="l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1.3188262446422684E-3"/>
              <c:y val="0.283267457180500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4851072"/>
        <c:crosses val="autoZero"/>
        <c:crossBetween val="between"/>
        <c:majorUnit val="1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496208374546669"/>
          <c:y val="8.7834870443566169E-3"/>
          <c:w val="0.30563798219584587"/>
          <c:h val="0.18899684970208797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4309264754368611"/>
          <c:y val="3.2938076416337295E-2"/>
          <c:w val="0.83877349159248604"/>
          <c:h val="0.77997364953887061"/>
        </c:manualLayout>
      </c:layout>
      <c:lineChart>
        <c:grouping val="standard"/>
        <c:ser>
          <c:idx val="4"/>
          <c:order val="0"/>
          <c:tx>
            <c:strRef>
              <c:f>'int - 10p'!$A$13</c:f>
              <c:strCache>
                <c:ptCount val="1"/>
                <c:pt idx="0">
                  <c:v>incremental deletions 1%</c:v>
                </c:pt>
              </c:strCache>
            </c:strRef>
          </c:tx>
          <c:spPr>
            <a:ln w="38100">
              <a:solidFill>
                <a:srgbClr val="1F497D"/>
              </a:solidFill>
            </a:ln>
          </c:spPr>
          <c:marker>
            <c:symbol val="triangle"/>
            <c:size val="15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cat>
            <c:strRef>
              <c:f>'int - 10p'!$B$2:$F$2</c:f>
              <c:strCache>
                <c:ptCount val="5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  <c:pt idx="4">
                  <c:v>10k</c:v>
                </c:pt>
              </c:strCache>
            </c:strRef>
          </c:cat>
          <c:val>
            <c:numRef>
              <c:f>'int - 10p'!$B$19:$F$19</c:f>
              <c:numCache>
                <c:formatCode>General</c:formatCode>
                <c:ptCount val="5"/>
                <c:pt idx="0">
                  <c:v>0.86599999999999999</c:v>
                </c:pt>
                <c:pt idx="1">
                  <c:v>1.0255000000000001</c:v>
                </c:pt>
                <c:pt idx="2">
                  <c:v>1.3140000000000001</c:v>
                </c:pt>
                <c:pt idx="3">
                  <c:v>1.58775</c:v>
                </c:pt>
                <c:pt idx="4">
                  <c:v>1.9706666666666666</c:v>
                </c:pt>
              </c:numCache>
            </c:numRef>
          </c:val>
        </c:ser>
        <c:ser>
          <c:idx val="5"/>
          <c:order val="1"/>
          <c:tx>
            <c:strRef>
              <c:f>'int - 10p'!$A$23</c:f>
              <c:strCache>
                <c:ptCount val="1"/>
                <c:pt idx="0">
                  <c:v>incremental deletions 10%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diamond"/>
            <c:size val="18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cat>
            <c:strRef>
              <c:f>'int - 10p'!$B$2:$F$2</c:f>
              <c:strCache>
                <c:ptCount val="5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  <c:pt idx="4">
                  <c:v>10k</c:v>
                </c:pt>
              </c:strCache>
            </c:strRef>
          </c:cat>
          <c:val>
            <c:numRef>
              <c:f>'int - 10p'!$B$29:$F$29</c:f>
              <c:numCache>
                <c:formatCode>General</c:formatCode>
                <c:ptCount val="5"/>
                <c:pt idx="0">
                  <c:v>1.34175</c:v>
                </c:pt>
                <c:pt idx="1">
                  <c:v>1.9695</c:v>
                </c:pt>
                <c:pt idx="2">
                  <c:v>2.7959999999999998</c:v>
                </c:pt>
                <c:pt idx="3">
                  <c:v>3.5179999999999998</c:v>
                </c:pt>
                <c:pt idx="4">
                  <c:v>4.3940000000000001</c:v>
                </c:pt>
              </c:numCache>
            </c:numRef>
          </c:val>
        </c:ser>
        <c:ser>
          <c:idx val="6"/>
          <c:order val="2"/>
          <c:tx>
            <c:strRef>
              <c:f>'int - 10p'!$A$33</c:f>
              <c:strCache>
                <c:ptCount val="1"/>
                <c:pt idx="0">
                  <c:v>incremental deletions 50%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5"/>
            <c:spPr>
              <a:solidFill>
                <a:schemeClr val="tx2"/>
              </a:solidFill>
              <a:ln w="12700">
                <a:solidFill>
                  <a:schemeClr val="tx2"/>
                </a:solidFill>
              </a:ln>
            </c:spPr>
          </c:marker>
          <c:cat>
            <c:strRef>
              <c:f>'int - 10p'!$B$2:$F$2</c:f>
              <c:strCache>
                <c:ptCount val="5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  <c:pt idx="4">
                  <c:v>10k</c:v>
                </c:pt>
              </c:strCache>
            </c:strRef>
          </c:cat>
          <c:val>
            <c:numRef>
              <c:f>'int - 10p'!$B$39:$F$39</c:f>
              <c:numCache>
                <c:formatCode>General</c:formatCode>
                <c:ptCount val="5"/>
                <c:pt idx="0">
                  <c:v>3.6267499999999999</c:v>
                </c:pt>
                <c:pt idx="1">
                  <c:v>6.8877499999999996</c:v>
                </c:pt>
                <c:pt idx="2">
                  <c:v>10.2455</c:v>
                </c:pt>
                <c:pt idx="3">
                  <c:v>12.8505</c:v>
                </c:pt>
                <c:pt idx="4">
                  <c:v>16.598333333333333</c:v>
                </c:pt>
              </c:numCache>
            </c:numRef>
          </c:val>
        </c:ser>
        <c:ser>
          <c:idx val="1"/>
          <c:order val="3"/>
          <c:tx>
            <c:strRef>
              <c:f>'int - 10p'!$A$136</c:f>
              <c:strCache>
                <c:ptCount val="1"/>
                <c:pt idx="0">
                  <c:v>DRed deletions 1%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5"/>
            <c:spPr>
              <a:noFill/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cat>
            <c:strRef>
              <c:f>'int - 10p'!$B$2:$F$2</c:f>
              <c:strCache>
                <c:ptCount val="5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  <c:pt idx="4">
                  <c:v>10k</c:v>
                </c:pt>
              </c:strCache>
            </c:strRef>
          </c:cat>
          <c:val>
            <c:numRef>
              <c:f>'int - 10p'!$B$142:$F$142</c:f>
              <c:numCache>
                <c:formatCode>General</c:formatCode>
                <c:ptCount val="5"/>
                <c:pt idx="0">
                  <c:v>0.61624999999999996</c:v>
                </c:pt>
                <c:pt idx="1">
                  <c:v>1.5289999999999999</c:v>
                </c:pt>
                <c:pt idx="2">
                  <c:v>1.9816666666666667</c:v>
                </c:pt>
                <c:pt idx="3">
                  <c:v>2.1633333333333336</c:v>
                </c:pt>
                <c:pt idx="4">
                  <c:v>2.4126666666666665</c:v>
                </c:pt>
              </c:numCache>
            </c:numRef>
          </c:val>
        </c:ser>
        <c:ser>
          <c:idx val="2"/>
          <c:order val="4"/>
          <c:tx>
            <c:strRef>
              <c:f>'int - 10p'!$A$146</c:f>
              <c:strCache>
                <c:ptCount val="1"/>
                <c:pt idx="0">
                  <c:v>DRed deletions 10%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diamond"/>
            <c:size val="18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cat>
            <c:strRef>
              <c:f>'int - 10p'!$B$2:$F$2</c:f>
              <c:strCache>
                <c:ptCount val="5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  <c:pt idx="4">
                  <c:v>10k</c:v>
                </c:pt>
              </c:strCache>
            </c:strRef>
          </c:cat>
          <c:val>
            <c:numRef>
              <c:f>'int - 10p'!$B$152:$F$152</c:f>
              <c:numCache>
                <c:formatCode>General</c:formatCode>
                <c:ptCount val="5"/>
                <c:pt idx="0">
                  <c:v>1.0297499999999999</c:v>
                </c:pt>
                <c:pt idx="1">
                  <c:v>2.3506666666666667</c:v>
                </c:pt>
                <c:pt idx="2">
                  <c:v>3.0056666666666665</c:v>
                </c:pt>
                <c:pt idx="3">
                  <c:v>3.2553333333333332</c:v>
                </c:pt>
                <c:pt idx="4">
                  <c:v>3.5516666666666667</c:v>
                </c:pt>
              </c:numCache>
            </c:numRef>
          </c:val>
        </c:ser>
        <c:ser>
          <c:idx val="3"/>
          <c:order val="5"/>
          <c:tx>
            <c:strRef>
              <c:f>'int - 10p'!$A$156</c:f>
              <c:strCache>
                <c:ptCount val="1"/>
                <c:pt idx="0">
                  <c:v>DRed deletions 50%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square"/>
            <c:size val="15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cat>
            <c:strRef>
              <c:f>'int - 10p'!$B$2:$F$2</c:f>
              <c:strCache>
                <c:ptCount val="5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  <c:pt idx="4">
                  <c:v>10k</c:v>
                </c:pt>
              </c:strCache>
            </c:strRef>
          </c:cat>
          <c:val>
            <c:numRef>
              <c:f>'int - 10p'!$B$162:$F$162</c:f>
              <c:numCache>
                <c:formatCode>General</c:formatCode>
                <c:ptCount val="5"/>
                <c:pt idx="0">
                  <c:v>3.1435</c:v>
                </c:pt>
                <c:pt idx="1">
                  <c:v>7.6026666666666669</c:v>
                </c:pt>
                <c:pt idx="2">
                  <c:v>9.5939999999999994</c:v>
                </c:pt>
                <c:pt idx="3">
                  <c:v>10.618333333333334</c:v>
                </c:pt>
                <c:pt idx="4">
                  <c:v>13.072666666666667</c:v>
                </c:pt>
              </c:numCache>
            </c:numRef>
          </c:val>
        </c:ser>
        <c:ser>
          <c:idx val="7"/>
          <c:order val="6"/>
          <c:tx>
            <c:strRef>
              <c:f>'int - 10p'!$A$75</c:f>
              <c:strCache>
                <c:ptCount val="1"/>
                <c:pt idx="0">
                  <c:v>non-incremental deletions 1%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plus"/>
            <c:size val="15"/>
            <c:spPr>
              <a:ln w="38100">
                <a:solidFill>
                  <a:schemeClr val="accent1">
                    <a:lumMod val="50000"/>
                  </a:schemeClr>
                </a:solidFill>
              </a:ln>
            </c:spPr>
          </c:marker>
          <c:val>
            <c:numRef>
              <c:f>'int - 10p'!$B$81:$F$81</c:f>
              <c:numCache>
                <c:formatCode>General</c:formatCode>
                <c:ptCount val="5"/>
                <c:pt idx="0">
                  <c:v>5.7759999999999998</c:v>
                </c:pt>
                <c:pt idx="1">
                  <c:v>11.606333333333334</c:v>
                </c:pt>
                <c:pt idx="2">
                  <c:v>16.733666666666668</c:v>
                </c:pt>
                <c:pt idx="3">
                  <c:v>22.322666666666667</c:v>
                </c:pt>
                <c:pt idx="4">
                  <c:v>28.116666666666667</c:v>
                </c:pt>
              </c:numCache>
            </c:numRef>
          </c:val>
        </c:ser>
        <c:ser>
          <c:idx val="8"/>
          <c:order val="7"/>
          <c:tx>
            <c:strRef>
              <c:f>'int - 10p'!$A$85</c:f>
              <c:strCache>
                <c:ptCount val="1"/>
                <c:pt idx="0">
                  <c:v>non-incremental deletions 10%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x"/>
            <c:size val="15"/>
            <c:spPr>
              <a:ln w="38100">
                <a:solidFill>
                  <a:schemeClr val="tx2"/>
                </a:solidFill>
              </a:ln>
            </c:spPr>
          </c:marker>
          <c:val>
            <c:numRef>
              <c:f>'int - 10p'!$B$91:$F$91</c:f>
              <c:numCache>
                <c:formatCode>General</c:formatCode>
                <c:ptCount val="5"/>
                <c:pt idx="0">
                  <c:v>5.2885</c:v>
                </c:pt>
                <c:pt idx="1">
                  <c:v>10.426333333333334</c:v>
                </c:pt>
                <c:pt idx="2">
                  <c:v>15.46</c:v>
                </c:pt>
                <c:pt idx="3">
                  <c:v>20.536000000000001</c:v>
                </c:pt>
                <c:pt idx="4">
                  <c:v>25.521666666666668</c:v>
                </c:pt>
              </c:numCache>
            </c:numRef>
          </c:val>
        </c:ser>
        <c:ser>
          <c:idx val="9"/>
          <c:order val="8"/>
          <c:tx>
            <c:strRef>
              <c:f>'int - 10p'!$A$95</c:f>
              <c:strCache>
                <c:ptCount val="1"/>
                <c:pt idx="0">
                  <c:v>non-incremental deletions 50%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tar"/>
            <c:size val="15"/>
            <c:spPr>
              <a:ln w="38100">
                <a:solidFill>
                  <a:schemeClr val="tx2"/>
                </a:solidFill>
              </a:ln>
            </c:spPr>
          </c:marker>
          <c:val>
            <c:numRef>
              <c:f>'int - 10p'!$B$101:$F$101</c:f>
              <c:numCache>
                <c:formatCode>General</c:formatCode>
                <c:ptCount val="5"/>
                <c:pt idx="0">
                  <c:v>3.1509999999999998</c:v>
                </c:pt>
                <c:pt idx="1">
                  <c:v>5.8713333333333333</c:v>
                </c:pt>
                <c:pt idx="2">
                  <c:v>8.533666666666667</c:v>
                </c:pt>
                <c:pt idx="3">
                  <c:v>11.273999999999999</c:v>
                </c:pt>
                <c:pt idx="4">
                  <c:v>14.097</c:v>
                </c:pt>
              </c:numCache>
            </c:numRef>
          </c:val>
        </c:ser>
        <c:marker val="1"/>
        <c:axId val="60810368"/>
        <c:axId val="60812672"/>
      </c:lineChart>
      <c:catAx>
        <c:axId val="608103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3000"/>
                  <a:t>Number of tuples</a:t>
                </a:r>
              </a:p>
            </c:rich>
          </c:tx>
          <c:layout>
            <c:manualLayout>
              <c:xMode val="edge"/>
              <c:yMode val="edge"/>
              <c:x val="0.38773491592483"/>
              <c:y val="0.912604303908651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812672"/>
        <c:crosses val="autoZero"/>
        <c:auto val="1"/>
        <c:lblAlgn val="ctr"/>
        <c:lblOffset val="100"/>
        <c:tickLblSkip val="1"/>
        <c:tickMarkSkip val="1"/>
      </c:catAx>
      <c:valAx>
        <c:axId val="6081267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3000"/>
                  <a:t>Time (sec)</a:t>
                </a:r>
              </a:p>
            </c:rich>
          </c:tx>
          <c:layout>
            <c:manualLayout>
              <c:xMode val="edge"/>
              <c:yMode val="edge"/>
              <c:x val="6.5941312232113422E-3"/>
              <c:y val="0.283267457180500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8103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364325750082439"/>
          <c:y val="0"/>
          <c:w val="0.47576656775469855"/>
          <c:h val="0.57913084975050044"/>
        </c:manualLayout>
      </c:layout>
      <c:spPr>
        <a:noFill/>
        <a:ln w="25400">
          <a:noFill/>
        </a:ln>
      </c:spPr>
      <c:txPr>
        <a:bodyPr/>
        <a:lstStyle/>
        <a:p>
          <a:pPr>
            <a:defRPr sz="2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5364325750082486"/>
          <c:y val="3.2938076416337295E-2"/>
          <c:w val="0.82822288163534452"/>
          <c:h val="0.77997364953886994"/>
        </c:manualLayout>
      </c:layout>
      <c:lineChart>
        <c:grouping val="standard"/>
        <c:ser>
          <c:idx val="0"/>
          <c:order val="0"/>
          <c:tx>
            <c:strRef>
              <c:f>'int - 2k'!$A$3</c:f>
              <c:strCache>
                <c:ptCount val="1"/>
                <c:pt idx="0">
                  <c:v>time to join</c:v>
                </c:pt>
              </c:strCache>
            </c:strRef>
          </c:tx>
          <c:spPr>
            <a:ln w="38100"/>
          </c:spPr>
          <c:marker>
            <c:symbol val="circle"/>
            <c:size val="15"/>
            <c:spPr>
              <a:solidFill>
                <a:schemeClr val="accent1"/>
              </a:solidFill>
            </c:spPr>
          </c:marker>
          <c:cat>
            <c:numRef>
              <c:f>'int - 2k'!$B$2:$K$2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'int - 2k'!$B$9:$K$9</c:f>
              <c:numCache>
                <c:formatCode>General</c:formatCode>
                <c:ptCount val="10"/>
                <c:pt idx="0">
                  <c:v>5.79575</c:v>
                </c:pt>
                <c:pt idx="1">
                  <c:v>24.09675</c:v>
                </c:pt>
                <c:pt idx="2">
                  <c:v>40.131500000000003</c:v>
                </c:pt>
                <c:pt idx="3">
                  <c:v>72.291749999999993</c:v>
                </c:pt>
                <c:pt idx="4">
                  <c:v>74.720749999999995</c:v>
                </c:pt>
                <c:pt idx="5">
                  <c:v>104.72175</c:v>
                </c:pt>
                <c:pt idx="6">
                  <c:v>104.026</c:v>
                </c:pt>
                <c:pt idx="7">
                  <c:v>277.97050000000002</c:v>
                </c:pt>
                <c:pt idx="8">
                  <c:v>575.74075000000005</c:v>
                </c:pt>
                <c:pt idx="9">
                  <c:v>804.55200000000002</c:v>
                </c:pt>
              </c:numCache>
            </c:numRef>
          </c:val>
        </c:ser>
        <c:ser>
          <c:idx val="1"/>
          <c:order val="1"/>
          <c:tx>
            <c:strRef>
              <c:f>'int - 2k'!$A$14</c:f>
              <c:strCache>
                <c:ptCount val="1"/>
                <c:pt idx="0">
                  <c:v>incremental deletions 1%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5"/>
            <c:spPr>
              <a:noFill/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cat>
            <c:numRef>
              <c:f>'int - 2k'!$B$2:$K$2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'int - 2k'!$B$20:$K$20</c:f>
              <c:numCache>
                <c:formatCode>General</c:formatCode>
                <c:ptCount val="10"/>
                <c:pt idx="0">
                  <c:v>0.86599999999999999</c:v>
                </c:pt>
                <c:pt idx="1">
                  <c:v>2.5935000000000001</c:v>
                </c:pt>
                <c:pt idx="2">
                  <c:v>4.4930000000000003</c:v>
                </c:pt>
                <c:pt idx="3">
                  <c:v>7.6677499999999998</c:v>
                </c:pt>
                <c:pt idx="4">
                  <c:v>10.179</c:v>
                </c:pt>
                <c:pt idx="5">
                  <c:v>12.808</c:v>
                </c:pt>
                <c:pt idx="6">
                  <c:v>13.689500000000001</c:v>
                </c:pt>
                <c:pt idx="7">
                  <c:v>32.569249999999997</c:v>
                </c:pt>
                <c:pt idx="8">
                  <c:v>32.0685</c:v>
                </c:pt>
                <c:pt idx="9">
                  <c:v>69.077749999999995</c:v>
                </c:pt>
              </c:numCache>
            </c:numRef>
          </c:val>
        </c:ser>
        <c:ser>
          <c:idx val="2"/>
          <c:order val="2"/>
          <c:tx>
            <c:strRef>
              <c:f>'int - 2k'!$A$24</c:f>
              <c:strCache>
                <c:ptCount val="1"/>
                <c:pt idx="0">
                  <c:v>incremental deletions 10%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diamond"/>
            <c:size val="18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cat>
            <c:numRef>
              <c:f>'int - 2k'!$B$2:$K$2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'int - 2k'!$B$30:$K$30</c:f>
              <c:numCache>
                <c:formatCode>General</c:formatCode>
                <c:ptCount val="10"/>
                <c:pt idx="0">
                  <c:v>1.34175</c:v>
                </c:pt>
                <c:pt idx="1">
                  <c:v>4.85175</c:v>
                </c:pt>
                <c:pt idx="2">
                  <c:v>8.2642500000000005</c:v>
                </c:pt>
                <c:pt idx="3">
                  <c:v>13.973750000000001</c:v>
                </c:pt>
                <c:pt idx="4">
                  <c:v>18.669750000000001</c:v>
                </c:pt>
                <c:pt idx="5">
                  <c:v>20.518249999999998</c:v>
                </c:pt>
                <c:pt idx="6">
                  <c:v>21.764250000000001</c:v>
                </c:pt>
                <c:pt idx="7">
                  <c:v>71.242249999999999</c:v>
                </c:pt>
                <c:pt idx="8">
                  <c:v>64.019499999999994</c:v>
                </c:pt>
                <c:pt idx="9">
                  <c:v>117.4705</c:v>
                </c:pt>
              </c:numCache>
            </c:numRef>
          </c:val>
        </c:ser>
        <c:ser>
          <c:idx val="3"/>
          <c:order val="3"/>
          <c:tx>
            <c:strRef>
              <c:f>'int - 2k'!$A$34</c:f>
              <c:strCache>
                <c:ptCount val="1"/>
                <c:pt idx="0">
                  <c:v>incremental deletions 50%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square"/>
            <c:size val="15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cat>
            <c:numRef>
              <c:f>'int - 2k'!$B$2:$K$2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'int - 2k'!$B$40:$K$40</c:f>
              <c:numCache>
                <c:formatCode>General</c:formatCode>
                <c:ptCount val="10"/>
                <c:pt idx="0">
                  <c:v>3.6267499999999999</c:v>
                </c:pt>
                <c:pt idx="1">
                  <c:v>15.260999999999999</c:v>
                </c:pt>
                <c:pt idx="2">
                  <c:v>25.545500000000001</c:v>
                </c:pt>
                <c:pt idx="3">
                  <c:v>44.741750000000003</c:v>
                </c:pt>
                <c:pt idx="4">
                  <c:v>58.703749999999999</c:v>
                </c:pt>
                <c:pt idx="5">
                  <c:v>64.444249999999997</c:v>
                </c:pt>
                <c:pt idx="6">
                  <c:v>82.657749999999993</c:v>
                </c:pt>
                <c:pt idx="7">
                  <c:v>205.86025000000001</c:v>
                </c:pt>
                <c:pt idx="8">
                  <c:v>224.834</c:v>
                </c:pt>
                <c:pt idx="9">
                  <c:v>278.834</c:v>
                </c:pt>
              </c:numCache>
            </c:numRef>
          </c:val>
        </c:ser>
        <c:ser>
          <c:idx val="4"/>
          <c:order val="4"/>
          <c:tx>
            <c:strRef>
              <c:f>'int - 2k'!$A$44</c:f>
              <c:strCache>
                <c:ptCount val="1"/>
                <c:pt idx="0">
                  <c:v>incremental insertions 1%</c:v>
                </c:pt>
              </c:strCache>
            </c:strRef>
          </c:tx>
          <c:spPr>
            <a:ln w="38100">
              <a:solidFill>
                <a:srgbClr val="1F497D"/>
              </a:solidFill>
            </a:ln>
          </c:spPr>
          <c:marker>
            <c:symbol val="triangle"/>
            <c:size val="15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cat>
            <c:numRef>
              <c:f>'int - 2k'!$B$2:$K$2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'int - 2k'!$B$50:$K$50</c:f>
              <c:numCache>
                <c:formatCode>General</c:formatCode>
                <c:ptCount val="10"/>
                <c:pt idx="0">
                  <c:v>1.3065</c:v>
                </c:pt>
                <c:pt idx="1">
                  <c:v>5.1167499999999997</c:v>
                </c:pt>
                <c:pt idx="2">
                  <c:v>8.4979999999999993</c:v>
                </c:pt>
                <c:pt idx="3">
                  <c:v>15.506500000000001</c:v>
                </c:pt>
                <c:pt idx="4">
                  <c:v>18.353999999999999</c:v>
                </c:pt>
                <c:pt idx="5">
                  <c:v>17.137</c:v>
                </c:pt>
                <c:pt idx="6">
                  <c:v>29.71875</c:v>
                </c:pt>
                <c:pt idx="7">
                  <c:v>48.551749999999998</c:v>
                </c:pt>
                <c:pt idx="8">
                  <c:v>47.042499999999997</c:v>
                </c:pt>
                <c:pt idx="9">
                  <c:v>79.811250000000001</c:v>
                </c:pt>
              </c:numCache>
            </c:numRef>
          </c:val>
        </c:ser>
        <c:ser>
          <c:idx val="5"/>
          <c:order val="5"/>
          <c:tx>
            <c:strRef>
              <c:f>'int - 2k'!$A$54</c:f>
              <c:strCache>
                <c:ptCount val="1"/>
                <c:pt idx="0">
                  <c:v>incremental insertions 10%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diamond"/>
            <c:size val="18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cat>
            <c:numRef>
              <c:f>'int - 2k'!$B$2:$K$2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'int - 2k'!$B$60:$K$60</c:f>
              <c:numCache>
                <c:formatCode>General</c:formatCode>
                <c:ptCount val="10"/>
                <c:pt idx="0">
                  <c:v>1.7549999999999999</c:v>
                </c:pt>
                <c:pt idx="1">
                  <c:v>7.0397499999999997</c:v>
                </c:pt>
                <c:pt idx="2">
                  <c:v>11.809749999999999</c:v>
                </c:pt>
                <c:pt idx="3">
                  <c:v>20.168500000000002</c:v>
                </c:pt>
                <c:pt idx="4">
                  <c:v>23.728000000000002</c:v>
                </c:pt>
                <c:pt idx="5">
                  <c:v>27.261500000000002</c:v>
                </c:pt>
                <c:pt idx="6">
                  <c:v>31.571000000000002</c:v>
                </c:pt>
                <c:pt idx="7">
                  <c:v>94.59975</c:v>
                </c:pt>
                <c:pt idx="8">
                  <c:v>91.667000000000002</c:v>
                </c:pt>
                <c:pt idx="9">
                  <c:v>125.3725</c:v>
                </c:pt>
              </c:numCache>
            </c:numRef>
          </c:val>
        </c:ser>
        <c:ser>
          <c:idx val="6"/>
          <c:order val="6"/>
          <c:tx>
            <c:strRef>
              <c:f>'int - 2k'!$A$64</c:f>
              <c:strCache>
                <c:ptCount val="1"/>
                <c:pt idx="0">
                  <c:v>incremental insertions 50%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5"/>
            <c:spPr>
              <a:solidFill>
                <a:schemeClr val="tx2"/>
              </a:solidFill>
              <a:ln w="12700">
                <a:solidFill>
                  <a:schemeClr val="tx2"/>
                </a:solidFill>
              </a:ln>
            </c:spPr>
          </c:marker>
          <c:cat>
            <c:numRef>
              <c:f>'int - 2k'!$B$2:$K$2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'int - 2k'!$B$70:$K$70</c:f>
              <c:numCache>
                <c:formatCode>General</c:formatCode>
                <c:ptCount val="10"/>
                <c:pt idx="0">
                  <c:v>3.8530000000000002</c:v>
                </c:pt>
                <c:pt idx="1">
                  <c:v>15.959</c:v>
                </c:pt>
                <c:pt idx="2">
                  <c:v>27.469000000000001</c:v>
                </c:pt>
                <c:pt idx="3">
                  <c:v>49.126750000000001</c:v>
                </c:pt>
                <c:pt idx="4">
                  <c:v>53.208500000000001</c:v>
                </c:pt>
                <c:pt idx="5">
                  <c:v>70.509</c:v>
                </c:pt>
                <c:pt idx="6">
                  <c:v>73.808750000000003</c:v>
                </c:pt>
                <c:pt idx="7">
                  <c:v>237.71199999999999</c:v>
                </c:pt>
                <c:pt idx="8">
                  <c:v>296.21300000000002</c:v>
                </c:pt>
                <c:pt idx="9">
                  <c:v>356.38799999999998</c:v>
                </c:pt>
              </c:numCache>
            </c:numRef>
          </c:val>
        </c:ser>
        <c:marker val="1"/>
        <c:axId val="75456896"/>
        <c:axId val="75459200"/>
      </c:lineChart>
      <c:catAx>
        <c:axId val="754568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3000"/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91592482962"/>
              <c:y val="0.912604303908651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459200"/>
        <c:crosses val="autoZero"/>
        <c:auto val="1"/>
        <c:lblAlgn val="ctr"/>
        <c:lblOffset val="100"/>
        <c:tickLblSkip val="1"/>
        <c:tickMarkSkip val="1"/>
      </c:catAx>
      <c:valAx>
        <c:axId val="7545920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3000"/>
                  <a:t>Time (sec)</a:t>
                </a:r>
              </a:p>
            </c:rich>
          </c:tx>
          <c:layout>
            <c:manualLayout>
              <c:xMode val="edge"/>
              <c:yMode val="edge"/>
              <c:x val="6.5941312232113422E-3"/>
              <c:y val="0.283267457180500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456896"/>
        <c:crosses val="autoZero"/>
        <c:crossBetween val="between"/>
        <c:majorUnit val="1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49620837454683"/>
          <c:y val="4.0404040404040414E-2"/>
          <c:w val="0.44939004286185297"/>
          <c:h val="0.32601924759405293"/>
        </c:manualLayout>
      </c:layout>
      <c:spPr>
        <a:noFill/>
        <a:ln w="25400">
          <a:noFill/>
        </a:ln>
      </c:spPr>
      <c:txPr>
        <a:bodyPr/>
        <a:lstStyle/>
        <a:p>
          <a:pPr>
            <a:defRPr sz="2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760633036597429"/>
          <c:y val="3.2938076416337295E-2"/>
          <c:w val="0.80580283547642595"/>
          <c:h val="0.77997364953887005"/>
        </c:manualLayout>
      </c:layout>
      <c:lineChart>
        <c:grouping val="standard"/>
        <c:ser>
          <c:idx val="0"/>
          <c:order val="0"/>
          <c:tx>
            <c:strRef>
              <c:f>'int - 2k'!$A$3</c:f>
              <c:strCache>
                <c:ptCount val="1"/>
                <c:pt idx="0">
                  <c:v>time to join</c:v>
                </c:pt>
              </c:strCache>
            </c:strRef>
          </c:tx>
          <c:spPr>
            <a:ln w="38100"/>
          </c:spPr>
          <c:marker>
            <c:symbol val="circle"/>
            <c:size val="15"/>
            <c:spPr>
              <a:solidFill>
                <a:schemeClr val="accent1"/>
              </a:solidFill>
            </c:spPr>
          </c:marker>
          <c:cat>
            <c:numRef>
              <c:f>'int - 2k'!$B$2:$K$2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'int - 2k'!$B$9:$K$9</c:f>
              <c:numCache>
                <c:formatCode>General</c:formatCode>
                <c:ptCount val="10"/>
                <c:pt idx="0">
                  <c:v>5.79575</c:v>
                </c:pt>
                <c:pt idx="1">
                  <c:v>24.09675</c:v>
                </c:pt>
                <c:pt idx="2">
                  <c:v>40.131500000000003</c:v>
                </c:pt>
                <c:pt idx="3">
                  <c:v>72.291749999999993</c:v>
                </c:pt>
                <c:pt idx="4">
                  <c:v>74.720749999999995</c:v>
                </c:pt>
                <c:pt idx="5">
                  <c:v>104.72175</c:v>
                </c:pt>
                <c:pt idx="6">
                  <c:v>104.026</c:v>
                </c:pt>
                <c:pt idx="7">
                  <c:v>277.97050000000002</c:v>
                </c:pt>
                <c:pt idx="8">
                  <c:v>575.74075000000005</c:v>
                </c:pt>
                <c:pt idx="9">
                  <c:v>804.55200000000002</c:v>
                </c:pt>
              </c:numCache>
            </c:numRef>
          </c:val>
        </c:ser>
        <c:ser>
          <c:idx val="1"/>
          <c:order val="1"/>
          <c:tx>
            <c:strRef>
              <c:f>'int - 2k'!$A$137</c:f>
              <c:strCache>
                <c:ptCount val="1"/>
                <c:pt idx="0">
                  <c:v>DRed deletions 1%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5"/>
            <c:spPr>
              <a:noFill/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cat>
            <c:numRef>
              <c:f>'int - 2k'!$B$2:$K$2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'int - 2k'!$B$143:$K$143</c:f>
              <c:numCache>
                <c:formatCode>General</c:formatCode>
                <c:ptCount val="10"/>
                <c:pt idx="0">
                  <c:v>0.61624999999999996</c:v>
                </c:pt>
                <c:pt idx="1">
                  <c:v>49.03125</c:v>
                </c:pt>
                <c:pt idx="2">
                  <c:v>88.624750000000006</c:v>
                </c:pt>
                <c:pt idx="3">
                  <c:v>182.26075</c:v>
                </c:pt>
                <c:pt idx="4">
                  <c:v>185.94649999999999</c:v>
                </c:pt>
                <c:pt idx="5">
                  <c:v>214.08150000000001</c:v>
                </c:pt>
                <c:pt idx="6">
                  <c:v>233.58949999999999</c:v>
                </c:pt>
                <c:pt idx="7">
                  <c:v>1284.306</c:v>
                </c:pt>
                <c:pt idx="8">
                  <c:v>785.97550000000001</c:v>
                </c:pt>
                <c:pt idx="9">
                  <c:v>1964.3225</c:v>
                </c:pt>
              </c:numCache>
            </c:numRef>
          </c:val>
        </c:ser>
        <c:ser>
          <c:idx val="2"/>
          <c:order val="2"/>
          <c:tx>
            <c:strRef>
              <c:f>'int - 2k'!$A$147</c:f>
              <c:strCache>
                <c:ptCount val="1"/>
                <c:pt idx="0">
                  <c:v>DRed deletions 10%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diamond"/>
            <c:size val="18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cat>
            <c:numRef>
              <c:f>'int - 2k'!$B$2:$K$2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'int - 2k'!$B$153:$K$153</c:f>
              <c:numCache>
                <c:formatCode>General</c:formatCode>
                <c:ptCount val="10"/>
                <c:pt idx="0">
                  <c:v>1.0297499999999999</c:v>
                </c:pt>
                <c:pt idx="1">
                  <c:v>46.866999999999997</c:v>
                </c:pt>
                <c:pt idx="2">
                  <c:v>81.043000000000006</c:v>
                </c:pt>
                <c:pt idx="3">
                  <c:v>148.28800000000001</c:v>
                </c:pt>
                <c:pt idx="4">
                  <c:v>171.83199999999999</c:v>
                </c:pt>
                <c:pt idx="5">
                  <c:v>189.523</c:v>
                </c:pt>
                <c:pt idx="6">
                  <c:v>188.45625000000001</c:v>
                </c:pt>
                <c:pt idx="7">
                  <c:v>1126.0262499999999</c:v>
                </c:pt>
                <c:pt idx="8">
                  <c:v>666.89675</c:v>
                </c:pt>
                <c:pt idx="9">
                  <c:v>1865.9075</c:v>
                </c:pt>
              </c:numCache>
            </c:numRef>
          </c:val>
        </c:ser>
        <c:ser>
          <c:idx val="3"/>
          <c:order val="3"/>
          <c:tx>
            <c:strRef>
              <c:f>'int - 2k'!$A$157</c:f>
              <c:strCache>
                <c:ptCount val="1"/>
                <c:pt idx="0">
                  <c:v>DRed deletions 50%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square"/>
            <c:size val="15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cat>
            <c:numRef>
              <c:f>'int - 2k'!$B$2:$K$2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'int - 2k'!$B$163:$K$163</c:f>
              <c:numCache>
                <c:formatCode>General</c:formatCode>
                <c:ptCount val="10"/>
                <c:pt idx="0">
                  <c:v>3.1435</c:v>
                </c:pt>
                <c:pt idx="1">
                  <c:v>38.423499999999997</c:v>
                </c:pt>
                <c:pt idx="2">
                  <c:v>60.533000000000001</c:v>
                </c:pt>
                <c:pt idx="3">
                  <c:v>113.20675</c:v>
                </c:pt>
                <c:pt idx="4">
                  <c:v>134.72325000000001</c:v>
                </c:pt>
                <c:pt idx="5">
                  <c:v>158.53325000000001</c:v>
                </c:pt>
                <c:pt idx="6">
                  <c:v>165.60525000000001</c:v>
                </c:pt>
                <c:pt idx="7">
                  <c:v>570.26525000000004</c:v>
                </c:pt>
                <c:pt idx="8">
                  <c:v>375.16950000000003</c:v>
                </c:pt>
                <c:pt idx="9">
                  <c:v>1396.6935000000001</c:v>
                </c:pt>
              </c:numCache>
            </c:numRef>
          </c:val>
        </c:ser>
        <c:marker val="1"/>
        <c:axId val="75420800"/>
        <c:axId val="75422720"/>
      </c:lineChart>
      <c:catAx>
        <c:axId val="754208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3000"/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91592482973"/>
              <c:y val="0.912604303908651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422720"/>
        <c:crosses val="autoZero"/>
        <c:auto val="1"/>
        <c:lblAlgn val="ctr"/>
        <c:lblOffset val="100"/>
        <c:tickLblSkip val="1"/>
        <c:tickMarkSkip val="1"/>
      </c:catAx>
      <c:valAx>
        <c:axId val="7542272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3000"/>
                  <a:t>Time (sec)</a:t>
                </a:r>
              </a:p>
            </c:rich>
          </c:tx>
          <c:layout>
            <c:manualLayout>
              <c:xMode val="edge"/>
              <c:yMode val="edge"/>
              <c:x val="6.5941312232113422E-3"/>
              <c:y val="0.283267457180500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420800"/>
        <c:crosses val="autoZero"/>
        <c:crossBetween val="between"/>
        <c:majorUnit val="3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496208374546838"/>
          <c:y val="4.0404040404040414E-2"/>
          <c:w val="0.43224530168150344"/>
          <c:h val="0.19778033674644474"/>
        </c:manualLayout>
      </c:layout>
      <c:spPr>
        <a:noFill/>
        <a:ln w="25400">
          <a:noFill/>
        </a:ln>
      </c:spPr>
      <c:txPr>
        <a:bodyPr/>
        <a:lstStyle/>
        <a:p>
          <a:pPr>
            <a:defRPr sz="2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6946917243653184"/>
          <c:y val="3.2938076416337295E-2"/>
          <c:w val="0.81239696669963735"/>
          <c:h val="0.77997364953887027"/>
        </c:manualLayout>
      </c:layout>
      <c:lineChart>
        <c:grouping val="standard"/>
        <c:ser>
          <c:idx val="0"/>
          <c:order val="0"/>
          <c:tx>
            <c:strRef>
              <c:f>'int - 2k'!$A$3</c:f>
              <c:strCache>
                <c:ptCount val="1"/>
                <c:pt idx="0">
                  <c:v>time to join</c:v>
                </c:pt>
              </c:strCache>
            </c:strRef>
          </c:tx>
          <c:spPr>
            <a:ln w="38100"/>
          </c:spPr>
          <c:marker>
            <c:symbol val="circle"/>
            <c:size val="15"/>
            <c:spPr>
              <a:solidFill>
                <a:schemeClr val="accent1"/>
              </a:solidFill>
            </c:spPr>
          </c:marker>
          <c:cat>
            <c:numRef>
              <c:f>'int - 2k'!$B$2:$K$2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'int - 2k'!$B$9:$K$9</c:f>
              <c:numCache>
                <c:formatCode>General</c:formatCode>
                <c:ptCount val="10"/>
                <c:pt idx="0">
                  <c:v>5.79575</c:v>
                </c:pt>
                <c:pt idx="1">
                  <c:v>24.09675</c:v>
                </c:pt>
                <c:pt idx="2">
                  <c:v>40.131500000000003</c:v>
                </c:pt>
                <c:pt idx="3">
                  <c:v>72.291749999999993</c:v>
                </c:pt>
                <c:pt idx="4">
                  <c:v>74.720749999999995</c:v>
                </c:pt>
                <c:pt idx="5">
                  <c:v>104.72175</c:v>
                </c:pt>
                <c:pt idx="6">
                  <c:v>104.026</c:v>
                </c:pt>
                <c:pt idx="7">
                  <c:v>277.97050000000002</c:v>
                </c:pt>
                <c:pt idx="8">
                  <c:v>575.74075000000005</c:v>
                </c:pt>
                <c:pt idx="9">
                  <c:v>804.55200000000002</c:v>
                </c:pt>
              </c:numCache>
            </c:numRef>
          </c:val>
        </c:ser>
        <c:ser>
          <c:idx val="1"/>
          <c:order val="1"/>
          <c:tx>
            <c:strRef>
              <c:f>'int - 2k'!$A$75</c:f>
              <c:strCache>
                <c:ptCount val="1"/>
                <c:pt idx="0">
                  <c:v>non-incremental deletions 1%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5"/>
            <c:spPr>
              <a:noFill/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cat>
            <c:numRef>
              <c:f>'int - 2k'!$B$2:$K$2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'int - 2k'!$B$81:$K$81</c:f>
              <c:numCache>
                <c:formatCode>General</c:formatCode>
                <c:ptCount val="10"/>
                <c:pt idx="0">
                  <c:v>5.7759999999999998</c:v>
                </c:pt>
                <c:pt idx="1">
                  <c:v>23.450749999999999</c:v>
                </c:pt>
                <c:pt idx="2">
                  <c:v>39.870249999999999</c:v>
                </c:pt>
                <c:pt idx="3">
                  <c:v>82.431250000000006</c:v>
                </c:pt>
                <c:pt idx="4">
                  <c:v>94.981999999999999</c:v>
                </c:pt>
                <c:pt idx="5">
                  <c:v>97.1845</c:v>
                </c:pt>
                <c:pt idx="6">
                  <c:v>265.35575</c:v>
                </c:pt>
                <c:pt idx="7">
                  <c:v>299.81225000000001</c:v>
                </c:pt>
                <c:pt idx="8">
                  <c:v>222.43174999999999</c:v>
                </c:pt>
                <c:pt idx="9">
                  <c:v>570.92449999999997</c:v>
                </c:pt>
              </c:numCache>
            </c:numRef>
          </c:val>
        </c:ser>
        <c:ser>
          <c:idx val="2"/>
          <c:order val="2"/>
          <c:tx>
            <c:strRef>
              <c:f>'int - 2k'!$A$85</c:f>
              <c:strCache>
                <c:ptCount val="1"/>
                <c:pt idx="0">
                  <c:v>non-incremental deletions 10%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diamond"/>
            <c:size val="18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cat>
            <c:numRef>
              <c:f>'int - 2k'!$B$2:$K$2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'int - 2k'!$B$91:$K$91</c:f>
              <c:numCache>
                <c:formatCode>General</c:formatCode>
                <c:ptCount val="10"/>
                <c:pt idx="0">
                  <c:v>5.2885</c:v>
                </c:pt>
                <c:pt idx="1">
                  <c:v>21.294250000000002</c:v>
                </c:pt>
                <c:pt idx="2">
                  <c:v>36.256</c:v>
                </c:pt>
                <c:pt idx="3">
                  <c:v>61.121499999999997</c:v>
                </c:pt>
                <c:pt idx="4">
                  <c:v>69.155500000000004</c:v>
                </c:pt>
                <c:pt idx="5">
                  <c:v>71.671250000000001</c:v>
                </c:pt>
                <c:pt idx="6">
                  <c:v>73.465249999999997</c:v>
                </c:pt>
                <c:pt idx="7">
                  <c:v>230.3135</c:v>
                </c:pt>
                <c:pt idx="8">
                  <c:v>170.48325</c:v>
                </c:pt>
                <c:pt idx="9">
                  <c:v>460.23349999999999</c:v>
                </c:pt>
              </c:numCache>
            </c:numRef>
          </c:val>
        </c:ser>
        <c:ser>
          <c:idx val="3"/>
          <c:order val="3"/>
          <c:tx>
            <c:strRef>
              <c:f>'int - 2k'!$A$95</c:f>
              <c:strCache>
                <c:ptCount val="1"/>
                <c:pt idx="0">
                  <c:v>non-incremental deletions 50%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square"/>
            <c:size val="15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cat>
            <c:numRef>
              <c:f>'int - 2k'!$B$2:$K$2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'int - 2k'!$B$70:$K$70</c:f>
              <c:numCache>
                <c:formatCode>General</c:formatCode>
                <c:ptCount val="10"/>
                <c:pt idx="0">
                  <c:v>3.8530000000000002</c:v>
                </c:pt>
                <c:pt idx="1">
                  <c:v>15.959</c:v>
                </c:pt>
                <c:pt idx="2">
                  <c:v>27.469000000000001</c:v>
                </c:pt>
                <c:pt idx="3">
                  <c:v>49.126750000000001</c:v>
                </c:pt>
                <c:pt idx="4">
                  <c:v>53.208500000000001</c:v>
                </c:pt>
                <c:pt idx="5">
                  <c:v>70.509</c:v>
                </c:pt>
                <c:pt idx="6">
                  <c:v>73.808750000000003</c:v>
                </c:pt>
                <c:pt idx="7">
                  <c:v>237.71199999999999</c:v>
                </c:pt>
                <c:pt idx="8">
                  <c:v>296.21300000000002</c:v>
                </c:pt>
                <c:pt idx="9">
                  <c:v>356.38799999999998</c:v>
                </c:pt>
              </c:numCache>
            </c:numRef>
          </c:val>
        </c:ser>
        <c:ser>
          <c:idx val="4"/>
          <c:order val="4"/>
          <c:tx>
            <c:strRef>
              <c:f>'int - 2k'!$A$105</c:f>
              <c:strCache>
                <c:ptCount val="1"/>
                <c:pt idx="0">
                  <c:v>non-incremental insertions 1%</c:v>
                </c:pt>
              </c:strCache>
            </c:strRef>
          </c:tx>
          <c:spPr>
            <a:ln w="38100">
              <a:solidFill>
                <a:srgbClr val="1F497D"/>
              </a:solidFill>
            </a:ln>
          </c:spPr>
          <c:marker>
            <c:symbol val="triangle"/>
            <c:size val="15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cat>
            <c:numRef>
              <c:f>'int - 2k'!$B$2:$K$2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'int - 2k'!$B$111:$K$111</c:f>
              <c:numCache>
                <c:formatCode>General</c:formatCode>
                <c:ptCount val="10"/>
                <c:pt idx="0">
                  <c:v>5.8577500000000002</c:v>
                </c:pt>
                <c:pt idx="1">
                  <c:v>24.117750000000001</c:v>
                </c:pt>
                <c:pt idx="2">
                  <c:v>40.866</c:v>
                </c:pt>
                <c:pt idx="3">
                  <c:v>78.191749999999999</c:v>
                </c:pt>
                <c:pt idx="4">
                  <c:v>77.954250000000002</c:v>
                </c:pt>
                <c:pt idx="5">
                  <c:v>82.536749999999998</c:v>
                </c:pt>
                <c:pt idx="6">
                  <c:v>81.59675</c:v>
                </c:pt>
                <c:pt idx="7">
                  <c:v>258.51100000000002</c:v>
                </c:pt>
                <c:pt idx="8">
                  <c:v>293.27575000000002</c:v>
                </c:pt>
                <c:pt idx="9">
                  <c:v>723.11249999999995</c:v>
                </c:pt>
              </c:numCache>
            </c:numRef>
          </c:val>
        </c:ser>
        <c:ser>
          <c:idx val="5"/>
          <c:order val="5"/>
          <c:tx>
            <c:strRef>
              <c:f>'int - 2k'!$A$115</c:f>
              <c:strCache>
                <c:ptCount val="1"/>
                <c:pt idx="0">
                  <c:v>non-incremental insertions 10%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diamond"/>
            <c:size val="18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cat>
            <c:numRef>
              <c:f>'int - 2k'!$B$2:$K$2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'int - 2k'!$B$91:$K$91</c:f>
              <c:numCache>
                <c:formatCode>General</c:formatCode>
                <c:ptCount val="10"/>
                <c:pt idx="0">
                  <c:v>5.2885</c:v>
                </c:pt>
                <c:pt idx="1">
                  <c:v>21.294250000000002</c:v>
                </c:pt>
                <c:pt idx="2">
                  <c:v>36.256</c:v>
                </c:pt>
                <c:pt idx="3">
                  <c:v>61.121499999999997</c:v>
                </c:pt>
                <c:pt idx="4">
                  <c:v>69.155500000000004</c:v>
                </c:pt>
                <c:pt idx="5">
                  <c:v>71.671250000000001</c:v>
                </c:pt>
                <c:pt idx="6">
                  <c:v>73.465249999999997</c:v>
                </c:pt>
                <c:pt idx="7">
                  <c:v>230.3135</c:v>
                </c:pt>
                <c:pt idx="8">
                  <c:v>170.48325</c:v>
                </c:pt>
                <c:pt idx="9">
                  <c:v>460.23349999999999</c:v>
                </c:pt>
              </c:numCache>
            </c:numRef>
          </c:val>
        </c:ser>
        <c:ser>
          <c:idx val="6"/>
          <c:order val="6"/>
          <c:tx>
            <c:strRef>
              <c:f>'int - 2k'!$A$125</c:f>
              <c:strCache>
                <c:ptCount val="1"/>
                <c:pt idx="0">
                  <c:v>non-incremental insertions 50%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5"/>
            <c:spPr>
              <a:solidFill>
                <a:schemeClr val="tx2"/>
              </a:solidFill>
              <a:ln w="12700">
                <a:solidFill>
                  <a:schemeClr val="tx2"/>
                </a:solidFill>
              </a:ln>
            </c:spPr>
          </c:marker>
          <c:cat>
            <c:numRef>
              <c:f>'int - 2k'!$B$2:$K$2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'int - 2k'!$B$131:$K$131</c:f>
              <c:numCache>
                <c:formatCode>General</c:formatCode>
                <c:ptCount val="10"/>
                <c:pt idx="0">
                  <c:v>8.4905000000000008</c:v>
                </c:pt>
                <c:pt idx="1">
                  <c:v>35.619250000000001</c:v>
                </c:pt>
                <c:pt idx="2">
                  <c:v>70.695999999999998</c:v>
                </c:pt>
                <c:pt idx="3">
                  <c:v>110.071</c:v>
                </c:pt>
                <c:pt idx="4">
                  <c:v>122.8125</c:v>
                </c:pt>
                <c:pt idx="5">
                  <c:v>145.08175</c:v>
                </c:pt>
                <c:pt idx="6">
                  <c:v>164.5</c:v>
                </c:pt>
                <c:pt idx="7">
                  <c:v>778.91724999999997</c:v>
                </c:pt>
                <c:pt idx="8">
                  <c:v>504.82625000000002</c:v>
                </c:pt>
                <c:pt idx="9">
                  <c:v>1405.223</c:v>
                </c:pt>
              </c:numCache>
            </c:numRef>
          </c:val>
        </c:ser>
        <c:marker val="1"/>
        <c:axId val="75566464"/>
        <c:axId val="75573120"/>
      </c:lineChart>
      <c:catAx>
        <c:axId val="755664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3000"/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91592482989"/>
              <c:y val="0.912604303908651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573120"/>
        <c:crosses val="autoZero"/>
        <c:auto val="1"/>
        <c:lblAlgn val="ctr"/>
        <c:lblOffset val="100"/>
        <c:tickLblSkip val="1"/>
        <c:tickMarkSkip val="1"/>
      </c:catAx>
      <c:valAx>
        <c:axId val="7557312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3000"/>
                  <a:t>Time (sec)</a:t>
                </a:r>
              </a:p>
            </c:rich>
          </c:tx>
          <c:layout>
            <c:manualLayout>
              <c:xMode val="edge"/>
              <c:yMode val="edge"/>
              <c:x val="6.5941312232113422E-3"/>
              <c:y val="0.283267457180500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566464"/>
        <c:crosses val="autoZero"/>
        <c:crossBetween val="between"/>
        <c:majorUnit val="2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6683151994724688"/>
          <c:y val="3.8647342995169212E-2"/>
          <c:w val="0.51665018133860852"/>
          <c:h val="0.32601924759405315"/>
        </c:manualLayout>
      </c:layout>
      <c:spPr>
        <a:noFill/>
        <a:ln w="25400">
          <a:noFill/>
        </a:ln>
      </c:spPr>
      <c:txPr>
        <a:bodyPr/>
        <a:lstStyle/>
        <a:p>
          <a:pPr>
            <a:defRPr sz="2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4309264754368611"/>
          <c:y val="3.2938076416337295E-2"/>
          <c:w val="0.83877349159248593"/>
          <c:h val="0.77997364953887027"/>
        </c:manualLayout>
      </c:layout>
      <c:lineChart>
        <c:grouping val="standard"/>
        <c:ser>
          <c:idx val="0"/>
          <c:order val="0"/>
          <c:tx>
            <c:strRef>
              <c:f>'int - 10k'!$A$3</c:f>
              <c:strCache>
                <c:ptCount val="1"/>
                <c:pt idx="0">
                  <c:v>time to join</c:v>
                </c:pt>
              </c:strCache>
            </c:strRef>
          </c:tx>
          <c:spPr>
            <a:ln w="38100"/>
          </c:spPr>
          <c:marker>
            <c:symbol val="circle"/>
            <c:size val="15"/>
            <c:spPr>
              <a:solidFill>
                <a:schemeClr val="accent1"/>
              </a:solidFill>
            </c:spPr>
          </c:marker>
          <c:cat>
            <c:numRef>
              <c:f>'int - 10k'!$B$2:$K$2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cat>
          <c:val>
            <c:numRef>
              <c:f>'int - 10k'!$B$9:$K$9</c:f>
              <c:numCache>
                <c:formatCode>General</c:formatCode>
                <c:ptCount val="10"/>
                <c:pt idx="0">
                  <c:v>2.2149999999999999</c:v>
                </c:pt>
                <c:pt idx="1">
                  <c:v>7.1863333333333337</c:v>
                </c:pt>
                <c:pt idx="2">
                  <c:v>16.010999999999999</c:v>
                </c:pt>
                <c:pt idx="3">
                  <c:v>29.053000000000001</c:v>
                </c:pt>
                <c:pt idx="4">
                  <c:v>28.241333333333333</c:v>
                </c:pt>
                <c:pt idx="5">
                  <c:v>60.757666666666665</c:v>
                </c:pt>
                <c:pt idx="6">
                  <c:v>74.230999999999995</c:v>
                </c:pt>
                <c:pt idx="7">
                  <c:v>121.047</c:v>
                </c:pt>
                <c:pt idx="8">
                  <c:v>175.43966666666665</c:v>
                </c:pt>
                <c:pt idx="9">
                  <c:v>148.45666666666668</c:v>
                </c:pt>
              </c:numCache>
            </c:numRef>
          </c:val>
        </c:ser>
        <c:ser>
          <c:idx val="1"/>
          <c:order val="1"/>
          <c:tx>
            <c:strRef>
              <c:f>'int - 10k'!$A$13</c:f>
              <c:strCache>
                <c:ptCount val="1"/>
                <c:pt idx="0">
                  <c:v>incremental deletions 1%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5"/>
            <c:spPr>
              <a:noFill/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cat>
            <c:numRef>
              <c:f>'int - 10k'!$B$2:$K$2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cat>
          <c:val>
            <c:numRef>
              <c:f>'int - 10k'!$B$19:$K$19</c:f>
              <c:numCache>
                <c:formatCode>General</c:formatCode>
                <c:ptCount val="10"/>
                <c:pt idx="0">
                  <c:v>0.17133333333333334</c:v>
                </c:pt>
                <c:pt idx="1">
                  <c:v>0.46800000000000003</c:v>
                </c:pt>
                <c:pt idx="2">
                  <c:v>1.04</c:v>
                </c:pt>
                <c:pt idx="3">
                  <c:v>1.7370000000000001</c:v>
                </c:pt>
                <c:pt idx="4">
                  <c:v>1.9706666666666666</c:v>
                </c:pt>
                <c:pt idx="5">
                  <c:v>3.5046666666666666</c:v>
                </c:pt>
                <c:pt idx="6">
                  <c:v>5.7460000000000004</c:v>
                </c:pt>
                <c:pt idx="7">
                  <c:v>7.2750000000000004</c:v>
                </c:pt>
                <c:pt idx="8">
                  <c:v>12.053333333333333</c:v>
                </c:pt>
                <c:pt idx="9">
                  <c:v>10.981666666666667</c:v>
                </c:pt>
              </c:numCache>
            </c:numRef>
          </c:val>
        </c:ser>
        <c:ser>
          <c:idx val="2"/>
          <c:order val="2"/>
          <c:tx>
            <c:strRef>
              <c:f>'int - 10k'!$A$23</c:f>
              <c:strCache>
                <c:ptCount val="1"/>
                <c:pt idx="0">
                  <c:v>incremental deletions 10%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diamond"/>
            <c:size val="18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cat>
            <c:numRef>
              <c:f>'int - 10k'!$B$2:$K$2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cat>
          <c:val>
            <c:numRef>
              <c:f>'int - 10k'!$B$29:$K$29</c:f>
              <c:numCache>
                <c:formatCode>General</c:formatCode>
                <c:ptCount val="10"/>
                <c:pt idx="0">
                  <c:v>0.32733333333333331</c:v>
                </c:pt>
                <c:pt idx="1">
                  <c:v>1.0609999999999999</c:v>
                </c:pt>
                <c:pt idx="2">
                  <c:v>2.4336666666666669</c:v>
                </c:pt>
                <c:pt idx="3">
                  <c:v>4.306</c:v>
                </c:pt>
                <c:pt idx="4">
                  <c:v>4.3940000000000001</c:v>
                </c:pt>
                <c:pt idx="5">
                  <c:v>9.3290000000000006</c:v>
                </c:pt>
                <c:pt idx="6">
                  <c:v>15.704000000000001</c:v>
                </c:pt>
                <c:pt idx="7">
                  <c:v>20.103333333333332</c:v>
                </c:pt>
                <c:pt idx="8">
                  <c:v>27.472000000000001</c:v>
                </c:pt>
                <c:pt idx="9">
                  <c:v>25.315333333333335</c:v>
                </c:pt>
              </c:numCache>
            </c:numRef>
          </c:val>
        </c:ser>
        <c:ser>
          <c:idx val="3"/>
          <c:order val="3"/>
          <c:tx>
            <c:strRef>
              <c:f>'int - 10k'!$A$33</c:f>
              <c:strCache>
                <c:ptCount val="1"/>
                <c:pt idx="0">
                  <c:v>incremental deletions 50%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square"/>
            <c:size val="15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cat>
            <c:numRef>
              <c:f>'int - 10k'!$B$2:$K$2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cat>
          <c:val>
            <c:numRef>
              <c:f>'int - 10k'!$B$39:$K$39</c:f>
              <c:numCache>
                <c:formatCode>General</c:formatCode>
                <c:ptCount val="10"/>
                <c:pt idx="0">
                  <c:v>1.1803333333333332</c:v>
                </c:pt>
                <c:pt idx="1">
                  <c:v>4.0713333333333335</c:v>
                </c:pt>
                <c:pt idx="2">
                  <c:v>9.0633333333333326</c:v>
                </c:pt>
                <c:pt idx="3">
                  <c:v>16.505333333333333</c:v>
                </c:pt>
                <c:pt idx="4">
                  <c:v>16.598333333333333</c:v>
                </c:pt>
                <c:pt idx="5">
                  <c:v>40.654333333333334</c:v>
                </c:pt>
                <c:pt idx="6">
                  <c:v>42.167333333333332</c:v>
                </c:pt>
                <c:pt idx="7">
                  <c:v>72.431666666666672</c:v>
                </c:pt>
                <c:pt idx="8">
                  <c:v>97.334999999999994</c:v>
                </c:pt>
                <c:pt idx="9">
                  <c:v>86.555333333333337</c:v>
                </c:pt>
              </c:numCache>
            </c:numRef>
          </c:val>
        </c:ser>
        <c:ser>
          <c:idx val="4"/>
          <c:order val="4"/>
          <c:tx>
            <c:strRef>
              <c:f>'int - 10k'!$A$43</c:f>
              <c:strCache>
                <c:ptCount val="1"/>
                <c:pt idx="0">
                  <c:v>incremental insertions 1%</c:v>
                </c:pt>
              </c:strCache>
            </c:strRef>
          </c:tx>
          <c:spPr>
            <a:ln w="38100">
              <a:solidFill>
                <a:srgbClr val="1F497D"/>
              </a:solidFill>
            </a:ln>
          </c:spPr>
          <c:marker>
            <c:symbol val="triangle"/>
            <c:size val="15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cat>
            <c:numRef>
              <c:f>'int - 10k'!$B$2:$K$2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cat>
          <c:val>
            <c:numRef>
              <c:f>'int - 10k'!$B$49:$K$49</c:f>
              <c:numCache>
                <c:formatCode>General</c:formatCode>
                <c:ptCount val="10"/>
                <c:pt idx="0">
                  <c:v>0.32733333333333331</c:v>
                </c:pt>
                <c:pt idx="1">
                  <c:v>1.1023333333333334</c:v>
                </c:pt>
                <c:pt idx="2">
                  <c:v>2.5533333333333332</c:v>
                </c:pt>
                <c:pt idx="3">
                  <c:v>4.9400000000000004</c:v>
                </c:pt>
                <c:pt idx="4">
                  <c:v>4.6280000000000001</c:v>
                </c:pt>
                <c:pt idx="5">
                  <c:v>13.489000000000001</c:v>
                </c:pt>
                <c:pt idx="6">
                  <c:v>13.057666666666666</c:v>
                </c:pt>
                <c:pt idx="7">
                  <c:v>26.244666666666667</c:v>
                </c:pt>
                <c:pt idx="8">
                  <c:v>35.963999999999999</c:v>
                </c:pt>
                <c:pt idx="9">
                  <c:v>31.372333333333334</c:v>
                </c:pt>
              </c:numCache>
            </c:numRef>
          </c:val>
        </c:ser>
        <c:ser>
          <c:idx val="5"/>
          <c:order val="5"/>
          <c:tx>
            <c:strRef>
              <c:f>'int - 10k'!$A$53</c:f>
              <c:strCache>
                <c:ptCount val="1"/>
                <c:pt idx="0">
                  <c:v>incremental insertions 10%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diamond"/>
            <c:size val="18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cat>
            <c:numRef>
              <c:f>'int - 10k'!$B$2:$K$2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cat>
          <c:val>
            <c:numRef>
              <c:f>'int - 10k'!$B$59:$K$59</c:f>
              <c:numCache>
                <c:formatCode>General</c:formatCode>
                <c:ptCount val="10"/>
                <c:pt idx="0">
                  <c:v>0.52500000000000002</c:v>
                </c:pt>
                <c:pt idx="1">
                  <c:v>1.7106666666666666</c:v>
                </c:pt>
                <c:pt idx="2">
                  <c:v>3.9</c:v>
                </c:pt>
                <c:pt idx="3">
                  <c:v>7.4206666666666665</c:v>
                </c:pt>
                <c:pt idx="4">
                  <c:v>6.9006666666666669</c:v>
                </c:pt>
                <c:pt idx="5">
                  <c:v>14.731666666666667</c:v>
                </c:pt>
                <c:pt idx="6">
                  <c:v>19.728999999999999</c:v>
                </c:pt>
                <c:pt idx="7">
                  <c:v>39.44766666666667</c:v>
                </c:pt>
                <c:pt idx="8">
                  <c:v>51.137666666666668</c:v>
                </c:pt>
                <c:pt idx="9">
                  <c:v>47.009</c:v>
                </c:pt>
              </c:numCache>
            </c:numRef>
          </c:val>
        </c:ser>
        <c:ser>
          <c:idx val="6"/>
          <c:order val="6"/>
          <c:tx>
            <c:strRef>
              <c:f>'int - 10k'!$A$63</c:f>
              <c:strCache>
                <c:ptCount val="1"/>
                <c:pt idx="0">
                  <c:v>incremental insertions 50%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5"/>
            <c:spPr>
              <a:solidFill>
                <a:schemeClr val="tx2"/>
              </a:solidFill>
              <a:ln w="12700">
                <a:solidFill>
                  <a:schemeClr val="tx2"/>
                </a:solidFill>
              </a:ln>
            </c:spPr>
          </c:marker>
          <c:cat>
            <c:numRef>
              <c:f>'int - 10k'!$B$2:$K$2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</c:numCache>
            </c:numRef>
          </c:cat>
          <c:val>
            <c:numRef>
              <c:f>'int - 10k'!$B$69:$K$69</c:f>
              <c:numCache>
                <c:formatCode>General</c:formatCode>
                <c:ptCount val="10"/>
                <c:pt idx="0">
                  <c:v>1.3673333333333333</c:v>
                </c:pt>
                <c:pt idx="1">
                  <c:v>4.524</c:v>
                </c:pt>
                <c:pt idx="2">
                  <c:v>10.155666666666667</c:v>
                </c:pt>
                <c:pt idx="3">
                  <c:v>20.145</c:v>
                </c:pt>
                <c:pt idx="4">
                  <c:v>22.219666666666665</c:v>
                </c:pt>
                <c:pt idx="5">
                  <c:v>40.612333333333332</c:v>
                </c:pt>
                <c:pt idx="6">
                  <c:v>55.639666666666663</c:v>
                </c:pt>
                <c:pt idx="7">
                  <c:v>94.230333333333334</c:v>
                </c:pt>
                <c:pt idx="8">
                  <c:v>122.11833333333334</c:v>
                </c:pt>
                <c:pt idx="9">
                  <c:v>107.797</c:v>
                </c:pt>
              </c:numCache>
            </c:numRef>
          </c:val>
        </c:ser>
        <c:marker val="1"/>
        <c:axId val="75275648"/>
        <c:axId val="75627520"/>
      </c:lineChart>
      <c:catAx>
        <c:axId val="752756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3000"/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91592482989"/>
              <c:y val="0.912604303908651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627520"/>
        <c:crosses val="autoZero"/>
        <c:auto val="1"/>
        <c:lblAlgn val="ctr"/>
        <c:lblOffset val="100"/>
        <c:tickLblSkip val="1"/>
        <c:tickMarkSkip val="1"/>
      </c:catAx>
      <c:valAx>
        <c:axId val="7562752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3000"/>
                  <a:t>Time (sec)</a:t>
                </a:r>
              </a:p>
            </c:rich>
          </c:tx>
          <c:layout>
            <c:manualLayout>
              <c:xMode val="edge"/>
              <c:yMode val="edge"/>
              <c:x val="6.5941312232113422E-3"/>
              <c:y val="0.283267457180500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275648"/>
        <c:crosses val="autoZero"/>
        <c:crossBetween val="between"/>
        <c:majorUnit val="2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496208374546847"/>
          <c:y val="4.0404040404040414E-2"/>
          <c:w val="0.43224530168150344"/>
          <c:h val="0.32601924759405315"/>
        </c:manualLayout>
      </c:layout>
      <c:spPr>
        <a:noFill/>
        <a:ln w="25400">
          <a:noFill/>
        </a:ln>
      </c:spPr>
      <c:txPr>
        <a:bodyPr/>
        <a:lstStyle/>
        <a:p>
          <a:pPr>
            <a:defRPr sz="2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6023738872403631"/>
          <c:y val="3.2938076416337295E-2"/>
          <c:w val="0.83877349159248582"/>
          <c:h val="0.77997364953887005"/>
        </c:manualLayout>
      </c:layout>
      <c:lineChart>
        <c:grouping val="standard"/>
        <c:ser>
          <c:idx val="0"/>
          <c:order val="0"/>
          <c:tx>
            <c:strRef>
              <c:f>'str - 2k'!$A$3</c:f>
              <c:strCache>
                <c:ptCount val="1"/>
                <c:pt idx="0">
                  <c:v>time to join</c:v>
                </c:pt>
              </c:strCache>
            </c:strRef>
          </c:tx>
          <c:spPr>
            <a:ln w="38100"/>
          </c:spPr>
          <c:marker>
            <c:symbol val="circle"/>
            <c:size val="15"/>
            <c:spPr>
              <a:solidFill>
                <a:schemeClr val="accent1"/>
              </a:solidFill>
            </c:spPr>
          </c:marker>
          <c:cat>
            <c:numRef>
              <c:f>'str - 2k'!$B$2:$I$2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</c:numCache>
            </c:numRef>
          </c:cat>
          <c:val>
            <c:numRef>
              <c:f>'str - 2k'!$B$9:$I$9</c:f>
              <c:numCache>
                <c:formatCode>General</c:formatCode>
                <c:ptCount val="8"/>
                <c:pt idx="0">
                  <c:v>7.2433333333333332</c:v>
                </c:pt>
                <c:pt idx="1">
                  <c:v>20.565999999999999</c:v>
                </c:pt>
                <c:pt idx="2">
                  <c:v>90.772999999999996</c:v>
                </c:pt>
                <c:pt idx="3">
                  <c:v>241.69</c:v>
                </c:pt>
                <c:pt idx="4">
                  <c:v>165.01566666666668</c:v>
                </c:pt>
                <c:pt idx="5">
                  <c:v>378.64766666666668</c:v>
                </c:pt>
                <c:pt idx="6">
                  <c:v>307.47233333333332</c:v>
                </c:pt>
                <c:pt idx="7">
                  <c:v>946.24766666666665</c:v>
                </c:pt>
              </c:numCache>
            </c:numRef>
          </c:val>
        </c:ser>
        <c:ser>
          <c:idx val="1"/>
          <c:order val="1"/>
          <c:tx>
            <c:strRef>
              <c:f>'str - 2k'!$A$13</c:f>
              <c:strCache>
                <c:ptCount val="1"/>
                <c:pt idx="0">
                  <c:v>incremental deletions 1%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5"/>
            <c:spPr>
              <a:noFill/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cat>
            <c:numRef>
              <c:f>'str - 2k'!$B$2:$I$2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</c:numCache>
            </c:numRef>
          </c:cat>
          <c:val>
            <c:numRef>
              <c:f>'str - 2k'!$B$19:$I$19</c:f>
              <c:numCache>
                <c:formatCode>General</c:formatCode>
                <c:ptCount val="8"/>
                <c:pt idx="0">
                  <c:v>4.6589999999999998</c:v>
                </c:pt>
                <c:pt idx="1">
                  <c:v>13.606333333333334</c:v>
                </c:pt>
                <c:pt idx="2">
                  <c:v>29.499333333333333</c:v>
                </c:pt>
                <c:pt idx="3">
                  <c:v>48.444000000000003</c:v>
                </c:pt>
                <c:pt idx="4">
                  <c:v>48.69766666666667</c:v>
                </c:pt>
                <c:pt idx="5">
                  <c:v>89.018000000000001</c:v>
                </c:pt>
                <c:pt idx="6">
                  <c:v>78.141000000000005</c:v>
                </c:pt>
                <c:pt idx="7">
                  <c:v>111.36966666666666</c:v>
                </c:pt>
              </c:numCache>
            </c:numRef>
          </c:val>
        </c:ser>
        <c:ser>
          <c:idx val="2"/>
          <c:order val="2"/>
          <c:tx>
            <c:strRef>
              <c:f>'str - 2k'!$A$23</c:f>
              <c:strCache>
                <c:ptCount val="1"/>
                <c:pt idx="0">
                  <c:v>incremental deletions 10%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diamond"/>
            <c:size val="18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cat>
            <c:numRef>
              <c:f>'str - 2k'!$B$2:$I$2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</c:numCache>
            </c:numRef>
          </c:cat>
          <c:val>
            <c:numRef>
              <c:f>'str - 2k'!$B$29:$I$29</c:f>
              <c:numCache>
                <c:formatCode>General</c:formatCode>
                <c:ptCount val="8"/>
                <c:pt idx="0">
                  <c:v>4.8626666666666667</c:v>
                </c:pt>
                <c:pt idx="1">
                  <c:v>14.695333333333334</c:v>
                </c:pt>
                <c:pt idx="2">
                  <c:v>33.518999999999998</c:v>
                </c:pt>
                <c:pt idx="3">
                  <c:v>53.542999999999999</c:v>
                </c:pt>
                <c:pt idx="4">
                  <c:v>55.088000000000001</c:v>
                </c:pt>
                <c:pt idx="5">
                  <c:v>104.89366666666666</c:v>
                </c:pt>
                <c:pt idx="6">
                  <c:v>96.534333333333336</c:v>
                </c:pt>
                <c:pt idx="7">
                  <c:v>141.84899999999999</c:v>
                </c:pt>
              </c:numCache>
            </c:numRef>
          </c:val>
        </c:ser>
        <c:ser>
          <c:idx val="3"/>
          <c:order val="3"/>
          <c:tx>
            <c:strRef>
              <c:f>'str - 2k'!$A$33</c:f>
              <c:strCache>
                <c:ptCount val="1"/>
                <c:pt idx="0">
                  <c:v>incremental deletions 50%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square"/>
            <c:size val="15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cat>
            <c:numRef>
              <c:f>'str - 2k'!$B$2:$I$2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</c:numCache>
            </c:numRef>
          </c:cat>
          <c:val>
            <c:numRef>
              <c:f>'str - 2k'!$B$39:$I$39</c:f>
              <c:numCache>
                <c:formatCode>General</c:formatCode>
                <c:ptCount val="8"/>
                <c:pt idx="0">
                  <c:v>6.3449999999999998</c:v>
                </c:pt>
                <c:pt idx="1">
                  <c:v>18.094999999999999</c:v>
                </c:pt>
                <c:pt idx="2">
                  <c:v>59.087666666666664</c:v>
                </c:pt>
                <c:pt idx="3">
                  <c:v>82.128</c:v>
                </c:pt>
                <c:pt idx="4">
                  <c:v>79.781999999999996</c:v>
                </c:pt>
                <c:pt idx="5">
                  <c:v>150.99833333333333</c:v>
                </c:pt>
                <c:pt idx="6">
                  <c:v>142.196</c:v>
                </c:pt>
                <c:pt idx="7">
                  <c:v>279.72666666666669</c:v>
                </c:pt>
              </c:numCache>
            </c:numRef>
          </c:val>
        </c:ser>
        <c:ser>
          <c:idx val="4"/>
          <c:order val="4"/>
          <c:tx>
            <c:strRef>
              <c:f>'str - 2k'!$A$43</c:f>
              <c:strCache>
                <c:ptCount val="1"/>
                <c:pt idx="0">
                  <c:v>incremental insertions 1%</c:v>
                </c:pt>
              </c:strCache>
            </c:strRef>
          </c:tx>
          <c:spPr>
            <a:ln w="38100">
              <a:solidFill>
                <a:srgbClr val="1F497D"/>
              </a:solidFill>
            </a:ln>
          </c:spPr>
          <c:marker>
            <c:symbol val="triangle"/>
            <c:size val="15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cat>
            <c:numRef>
              <c:f>'str - 2k'!$B$2:$I$2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</c:numCache>
            </c:numRef>
          </c:cat>
          <c:val>
            <c:numRef>
              <c:f>'str - 2k'!$B$49:$I$49</c:f>
              <c:numCache>
                <c:formatCode>General</c:formatCode>
                <c:ptCount val="8"/>
                <c:pt idx="0">
                  <c:v>5.2530000000000001</c:v>
                </c:pt>
                <c:pt idx="1">
                  <c:v>14.658333333333333</c:v>
                </c:pt>
                <c:pt idx="2">
                  <c:v>29.744333333333334</c:v>
                </c:pt>
                <c:pt idx="3">
                  <c:v>50.877333333333333</c:v>
                </c:pt>
                <c:pt idx="4">
                  <c:v>53.25033333333333</c:v>
                </c:pt>
                <c:pt idx="5">
                  <c:v>94.543999999999997</c:v>
                </c:pt>
                <c:pt idx="6">
                  <c:v>88.039333333333332</c:v>
                </c:pt>
                <c:pt idx="7">
                  <c:v>127.34666666666666</c:v>
                </c:pt>
              </c:numCache>
            </c:numRef>
          </c:val>
        </c:ser>
        <c:ser>
          <c:idx val="5"/>
          <c:order val="5"/>
          <c:tx>
            <c:strRef>
              <c:f>'str - 2k'!$A$53</c:f>
              <c:strCache>
                <c:ptCount val="1"/>
                <c:pt idx="0">
                  <c:v>incremental insertions 10%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diamond"/>
            <c:size val="18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cat>
            <c:numRef>
              <c:f>'str - 2k'!$B$2:$I$2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</c:numCache>
            </c:numRef>
          </c:cat>
          <c:val>
            <c:numRef>
              <c:f>'str - 2k'!$B$59:$I$59</c:f>
              <c:numCache>
                <c:formatCode>General</c:formatCode>
                <c:ptCount val="8"/>
                <c:pt idx="0">
                  <c:v>5.3553333333333333</c:v>
                </c:pt>
                <c:pt idx="1">
                  <c:v>15.101666666666667</c:v>
                </c:pt>
                <c:pt idx="2">
                  <c:v>37.799333333333337</c:v>
                </c:pt>
                <c:pt idx="3">
                  <c:v>69.337000000000003</c:v>
                </c:pt>
                <c:pt idx="4">
                  <c:v>72.590999999999994</c:v>
                </c:pt>
                <c:pt idx="5">
                  <c:v>137.79366666666667</c:v>
                </c:pt>
                <c:pt idx="6">
                  <c:v>120.66633333333333</c:v>
                </c:pt>
                <c:pt idx="7">
                  <c:v>204.24233333333333</c:v>
                </c:pt>
              </c:numCache>
            </c:numRef>
          </c:val>
        </c:ser>
        <c:ser>
          <c:idx val="6"/>
          <c:order val="6"/>
          <c:tx>
            <c:strRef>
              <c:f>'str - 2k'!$A$63</c:f>
              <c:strCache>
                <c:ptCount val="1"/>
                <c:pt idx="0">
                  <c:v>incremental insertions 50%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5"/>
            <c:spPr>
              <a:solidFill>
                <a:schemeClr val="tx2"/>
              </a:solidFill>
              <a:ln w="12700">
                <a:solidFill>
                  <a:schemeClr val="tx2"/>
                </a:solidFill>
              </a:ln>
            </c:spPr>
          </c:marker>
          <c:cat>
            <c:numRef>
              <c:f>'str - 2k'!$B$2:$I$2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</c:numCache>
            </c:numRef>
          </c:cat>
          <c:val>
            <c:numRef>
              <c:f>'str - 2k'!$B$69:$I$69</c:f>
              <c:numCache>
                <c:formatCode>General</c:formatCode>
                <c:ptCount val="8"/>
                <c:pt idx="0">
                  <c:v>6.9729999999999999</c:v>
                </c:pt>
                <c:pt idx="1">
                  <c:v>21.090666666666667</c:v>
                </c:pt>
                <c:pt idx="2">
                  <c:v>87.158000000000001</c:v>
                </c:pt>
                <c:pt idx="3">
                  <c:v>188.55433333333335</c:v>
                </c:pt>
                <c:pt idx="4">
                  <c:v>145.76266666666666</c:v>
                </c:pt>
                <c:pt idx="5">
                  <c:v>315.82600000000002</c:v>
                </c:pt>
                <c:pt idx="6">
                  <c:v>250.03866666666667</c:v>
                </c:pt>
                <c:pt idx="7">
                  <c:v>684.22433333333333</c:v>
                </c:pt>
              </c:numCache>
            </c:numRef>
          </c:val>
        </c:ser>
        <c:marker val="1"/>
        <c:axId val="74831744"/>
        <c:axId val="74838400"/>
      </c:lineChart>
      <c:catAx>
        <c:axId val="748317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3000"/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91592482973"/>
              <c:y val="0.912604303908651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838400"/>
        <c:crosses val="autoZero"/>
        <c:auto val="1"/>
        <c:lblAlgn val="ctr"/>
        <c:lblOffset val="100"/>
        <c:tickLblSkip val="1"/>
        <c:tickMarkSkip val="1"/>
      </c:catAx>
      <c:valAx>
        <c:axId val="7483840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3000"/>
                  <a:t>Time (sec)</a:t>
                </a:r>
              </a:p>
            </c:rich>
          </c:tx>
          <c:layout>
            <c:manualLayout>
              <c:xMode val="edge"/>
              <c:yMode val="edge"/>
              <c:x val="6.5941312232113422E-3"/>
              <c:y val="0.283267457180500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831744"/>
        <c:crosses val="autoZero"/>
        <c:crossBetween val="between"/>
        <c:majorUnit val="2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496208374546838"/>
          <c:y val="4.0404040404040414E-2"/>
          <c:w val="0.43224530168150344"/>
          <c:h val="0.32601924759405304"/>
        </c:manualLayout>
      </c:layout>
      <c:spPr>
        <a:noFill/>
        <a:ln w="25400">
          <a:noFill/>
        </a:ln>
      </c:spPr>
      <c:txPr>
        <a:bodyPr/>
        <a:lstStyle/>
        <a:p>
          <a:pPr>
            <a:defRPr sz="2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7342565117045841"/>
          <c:y val="3.2938076416337295E-2"/>
          <c:w val="0.80844048796571055"/>
          <c:h val="0.77997364953887027"/>
        </c:manualLayout>
      </c:layout>
      <c:lineChart>
        <c:grouping val="standard"/>
        <c:ser>
          <c:idx val="0"/>
          <c:order val="0"/>
          <c:tx>
            <c:strRef>
              <c:f>'int - 2k'!$A$3</c:f>
              <c:strCache>
                <c:ptCount val="1"/>
                <c:pt idx="0">
                  <c:v>time to join</c:v>
                </c:pt>
              </c:strCache>
            </c:strRef>
          </c:tx>
          <c:spPr>
            <a:ln w="38100"/>
          </c:spPr>
          <c:marker>
            <c:symbol val="circle"/>
            <c:size val="15"/>
            <c:spPr>
              <a:solidFill>
                <a:schemeClr val="accent1"/>
              </a:solidFill>
            </c:spPr>
          </c:marker>
          <c:cat>
            <c:numRef>
              <c:f>('int - 2k'!$C$2,'int - 2k'!$E$2,'int - 2k'!$G$2,'int - 2k'!$I$2,'int - 2k'!$K$2)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</c:numCache>
            </c:numRef>
          </c:cat>
          <c:val>
            <c:numRef>
              <c:f>('int - 2k'!$C$9,'int - 2k'!$E$9,'int - 2k'!$G$9,'int - 2k'!$I$9,'int - 2k'!$K$9)</c:f>
              <c:numCache>
                <c:formatCode>General</c:formatCode>
                <c:ptCount val="5"/>
                <c:pt idx="0">
                  <c:v>24.09675</c:v>
                </c:pt>
                <c:pt idx="1">
                  <c:v>72.291749999999993</c:v>
                </c:pt>
                <c:pt idx="2">
                  <c:v>104.72175</c:v>
                </c:pt>
                <c:pt idx="3">
                  <c:v>277.97050000000002</c:v>
                </c:pt>
                <c:pt idx="4">
                  <c:v>804.55200000000002</c:v>
                </c:pt>
              </c:numCache>
            </c:numRef>
          </c:val>
        </c:ser>
        <c:ser>
          <c:idx val="1"/>
          <c:order val="1"/>
          <c:tx>
            <c:strRef>
              <c:f>'int - 2k'!$A$137</c:f>
              <c:strCache>
                <c:ptCount val="1"/>
                <c:pt idx="0">
                  <c:v>DRed deletions 1%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5"/>
            <c:spPr>
              <a:noFill/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cat>
            <c:numRef>
              <c:f>('int - 2k'!$C$2,'int - 2k'!$E$2,'int - 2k'!$G$2,'int - 2k'!$I$2,'int - 2k'!$K$2)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</c:numCache>
            </c:numRef>
          </c:cat>
          <c:val>
            <c:numRef>
              <c:f>('int - 2k'!$C$143,'int - 2k'!$E$143,'int - 2k'!$G$143,'int - 2k'!$I$143,'int - 2k'!$K$143)</c:f>
              <c:numCache>
                <c:formatCode>General</c:formatCode>
                <c:ptCount val="5"/>
                <c:pt idx="0">
                  <c:v>49.03125</c:v>
                </c:pt>
                <c:pt idx="1">
                  <c:v>182.26075</c:v>
                </c:pt>
                <c:pt idx="2">
                  <c:v>214.08150000000001</c:v>
                </c:pt>
                <c:pt idx="3">
                  <c:v>1284.306</c:v>
                </c:pt>
                <c:pt idx="4">
                  <c:v>1964.3225</c:v>
                </c:pt>
              </c:numCache>
            </c:numRef>
          </c:val>
        </c:ser>
        <c:ser>
          <c:idx val="2"/>
          <c:order val="2"/>
          <c:tx>
            <c:strRef>
              <c:f>'int - 2k'!$A$147</c:f>
              <c:strCache>
                <c:ptCount val="1"/>
                <c:pt idx="0">
                  <c:v>DRed deletions 10%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diamond"/>
            <c:size val="18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cat>
            <c:numRef>
              <c:f>('int - 2k'!$C$2,'int - 2k'!$E$2,'int - 2k'!$G$2,'int - 2k'!$I$2,'int - 2k'!$K$2)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</c:numCache>
            </c:numRef>
          </c:cat>
          <c:val>
            <c:numRef>
              <c:f>('int - 2k'!$C$153,'int - 2k'!$E$153,'int - 2k'!$G$153,'int - 2k'!$I$153,'int - 2k'!$K$153)</c:f>
              <c:numCache>
                <c:formatCode>General</c:formatCode>
                <c:ptCount val="5"/>
                <c:pt idx="0">
                  <c:v>46.866999999999997</c:v>
                </c:pt>
                <c:pt idx="1">
                  <c:v>148.28800000000001</c:v>
                </c:pt>
                <c:pt idx="2">
                  <c:v>189.523</c:v>
                </c:pt>
                <c:pt idx="3">
                  <c:v>1126.0262499999999</c:v>
                </c:pt>
                <c:pt idx="4">
                  <c:v>1865.9075</c:v>
                </c:pt>
              </c:numCache>
            </c:numRef>
          </c:val>
        </c:ser>
        <c:ser>
          <c:idx val="3"/>
          <c:order val="3"/>
          <c:tx>
            <c:strRef>
              <c:f>'int - 2k'!$A$157</c:f>
              <c:strCache>
                <c:ptCount val="1"/>
                <c:pt idx="0">
                  <c:v>DRed deletions 50%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square"/>
            <c:size val="15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cat>
            <c:numRef>
              <c:f>('int - 2k'!$C$2,'int - 2k'!$E$2,'int - 2k'!$G$2,'int - 2k'!$I$2,'int - 2k'!$K$2)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</c:numCache>
            </c:numRef>
          </c:cat>
          <c:val>
            <c:numRef>
              <c:f>('int - 2k'!$C$163,'int - 2k'!$E$163,'int - 2k'!$G$163,'int - 2k'!$I$163,'int - 2k'!$K$163)</c:f>
              <c:numCache>
                <c:formatCode>General</c:formatCode>
                <c:ptCount val="5"/>
                <c:pt idx="0">
                  <c:v>38.423499999999997</c:v>
                </c:pt>
                <c:pt idx="1">
                  <c:v>113.20675</c:v>
                </c:pt>
                <c:pt idx="2">
                  <c:v>158.53325000000001</c:v>
                </c:pt>
                <c:pt idx="3">
                  <c:v>570.26525000000004</c:v>
                </c:pt>
                <c:pt idx="4">
                  <c:v>1396.6935000000001</c:v>
                </c:pt>
              </c:numCache>
            </c:numRef>
          </c:val>
        </c:ser>
        <c:marker val="1"/>
        <c:axId val="75966720"/>
        <c:axId val="75993856"/>
      </c:lineChart>
      <c:catAx>
        <c:axId val="759667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3000"/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91592482989"/>
              <c:y val="0.912604303908651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993856"/>
        <c:crosses val="autoZero"/>
        <c:auto val="1"/>
        <c:lblAlgn val="ctr"/>
        <c:lblOffset val="100"/>
        <c:tickLblSkip val="1"/>
        <c:tickMarkSkip val="1"/>
      </c:catAx>
      <c:valAx>
        <c:axId val="7599385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3000"/>
                  <a:t>Time (sec)</a:t>
                </a:r>
              </a:p>
            </c:rich>
          </c:tx>
          <c:layout>
            <c:manualLayout>
              <c:xMode val="edge"/>
              <c:yMode val="edge"/>
              <c:x val="6.5941312232113422E-3"/>
              <c:y val="0.283267457180500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966720"/>
        <c:crosses val="autoZero"/>
        <c:crossBetween val="between"/>
        <c:majorUnit val="3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496208374546847"/>
          <c:y val="4.0404040404040414E-2"/>
          <c:w val="0.43224530168150344"/>
          <c:h val="0.19778033674644477"/>
        </c:manualLayout>
      </c:layout>
      <c:spPr>
        <a:noFill/>
        <a:ln w="25400">
          <a:noFill/>
        </a:ln>
      </c:spPr>
      <c:txPr>
        <a:bodyPr/>
        <a:lstStyle/>
        <a:p>
          <a:pPr>
            <a:defRPr sz="2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6946917243653187"/>
          <c:y val="3.2938076416337295E-2"/>
          <c:w val="0.81239696669963735"/>
          <c:h val="0.77997364953887061"/>
        </c:manualLayout>
      </c:layout>
      <c:lineChart>
        <c:grouping val="standard"/>
        <c:ser>
          <c:idx val="0"/>
          <c:order val="0"/>
          <c:tx>
            <c:strRef>
              <c:f>'int - 2k'!$A$3</c:f>
              <c:strCache>
                <c:ptCount val="1"/>
                <c:pt idx="0">
                  <c:v>time to join</c:v>
                </c:pt>
              </c:strCache>
            </c:strRef>
          </c:tx>
          <c:spPr>
            <a:ln w="38100"/>
          </c:spPr>
          <c:marker>
            <c:symbol val="circle"/>
            <c:size val="15"/>
            <c:spPr>
              <a:solidFill>
                <a:schemeClr val="accent1"/>
              </a:solidFill>
            </c:spPr>
          </c:marker>
          <c:cat>
            <c:numRef>
              <c:f>('int - 2k'!$C$2,'int - 2k'!$E$2,'int - 2k'!$G$2,'int - 2k'!$I$2,'int - 2k'!$K$2)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</c:numCache>
            </c:numRef>
          </c:cat>
          <c:val>
            <c:numRef>
              <c:f>('int - 2k'!$C$9,'int - 2k'!$E$9,'int - 2k'!$G$9,'int - 2k'!$I$9,'int - 2k'!$K$9)</c:f>
              <c:numCache>
                <c:formatCode>General</c:formatCode>
                <c:ptCount val="5"/>
                <c:pt idx="0">
                  <c:v>24.09675</c:v>
                </c:pt>
                <c:pt idx="1">
                  <c:v>72.291749999999993</c:v>
                </c:pt>
                <c:pt idx="2">
                  <c:v>104.72175</c:v>
                </c:pt>
                <c:pt idx="3">
                  <c:v>277.97050000000002</c:v>
                </c:pt>
                <c:pt idx="4">
                  <c:v>804.55200000000002</c:v>
                </c:pt>
              </c:numCache>
            </c:numRef>
          </c:val>
        </c:ser>
        <c:ser>
          <c:idx val="1"/>
          <c:order val="1"/>
          <c:tx>
            <c:strRef>
              <c:f>'int - 2k'!$A$75</c:f>
              <c:strCache>
                <c:ptCount val="1"/>
                <c:pt idx="0">
                  <c:v>non-incremental deletions 1%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5"/>
            <c:spPr>
              <a:noFill/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cat>
            <c:numRef>
              <c:f>('int - 2k'!$C$2,'int - 2k'!$E$2,'int - 2k'!$G$2,'int - 2k'!$I$2,'int - 2k'!$K$2)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</c:numCache>
            </c:numRef>
          </c:cat>
          <c:val>
            <c:numRef>
              <c:f>('int - 2k'!$C$81,'int - 2k'!$E$81,'int - 2k'!$G$81,'int - 2k'!$I$81,'int - 2k'!$K$81)</c:f>
              <c:numCache>
                <c:formatCode>General</c:formatCode>
                <c:ptCount val="5"/>
                <c:pt idx="0">
                  <c:v>23.450749999999999</c:v>
                </c:pt>
                <c:pt idx="1">
                  <c:v>82.431250000000006</c:v>
                </c:pt>
                <c:pt idx="2">
                  <c:v>97.1845</c:v>
                </c:pt>
                <c:pt idx="3">
                  <c:v>299.81225000000001</c:v>
                </c:pt>
                <c:pt idx="4">
                  <c:v>570.92449999999997</c:v>
                </c:pt>
              </c:numCache>
            </c:numRef>
          </c:val>
        </c:ser>
        <c:ser>
          <c:idx val="2"/>
          <c:order val="2"/>
          <c:tx>
            <c:strRef>
              <c:f>'int - 2k'!$A$85</c:f>
              <c:strCache>
                <c:ptCount val="1"/>
                <c:pt idx="0">
                  <c:v>non-incremental deletions 10%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diamond"/>
            <c:size val="18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cat>
            <c:numRef>
              <c:f>('int - 2k'!$C$2,'int - 2k'!$E$2,'int - 2k'!$G$2,'int - 2k'!$I$2,'int - 2k'!$K$2)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</c:numCache>
            </c:numRef>
          </c:cat>
          <c:val>
            <c:numRef>
              <c:f>('int - 2k'!$C$91,'int - 2k'!$E$91,'int - 2k'!$G$91,'int - 2k'!$I$91,'int - 2k'!$K$91)</c:f>
              <c:numCache>
                <c:formatCode>General</c:formatCode>
                <c:ptCount val="5"/>
                <c:pt idx="0">
                  <c:v>21.294250000000002</c:v>
                </c:pt>
                <c:pt idx="1">
                  <c:v>61.121499999999997</c:v>
                </c:pt>
                <c:pt idx="2">
                  <c:v>71.671250000000001</c:v>
                </c:pt>
                <c:pt idx="3">
                  <c:v>230.3135</c:v>
                </c:pt>
                <c:pt idx="4">
                  <c:v>460.23349999999999</c:v>
                </c:pt>
              </c:numCache>
            </c:numRef>
          </c:val>
        </c:ser>
        <c:ser>
          <c:idx val="3"/>
          <c:order val="3"/>
          <c:tx>
            <c:strRef>
              <c:f>'int - 2k'!$A$95</c:f>
              <c:strCache>
                <c:ptCount val="1"/>
                <c:pt idx="0">
                  <c:v>non-incremental deletions 50%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square"/>
            <c:size val="15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cat>
            <c:numRef>
              <c:f>('int - 2k'!$C$2,'int - 2k'!$E$2,'int - 2k'!$G$2,'int - 2k'!$I$2,'int - 2k'!$K$2)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</c:numCache>
            </c:numRef>
          </c:cat>
          <c:val>
            <c:numRef>
              <c:f>('int - 2k'!$C$101,'int - 2k'!$E$101,'int - 2k'!$G$101,'int - 2k'!$I$101,'int - 2k'!$K$101)</c:f>
              <c:numCache>
                <c:formatCode>General</c:formatCode>
                <c:ptCount val="5"/>
                <c:pt idx="0">
                  <c:v>12.179500000000001</c:v>
                </c:pt>
                <c:pt idx="1">
                  <c:v>34.390749999999997</c:v>
                </c:pt>
                <c:pt idx="2">
                  <c:v>40.853000000000002</c:v>
                </c:pt>
                <c:pt idx="3">
                  <c:v>107.39975</c:v>
                </c:pt>
                <c:pt idx="4">
                  <c:v>171.45425</c:v>
                </c:pt>
              </c:numCache>
            </c:numRef>
          </c:val>
        </c:ser>
        <c:ser>
          <c:idx val="4"/>
          <c:order val="4"/>
          <c:tx>
            <c:strRef>
              <c:f>'int - 2k'!$A$105</c:f>
              <c:strCache>
                <c:ptCount val="1"/>
                <c:pt idx="0">
                  <c:v>non-incremental insertions 1%</c:v>
                </c:pt>
              </c:strCache>
            </c:strRef>
          </c:tx>
          <c:spPr>
            <a:ln w="38100">
              <a:solidFill>
                <a:srgbClr val="1F497D"/>
              </a:solidFill>
            </a:ln>
          </c:spPr>
          <c:marker>
            <c:symbol val="triangle"/>
            <c:size val="15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cat>
            <c:numRef>
              <c:f>('int - 2k'!$C$2,'int - 2k'!$E$2,'int - 2k'!$G$2,'int - 2k'!$I$2,'int - 2k'!$K$2)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</c:numCache>
            </c:numRef>
          </c:cat>
          <c:val>
            <c:numRef>
              <c:f>('int - 2k'!$C$111,'int - 2k'!$E$111,'int - 2k'!$G$111,'int - 2k'!$I$111,'int - 2k'!$K$111)</c:f>
              <c:numCache>
                <c:formatCode>General</c:formatCode>
                <c:ptCount val="5"/>
                <c:pt idx="0">
                  <c:v>24.117750000000001</c:v>
                </c:pt>
                <c:pt idx="1">
                  <c:v>78.191749999999999</c:v>
                </c:pt>
                <c:pt idx="2">
                  <c:v>82.536749999999998</c:v>
                </c:pt>
                <c:pt idx="3">
                  <c:v>258.51100000000002</c:v>
                </c:pt>
                <c:pt idx="4">
                  <c:v>723.11249999999995</c:v>
                </c:pt>
              </c:numCache>
            </c:numRef>
          </c:val>
        </c:ser>
        <c:ser>
          <c:idx val="5"/>
          <c:order val="5"/>
          <c:tx>
            <c:strRef>
              <c:f>'int - 2k'!$A$115</c:f>
              <c:strCache>
                <c:ptCount val="1"/>
                <c:pt idx="0">
                  <c:v>non-incremental insertions 10%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diamond"/>
            <c:size val="18"/>
            <c:spPr>
              <a:solidFill>
                <a:schemeClr val="tx2"/>
              </a:solidFill>
              <a:ln w="12700">
                <a:solidFill>
                  <a:srgbClr val="1F497D"/>
                </a:solidFill>
              </a:ln>
            </c:spPr>
          </c:marker>
          <c:cat>
            <c:numRef>
              <c:f>('int - 2k'!$C$2,'int - 2k'!$E$2,'int - 2k'!$G$2,'int - 2k'!$I$2,'int - 2k'!$K$2)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</c:numCache>
            </c:numRef>
          </c:cat>
          <c:val>
            <c:numRef>
              <c:f>('int - 2k'!$C$121,'int - 2k'!$E$121,'int - 2k'!$G$121,'int - 2k'!$I$121,'int - 2k'!$K$121)</c:f>
              <c:numCache>
                <c:formatCode>General</c:formatCode>
                <c:ptCount val="5"/>
                <c:pt idx="0">
                  <c:v>26.219750000000001</c:v>
                </c:pt>
                <c:pt idx="1">
                  <c:v>75.083500000000001</c:v>
                </c:pt>
                <c:pt idx="2">
                  <c:v>92.446749999999994</c:v>
                </c:pt>
                <c:pt idx="3">
                  <c:v>291.17775</c:v>
                </c:pt>
                <c:pt idx="4">
                  <c:v>834.26374999999996</c:v>
                </c:pt>
              </c:numCache>
            </c:numRef>
          </c:val>
        </c:ser>
        <c:ser>
          <c:idx val="6"/>
          <c:order val="6"/>
          <c:tx>
            <c:strRef>
              <c:f>'int - 2k'!$A$125</c:f>
              <c:strCache>
                <c:ptCount val="1"/>
                <c:pt idx="0">
                  <c:v>non-incremental insertions 50%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5"/>
            <c:spPr>
              <a:solidFill>
                <a:schemeClr val="tx2"/>
              </a:solidFill>
              <a:ln w="12700">
                <a:solidFill>
                  <a:schemeClr val="tx2"/>
                </a:solidFill>
              </a:ln>
            </c:spPr>
          </c:marker>
          <c:cat>
            <c:numRef>
              <c:f>('int - 2k'!$C$2,'int - 2k'!$E$2,'int - 2k'!$G$2,'int - 2k'!$I$2,'int - 2k'!$K$2)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</c:numCache>
            </c:numRef>
          </c:cat>
          <c:val>
            <c:numRef>
              <c:f>('int - 2k'!$C$131,'int - 2k'!$E$131,'int - 2k'!$G$131,'int - 2k'!$I$131,'int - 2k'!$K$131)</c:f>
              <c:numCache>
                <c:formatCode>General</c:formatCode>
                <c:ptCount val="5"/>
                <c:pt idx="0">
                  <c:v>35.619250000000001</c:v>
                </c:pt>
                <c:pt idx="1">
                  <c:v>110.071</c:v>
                </c:pt>
                <c:pt idx="2">
                  <c:v>145.08175</c:v>
                </c:pt>
                <c:pt idx="3">
                  <c:v>778.91724999999997</c:v>
                </c:pt>
                <c:pt idx="4">
                  <c:v>1405.223</c:v>
                </c:pt>
              </c:numCache>
            </c:numRef>
          </c:val>
        </c:ser>
        <c:marker val="1"/>
        <c:axId val="76143232"/>
        <c:axId val="75908224"/>
      </c:lineChart>
      <c:catAx>
        <c:axId val="761432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91592483"/>
              <c:y val="0.912604303908651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5908224"/>
        <c:crosses val="autoZero"/>
        <c:auto val="1"/>
        <c:lblAlgn val="ctr"/>
        <c:lblOffset val="100"/>
        <c:tickLblSkip val="1"/>
        <c:tickMarkSkip val="1"/>
      </c:catAx>
      <c:valAx>
        <c:axId val="7590822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6.5941312232113422E-3"/>
              <c:y val="0.283267457180500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6143232"/>
        <c:crosses val="autoZero"/>
        <c:crossBetween val="between"/>
        <c:majorUnit val="2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6946917243653153"/>
          <c:y val="5.2700922266139694E-3"/>
          <c:w val="0.48499835146719422"/>
          <c:h val="0.32601924759405326"/>
        </c:manualLayout>
      </c:layout>
      <c:spPr>
        <a:noFill/>
        <a:ln w="25400">
          <a:noFill/>
        </a:ln>
      </c:spPr>
      <c:txPr>
        <a:bodyPr/>
        <a:lstStyle/>
        <a:p>
          <a:pPr>
            <a:defRPr sz="24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5759973623475121"/>
          <c:y val="3.2938076416337295E-2"/>
          <c:w val="0.83877349159248615"/>
          <c:h val="0.77997364953887083"/>
        </c:manualLayout>
      </c:layout>
      <c:lineChart>
        <c:grouping val="standard"/>
        <c:ser>
          <c:idx val="4"/>
          <c:order val="0"/>
          <c:tx>
            <c:strRef>
              <c:f>'bidir - se-nse'!$A$72</c:f>
              <c:strCache>
                <c:ptCount val="1"/>
                <c:pt idx="0">
                  <c:v>Side effect free 1% - update policy and s.e. detection</c:v>
                </c:pt>
              </c:strCache>
            </c:strRef>
          </c:tx>
          <c:spPr>
            <a:ln w="38100">
              <a:solidFill>
                <a:srgbClr val="1F497D"/>
              </a:solidFill>
            </a:ln>
          </c:spPr>
          <c:marker>
            <c:symbol val="triangle"/>
            <c:size val="15"/>
            <c:spPr>
              <a:solidFill>
                <a:schemeClr val="tx2"/>
              </a:solidFill>
              <a:ln w="25400">
                <a:solidFill>
                  <a:srgbClr val="1F497D"/>
                </a:solidFill>
              </a:ln>
            </c:spPr>
          </c:marker>
          <c:cat>
            <c:numRef>
              <c:f>'bidir - se-nse'!$B$2:$H$2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cat>
          <c:val>
            <c:numRef>
              <c:f>'bidir - se-nse'!$B$78:$H$78</c:f>
              <c:numCache>
                <c:formatCode>General</c:formatCode>
                <c:ptCount val="7"/>
                <c:pt idx="0">
                  <c:v>0.25466666666666665</c:v>
                </c:pt>
                <c:pt idx="1">
                  <c:v>2.0643333333333334</c:v>
                </c:pt>
                <c:pt idx="2">
                  <c:v>6.6876666666666669</c:v>
                </c:pt>
                <c:pt idx="3">
                  <c:v>18.096666666666668</c:v>
                </c:pt>
                <c:pt idx="4">
                  <c:v>45.801333333333332</c:v>
                </c:pt>
                <c:pt idx="5">
                  <c:v>70.538333333333327</c:v>
                </c:pt>
                <c:pt idx="6">
                  <c:v>93.007999999999996</c:v>
                </c:pt>
              </c:numCache>
            </c:numRef>
          </c:val>
        </c:ser>
        <c:ser>
          <c:idx val="5"/>
          <c:order val="1"/>
          <c:tx>
            <c:strRef>
              <c:f>'bidir - se-nse'!$A$82</c:f>
              <c:strCache>
                <c:ptCount val="1"/>
                <c:pt idx="0">
                  <c:v>Side effect free 1% - propagate forward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diamond"/>
            <c:size val="18"/>
            <c:spPr>
              <a:solidFill>
                <a:schemeClr val="tx2"/>
              </a:solidFill>
              <a:ln w="25400">
                <a:solidFill>
                  <a:srgbClr val="1F497D"/>
                </a:solidFill>
              </a:ln>
            </c:spPr>
          </c:marker>
          <c:cat>
            <c:numRef>
              <c:f>'bidir - se-nse'!$B$2:$H$2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cat>
          <c:val>
            <c:numRef>
              <c:f>'bidir - se-nse'!$B$88:$H$88</c:f>
              <c:numCache>
                <c:formatCode>General</c:formatCode>
                <c:ptCount val="7"/>
                <c:pt idx="0">
                  <c:v>6.2666666666666662E-2</c:v>
                </c:pt>
                <c:pt idx="1">
                  <c:v>1.4770000000000001</c:v>
                </c:pt>
                <c:pt idx="2">
                  <c:v>5.9593333333333334</c:v>
                </c:pt>
                <c:pt idx="3">
                  <c:v>16.885000000000002</c:v>
                </c:pt>
                <c:pt idx="4">
                  <c:v>44.387666666666668</c:v>
                </c:pt>
                <c:pt idx="5">
                  <c:v>68.791333333333327</c:v>
                </c:pt>
                <c:pt idx="6">
                  <c:v>90.262666666666661</c:v>
                </c:pt>
              </c:numCache>
            </c:numRef>
          </c:val>
        </c:ser>
        <c:ser>
          <c:idx val="6"/>
          <c:order val="2"/>
          <c:tx>
            <c:strRef>
              <c:f>'bidir - se-nse'!$A$92</c:f>
              <c:strCache>
                <c:ptCount val="1"/>
                <c:pt idx="0">
                  <c:v>Side effect free 1% - total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5"/>
            <c:spPr>
              <a:solidFill>
                <a:schemeClr val="tx2"/>
              </a:solidFill>
              <a:ln w="25400">
                <a:solidFill>
                  <a:schemeClr val="tx2"/>
                </a:solidFill>
              </a:ln>
            </c:spPr>
          </c:marker>
          <c:cat>
            <c:numRef>
              <c:f>'bidir - se-nse'!$B$2:$H$2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cat>
          <c:val>
            <c:numRef>
              <c:f>'bidir - se-nse'!$B$93:$H$93</c:f>
              <c:numCache>
                <c:formatCode>General</c:formatCode>
                <c:ptCount val="7"/>
                <c:pt idx="0">
                  <c:v>0.3173333333333333</c:v>
                </c:pt>
                <c:pt idx="1">
                  <c:v>3.5413333333333332</c:v>
                </c:pt>
                <c:pt idx="2">
                  <c:v>12.647</c:v>
                </c:pt>
                <c:pt idx="3">
                  <c:v>34.981666666666669</c:v>
                </c:pt>
                <c:pt idx="4">
                  <c:v>90.188999999999993</c:v>
                </c:pt>
                <c:pt idx="5">
                  <c:v>139.32966666666664</c:v>
                </c:pt>
                <c:pt idx="6">
                  <c:v>183.27066666666667</c:v>
                </c:pt>
              </c:numCache>
            </c:numRef>
          </c:val>
        </c:ser>
        <c:ser>
          <c:idx val="1"/>
          <c:order val="3"/>
          <c:tx>
            <c:strRef>
              <c:f>'bidir - se-nse'!$A$3</c:f>
              <c:strCache>
                <c:ptCount val="1"/>
                <c:pt idx="0">
                  <c:v>Side effecting 1% - update policy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5"/>
            <c:spPr>
              <a:noFill/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cat>
            <c:numRef>
              <c:f>'bidir - se-nse'!$B$2:$H$2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cat>
          <c:val>
            <c:numRef>
              <c:f>'bidir - se-nse'!$B$9:$H$9</c:f>
              <c:numCache>
                <c:formatCode>General</c:formatCode>
                <c:ptCount val="7"/>
                <c:pt idx="0">
                  <c:v>8.3000000000000004E-2</c:v>
                </c:pt>
                <c:pt idx="1">
                  <c:v>0.20300000000000001</c:v>
                </c:pt>
                <c:pt idx="2">
                  <c:v>0.37433333333333335</c:v>
                </c:pt>
                <c:pt idx="3">
                  <c:v>0.53066666666666662</c:v>
                </c:pt>
                <c:pt idx="4">
                  <c:v>0.82166666666666666</c:v>
                </c:pt>
                <c:pt idx="5">
                  <c:v>1.0663333333333334</c:v>
                </c:pt>
                <c:pt idx="6">
                  <c:v>1.524</c:v>
                </c:pt>
              </c:numCache>
            </c:numRef>
          </c:val>
        </c:ser>
        <c:ser>
          <c:idx val="2"/>
          <c:order val="4"/>
          <c:tx>
            <c:strRef>
              <c:f>'bidir - se-nse'!$A$13</c:f>
              <c:strCache>
                <c:ptCount val="1"/>
                <c:pt idx="0">
                  <c:v>Side effecting 1% - propagate forward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diamond"/>
            <c:size val="18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cat>
            <c:numRef>
              <c:f>'bidir - se-nse'!$B$2:$H$2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cat>
          <c:val>
            <c:numRef>
              <c:f>'bidir - se-nse'!$B$19:$H$19</c:f>
              <c:numCache>
                <c:formatCode>General</c:formatCode>
                <c:ptCount val="7"/>
                <c:pt idx="0">
                  <c:v>0.14033333333333334</c:v>
                </c:pt>
                <c:pt idx="1">
                  <c:v>1.6376666666666666</c:v>
                </c:pt>
                <c:pt idx="2">
                  <c:v>6.173</c:v>
                </c:pt>
                <c:pt idx="3">
                  <c:v>17.144666666666666</c:v>
                </c:pt>
                <c:pt idx="4">
                  <c:v>45.028333333333336</c:v>
                </c:pt>
                <c:pt idx="5">
                  <c:v>69.285666666666671</c:v>
                </c:pt>
                <c:pt idx="6">
                  <c:v>91.942666666666668</c:v>
                </c:pt>
              </c:numCache>
            </c:numRef>
          </c:val>
        </c:ser>
        <c:ser>
          <c:idx val="3"/>
          <c:order val="5"/>
          <c:tx>
            <c:strRef>
              <c:f>'bidir - se-nse'!$A$23</c:f>
              <c:strCache>
                <c:ptCount val="1"/>
                <c:pt idx="0">
                  <c:v>Side effecting 1% - total time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square"/>
            <c:size val="15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cat>
            <c:numRef>
              <c:f>'bidir - se-nse'!$B$2:$H$2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cat>
          <c:val>
            <c:numRef>
              <c:f>'bidir - se-nse'!$B$24:$H$24</c:f>
              <c:numCache>
                <c:formatCode>General</c:formatCode>
                <c:ptCount val="7"/>
                <c:pt idx="0">
                  <c:v>0.22333333333333333</c:v>
                </c:pt>
                <c:pt idx="1">
                  <c:v>1.8406666666666667</c:v>
                </c:pt>
                <c:pt idx="2">
                  <c:v>6.5473333333333334</c:v>
                </c:pt>
                <c:pt idx="3">
                  <c:v>17.675333333333331</c:v>
                </c:pt>
                <c:pt idx="4">
                  <c:v>45.85</c:v>
                </c:pt>
                <c:pt idx="5">
                  <c:v>70.352000000000004</c:v>
                </c:pt>
                <c:pt idx="6">
                  <c:v>93.466666666666669</c:v>
                </c:pt>
              </c:numCache>
            </c:numRef>
          </c:val>
        </c:ser>
        <c:marker val="1"/>
        <c:axId val="76178176"/>
        <c:axId val="76180480"/>
      </c:lineChart>
      <c:catAx>
        <c:axId val="761781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3000"/>
                  <a:t>Number of tuples</a:t>
                </a:r>
              </a:p>
            </c:rich>
          </c:tx>
          <c:layout>
            <c:manualLayout>
              <c:xMode val="edge"/>
              <c:yMode val="edge"/>
              <c:x val="0.38773491592482712"/>
              <c:y val="0.9336846728151079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180480"/>
        <c:crosses val="autoZero"/>
        <c:auto val="1"/>
        <c:lblAlgn val="ctr"/>
        <c:lblOffset val="100"/>
        <c:tickLblSkip val="1"/>
        <c:tickMarkSkip val="1"/>
      </c:catAx>
      <c:valAx>
        <c:axId val="7618048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3000"/>
                  <a:t>Time (sec)</a:t>
                </a:r>
              </a:p>
            </c:rich>
          </c:tx>
          <c:layout>
            <c:manualLayout>
              <c:xMode val="edge"/>
              <c:yMode val="edge"/>
              <c:x val="0"/>
              <c:y val="0.283267457180500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178176"/>
        <c:crosses val="autoZero"/>
        <c:crossBetween val="between"/>
        <c:majorUnit val="5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891856247939345"/>
          <c:y val="3.5133948177426466E-3"/>
          <c:w val="0.83053082756346863"/>
          <c:h val="0.39980053876664656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chart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chart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chart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chart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chart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chart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chart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chart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chart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chart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chart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chart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03" workbookViewId="0" zoomToFit="1"/>
  </sheetViews>
  <pageMargins left="0.17" right="0.17" top="0.24" bottom="0" header="0" footer="0"/>
  <pageSetup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>
  <sheetPr/>
  <sheetViews>
    <sheetView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>
  <sheetPr/>
  <sheetViews>
    <sheetView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>
  <sheetPr/>
  <sheetViews>
    <sheetView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9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" right="0" top="0" bottom="0" header="0" footer="0"/>
  <pageSetup orientation="landscape" r:id="rId1"/>
  <headerFooter alignWithMargins="0"/>
  <drawing r:id="rId2"/>
</chartsheet>
</file>

<file path=xl/chartsheets/sheet10.xml><?xml version="1.0" encoding="utf-8"?>
<chartsheet xmlns="http://schemas.openxmlformats.org/spreadsheetml/2006/main" xmlns:r="http://schemas.openxmlformats.org/officeDocument/2006/relationships">
  <sheetPr/>
  <sheetViews>
    <sheetView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11.xml><?xml version="1.0" encoding="utf-8"?>
<chartsheet xmlns="http://schemas.openxmlformats.org/spreadsheetml/2006/main" xmlns:r="http://schemas.openxmlformats.org/officeDocument/2006/relationships">
  <sheetPr/>
  <sheetViews>
    <sheetView tabSelected="1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12.xml><?xml version="1.0" encoding="utf-8"?>
<chartsheet xmlns="http://schemas.openxmlformats.org/spreadsheetml/2006/main" xmlns:r="http://schemas.openxmlformats.org/officeDocument/2006/relationships">
  <sheetPr/>
  <sheetViews>
    <sheetView zoomScale="106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13.xml><?xml version="1.0" encoding="utf-8"?>
<chartsheet xmlns="http://schemas.openxmlformats.org/spreadsheetml/2006/main" xmlns:r="http://schemas.openxmlformats.org/officeDocument/2006/relationships">
  <sheetPr/>
  <sheetViews>
    <sheetView zoomScale="106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14.xml><?xml version="1.0" encoding="utf-8"?>
<chartsheet xmlns="http://schemas.openxmlformats.org/spreadsheetml/2006/main" xmlns:r="http://schemas.openxmlformats.org/officeDocument/2006/relationships">
  <sheetPr/>
  <sheetViews>
    <sheetView zoomScale="106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15.xml><?xml version="1.0" encoding="utf-8"?>
<chartsheet xmlns="http://schemas.openxmlformats.org/spreadsheetml/2006/main" xmlns:r="http://schemas.openxmlformats.org/officeDocument/2006/relationships">
  <sheetPr/>
  <sheetViews>
    <sheetView zoomScale="106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16.xml><?xml version="1.0" encoding="utf-8"?>
<chartsheet xmlns="http://schemas.openxmlformats.org/spreadsheetml/2006/main" xmlns:r="http://schemas.openxmlformats.org/officeDocument/2006/relationships">
  <sheetPr/>
  <sheetViews>
    <sheetView zoomScale="106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17.xml><?xml version="1.0" encoding="utf-8"?>
<chartsheet xmlns="http://schemas.openxmlformats.org/spreadsheetml/2006/main" xmlns:r="http://schemas.openxmlformats.org/officeDocument/2006/relationships">
  <sheetPr/>
  <sheetViews>
    <sheetView zoomScale="106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18.xml><?xml version="1.0" encoding="utf-8"?>
<chartsheet xmlns="http://schemas.openxmlformats.org/spreadsheetml/2006/main" xmlns:r="http://schemas.openxmlformats.org/officeDocument/2006/relationships">
  <sheetPr/>
  <sheetViews>
    <sheetView zoomScale="106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19.xml><?xml version="1.0" encoding="utf-8"?>
<chartsheet xmlns="http://schemas.openxmlformats.org/spreadsheetml/2006/main" xmlns:r="http://schemas.openxmlformats.org/officeDocument/2006/relationships">
  <sheetPr/>
  <sheetViews>
    <sheetView zoomScale="106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20.xml><?xml version="1.0" encoding="utf-8"?>
<chartsheet xmlns="http://schemas.openxmlformats.org/spreadsheetml/2006/main" xmlns:r="http://schemas.openxmlformats.org/officeDocument/2006/relationships">
  <sheetPr/>
  <sheetViews>
    <sheetView zoomScale="106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-26958" y="-26958"/>
    <xdr:ext cx="9819916" cy="74805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0.99525</cdr:x>
      <cdr:y>0.12678</cdr:y>
    </cdr:from>
    <cdr:to>
      <cdr:x>1</cdr:x>
      <cdr:y>0.77808</cdr:y>
    </cdr:to>
    <cdr:sp macro="" textlink="">
      <cdr:nvSpPr>
        <cdr:cNvPr id="2" name="TextBox 1"/>
        <cdr:cNvSpPr txBox="1"/>
      </cdr:nvSpPr>
      <cdr:spPr>
        <a:xfrm xmlns:a="http://schemas.openxmlformats.org/drawingml/2006/main" flipH="1">
          <a:off x="9597674" y="916557"/>
          <a:ext cx="45719" cy="4708585"/>
        </a:xfrm>
        <a:prstGeom xmlns:a="http://schemas.openxmlformats.org/drawingml/2006/main" prst="rect">
          <a:avLst/>
        </a:prstGeom>
        <a:scene3d xmlns:a="http://schemas.openxmlformats.org/drawingml/2006/main">
          <a:camera prst="orthographicFront">
            <a:rot lat="0" lon="0" rev="5400000"/>
          </a:camera>
          <a:lightRig rig="threePt" dir="t"/>
        </a:scene3d>
        <a:sp3d xmlns:a="http://schemas.openxmlformats.org/drawingml/2006/main" z="5080000"/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US" sz="3200" b="1">
              <a:latin typeface="+mn-lt"/>
              <a:cs typeface="Arial" pitchFamily="34" charset="0"/>
            </a:rPr>
            <a:t>Number</a:t>
          </a:r>
          <a:r>
            <a:rPr lang="en-US" sz="3200" b="1" baseline="0">
              <a:latin typeface="+mn-lt"/>
              <a:cs typeface="Arial" pitchFamily="34" charset="0"/>
            </a:rPr>
            <a:t> of tuples (K)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-1"/>
    <xdr:ext cx="9982200" cy="7743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991725" cy="77057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10029825" cy="77057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-28575" y="-9525"/>
    <xdr:ext cx="9991725" cy="77057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982200" cy="77247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991725" cy="76771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972675" cy="77057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963150" cy="76962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963150" cy="76962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629775" cy="72294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629775" cy="72294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629775" cy="72294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629775" cy="72294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629775" cy="72294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629775" cy="72294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629775" cy="72294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629775" cy="72294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629775" cy="72294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10p.log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50p.log" connectionId="3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20p.log" connectionId="1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70p.log" connectionId="5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30p.log" connectionId="1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60p.log" connectionId="4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40p.log" connectionId="2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10p.log" connectionId="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50p.log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20p.log" connectionId="1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70p.log" connectionId="5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30p.log" connectionId="2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60p.log" connectionId="4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40p.log" connectionId="3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30p.log" connectionId="2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40p.log" connectionId="3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10p.log" connectionId="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50p.log" connectionId="4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20p.log" connectionId="1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70p.log" connectionId="5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60p.log" connectionId="4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30p.log" connectionId="2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40p.log" connectionId="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70p.log" connectionId="5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50p.log" connectionId="4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10p.log" connectionId="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20p.log" connectionId="1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50p.log" connectionId="4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10p.log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30p.log" connectionId="2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20p.log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30p" connectionId="2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20p" connectionId="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70p.log" connectionId="5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40p.log" connectionId="3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30p.log" connectionId="2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20p.log" connectionId="1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10p.log" connectionId="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40p.log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70p.log" connectionId="5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60p.log" connectionId="4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30p.log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40p.log" connectionId="2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70p.log" connectionId="5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50p.log" connectionId="3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10p.log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20p.log" connectionId="1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40p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60p_4" connectionId="4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40p.log" connectionId="3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40p_1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20p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10p" connectionId="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60p_3" connectionId="4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20p.log" connectionId="1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30p_1" connectionId="2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50p_1" connectionId="4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50p" connectionId="4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10p.log" connectionId="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60p_2" connectionId="4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60p_12" connectionId="4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70p.log" connectionId="5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30p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20p_1" connectionId="1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50p.log" connectionId="4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10p_1" connectionId="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30p.log" connectionId="2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60p_5" connectionId="4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60p_13" connectionId="4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10p" connectionId="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10p.log" connectionId="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40p.log" connectionId="3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20p.log" connectionId="1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10p_1" connectionId="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20p" connectionId="1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20p_1" connectionId="1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40p_1" connectionId="3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30p" connectionId="2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40p" connectionId="3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50p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50p.log" connectionId="4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30p_1" connectionId="2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50p_1" connectionId="4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30p.log" connectionId="2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70p.log" connectionId="5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7" Type="http://schemas.openxmlformats.org/officeDocument/2006/relationships/queryTable" Target="../queryTables/queryTable14.xml"/><Relationship Id="rId2" Type="http://schemas.openxmlformats.org/officeDocument/2006/relationships/queryTable" Target="../queryTables/queryTable9.xml"/><Relationship Id="rId1" Type="http://schemas.openxmlformats.org/officeDocument/2006/relationships/queryTable" Target="../queryTables/queryTable8.xml"/><Relationship Id="rId6" Type="http://schemas.openxmlformats.org/officeDocument/2006/relationships/queryTable" Target="../queryTables/queryTable13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queryTable" Target="../queryTables/queryTable15.xml"/><Relationship Id="rId6" Type="http://schemas.openxmlformats.org/officeDocument/2006/relationships/queryTable" Target="../queryTables/queryTable20.xml"/><Relationship Id="rId5" Type="http://schemas.openxmlformats.org/officeDocument/2006/relationships/queryTable" Target="../queryTables/queryTable19.xml"/><Relationship Id="rId4" Type="http://schemas.openxmlformats.org/officeDocument/2006/relationships/queryTable" Target="../queryTables/queryTable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7" Type="http://schemas.openxmlformats.org/officeDocument/2006/relationships/queryTable" Target="../queryTables/queryTable27.xml"/><Relationship Id="rId2" Type="http://schemas.openxmlformats.org/officeDocument/2006/relationships/queryTable" Target="../queryTables/queryTable22.xml"/><Relationship Id="rId1" Type="http://schemas.openxmlformats.org/officeDocument/2006/relationships/queryTable" Target="../queryTables/queryTable21.xml"/><Relationship Id="rId6" Type="http://schemas.openxmlformats.org/officeDocument/2006/relationships/queryTable" Target="../queryTables/queryTable26.xml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5.xml"/><Relationship Id="rId3" Type="http://schemas.openxmlformats.org/officeDocument/2006/relationships/queryTable" Target="../queryTables/queryTable30.xml"/><Relationship Id="rId7" Type="http://schemas.openxmlformats.org/officeDocument/2006/relationships/queryTable" Target="../queryTables/queryTable34.xml"/><Relationship Id="rId2" Type="http://schemas.openxmlformats.org/officeDocument/2006/relationships/queryTable" Target="../queryTables/queryTable29.xml"/><Relationship Id="rId1" Type="http://schemas.openxmlformats.org/officeDocument/2006/relationships/queryTable" Target="../queryTables/queryTable28.xml"/><Relationship Id="rId6" Type="http://schemas.openxmlformats.org/officeDocument/2006/relationships/queryTable" Target="../queryTables/queryTable33.xm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queryTable" Target="../queryTables/queryTable36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7" Type="http://schemas.openxmlformats.org/officeDocument/2006/relationships/queryTable" Target="../queryTables/queryTable47.xml"/><Relationship Id="rId2" Type="http://schemas.openxmlformats.org/officeDocument/2006/relationships/queryTable" Target="../queryTables/queryTable42.xml"/><Relationship Id="rId1" Type="http://schemas.openxmlformats.org/officeDocument/2006/relationships/queryTable" Target="../queryTables/queryTable41.xml"/><Relationship Id="rId6" Type="http://schemas.openxmlformats.org/officeDocument/2006/relationships/queryTable" Target="../queryTables/queryTable46.xml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5.xml"/><Relationship Id="rId13" Type="http://schemas.openxmlformats.org/officeDocument/2006/relationships/queryTable" Target="../queryTables/queryTable60.xml"/><Relationship Id="rId18" Type="http://schemas.openxmlformats.org/officeDocument/2006/relationships/queryTable" Target="../queryTables/queryTable65.xml"/><Relationship Id="rId3" Type="http://schemas.openxmlformats.org/officeDocument/2006/relationships/queryTable" Target="../queryTables/queryTable50.xml"/><Relationship Id="rId21" Type="http://schemas.openxmlformats.org/officeDocument/2006/relationships/queryTable" Target="../queryTables/queryTable68.xml"/><Relationship Id="rId7" Type="http://schemas.openxmlformats.org/officeDocument/2006/relationships/queryTable" Target="../queryTables/queryTable54.xml"/><Relationship Id="rId12" Type="http://schemas.openxmlformats.org/officeDocument/2006/relationships/queryTable" Target="../queryTables/queryTable59.xml"/><Relationship Id="rId17" Type="http://schemas.openxmlformats.org/officeDocument/2006/relationships/queryTable" Target="../queryTables/queryTable64.xml"/><Relationship Id="rId2" Type="http://schemas.openxmlformats.org/officeDocument/2006/relationships/queryTable" Target="../queryTables/queryTable49.xml"/><Relationship Id="rId16" Type="http://schemas.openxmlformats.org/officeDocument/2006/relationships/queryTable" Target="../queryTables/queryTable63.xml"/><Relationship Id="rId20" Type="http://schemas.openxmlformats.org/officeDocument/2006/relationships/queryTable" Target="../queryTables/queryTable67.xml"/><Relationship Id="rId1" Type="http://schemas.openxmlformats.org/officeDocument/2006/relationships/queryTable" Target="../queryTables/queryTable48.xml"/><Relationship Id="rId6" Type="http://schemas.openxmlformats.org/officeDocument/2006/relationships/queryTable" Target="../queryTables/queryTable53.xml"/><Relationship Id="rId11" Type="http://schemas.openxmlformats.org/officeDocument/2006/relationships/queryTable" Target="../queryTables/queryTable58.xml"/><Relationship Id="rId5" Type="http://schemas.openxmlformats.org/officeDocument/2006/relationships/queryTable" Target="../queryTables/queryTable52.xml"/><Relationship Id="rId15" Type="http://schemas.openxmlformats.org/officeDocument/2006/relationships/queryTable" Target="../queryTables/queryTable62.xml"/><Relationship Id="rId10" Type="http://schemas.openxmlformats.org/officeDocument/2006/relationships/queryTable" Target="../queryTables/queryTable57.xml"/><Relationship Id="rId19" Type="http://schemas.openxmlformats.org/officeDocument/2006/relationships/queryTable" Target="../queryTables/queryTable66.xml"/><Relationship Id="rId4" Type="http://schemas.openxmlformats.org/officeDocument/2006/relationships/queryTable" Target="../queryTables/queryTable51.xml"/><Relationship Id="rId9" Type="http://schemas.openxmlformats.org/officeDocument/2006/relationships/queryTable" Target="../queryTables/queryTable56.xml"/><Relationship Id="rId14" Type="http://schemas.openxmlformats.org/officeDocument/2006/relationships/queryTable" Target="../queryTables/queryTable61.xml"/><Relationship Id="rId22" Type="http://schemas.openxmlformats.org/officeDocument/2006/relationships/queryTable" Target="../queryTables/queryTable6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7.xml"/><Relationship Id="rId13" Type="http://schemas.openxmlformats.org/officeDocument/2006/relationships/queryTable" Target="../queryTables/queryTable82.xml"/><Relationship Id="rId3" Type="http://schemas.openxmlformats.org/officeDocument/2006/relationships/queryTable" Target="../queryTables/queryTable72.xml"/><Relationship Id="rId7" Type="http://schemas.openxmlformats.org/officeDocument/2006/relationships/queryTable" Target="../queryTables/queryTable76.xml"/><Relationship Id="rId12" Type="http://schemas.openxmlformats.org/officeDocument/2006/relationships/queryTable" Target="../queryTables/queryTable81.xml"/><Relationship Id="rId2" Type="http://schemas.openxmlformats.org/officeDocument/2006/relationships/queryTable" Target="../queryTables/queryTable71.xml"/><Relationship Id="rId16" Type="http://schemas.openxmlformats.org/officeDocument/2006/relationships/queryTable" Target="../queryTables/queryTable85.xml"/><Relationship Id="rId1" Type="http://schemas.openxmlformats.org/officeDocument/2006/relationships/queryTable" Target="../queryTables/queryTable70.xml"/><Relationship Id="rId6" Type="http://schemas.openxmlformats.org/officeDocument/2006/relationships/queryTable" Target="../queryTables/queryTable75.xml"/><Relationship Id="rId11" Type="http://schemas.openxmlformats.org/officeDocument/2006/relationships/queryTable" Target="../queryTables/queryTable80.xml"/><Relationship Id="rId5" Type="http://schemas.openxmlformats.org/officeDocument/2006/relationships/queryTable" Target="../queryTables/queryTable74.xml"/><Relationship Id="rId15" Type="http://schemas.openxmlformats.org/officeDocument/2006/relationships/queryTable" Target="../queryTables/queryTable84.xml"/><Relationship Id="rId10" Type="http://schemas.openxmlformats.org/officeDocument/2006/relationships/queryTable" Target="../queryTables/queryTable79.xml"/><Relationship Id="rId4" Type="http://schemas.openxmlformats.org/officeDocument/2006/relationships/queryTable" Target="../queryTables/queryTable73.xml"/><Relationship Id="rId9" Type="http://schemas.openxmlformats.org/officeDocument/2006/relationships/queryTable" Target="../queryTables/queryTable78.xml"/><Relationship Id="rId14" Type="http://schemas.openxmlformats.org/officeDocument/2006/relationships/queryTable" Target="../queryTables/queryTable83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L165"/>
  <sheetViews>
    <sheetView workbookViewId="0">
      <selection activeCell="K11" sqref="K11"/>
    </sheetView>
  </sheetViews>
  <sheetFormatPr defaultRowHeight="15"/>
  <cols>
    <col min="1" max="1" width="24.140625" customWidth="1"/>
    <col min="2" max="11" width="12.7109375" customWidth="1"/>
  </cols>
  <sheetData>
    <row r="1" spans="1:12">
      <c r="A1" t="s">
        <v>16</v>
      </c>
      <c r="B1" t="s">
        <v>20</v>
      </c>
    </row>
    <row r="2" spans="1:12">
      <c r="A2" t="s">
        <v>12</v>
      </c>
      <c r="B2">
        <v>10</v>
      </c>
      <c r="C2">
        <v>20</v>
      </c>
      <c r="D2">
        <v>30</v>
      </c>
      <c r="E2">
        <v>40</v>
      </c>
      <c r="F2">
        <v>50</v>
      </c>
      <c r="G2">
        <v>60</v>
      </c>
      <c r="H2">
        <v>70</v>
      </c>
      <c r="I2">
        <v>80</v>
      </c>
      <c r="J2">
        <v>90</v>
      </c>
      <c r="K2">
        <v>100</v>
      </c>
    </row>
    <row r="3" spans="1:12">
      <c r="A3" t="s">
        <v>56</v>
      </c>
    </row>
    <row r="4" spans="1:12">
      <c r="A4" t="s">
        <v>6</v>
      </c>
      <c r="B4">
        <v>7753</v>
      </c>
      <c r="C4">
        <v>27523</v>
      </c>
      <c r="D4">
        <v>46348</v>
      </c>
      <c r="E4">
        <v>74664</v>
      </c>
      <c r="F4">
        <v>82447</v>
      </c>
      <c r="G4">
        <v>101432</v>
      </c>
      <c r="H4">
        <v>105364</v>
      </c>
      <c r="I4">
        <v>393370</v>
      </c>
      <c r="J4">
        <v>546622</v>
      </c>
      <c r="K4">
        <v>683347</v>
      </c>
    </row>
    <row r="5" spans="1:12">
      <c r="A5" t="s">
        <v>7</v>
      </c>
      <c r="B5">
        <v>5788</v>
      </c>
      <c r="C5">
        <v>24589</v>
      </c>
      <c r="D5">
        <v>40295</v>
      </c>
      <c r="E5">
        <v>70295</v>
      </c>
      <c r="F5">
        <v>79171</v>
      </c>
      <c r="G5">
        <v>112384</v>
      </c>
      <c r="H5">
        <v>112493</v>
      </c>
      <c r="I5">
        <v>283942</v>
      </c>
      <c r="J5">
        <v>614297</v>
      </c>
      <c r="K5">
        <v>745518</v>
      </c>
    </row>
    <row r="6" spans="1:12">
      <c r="A6" t="s">
        <v>8</v>
      </c>
      <c r="B6">
        <v>5803</v>
      </c>
      <c r="C6">
        <v>23903</v>
      </c>
      <c r="D6">
        <v>39968</v>
      </c>
      <c r="E6">
        <v>81449</v>
      </c>
      <c r="F6">
        <v>73055</v>
      </c>
      <c r="G6">
        <v>109076</v>
      </c>
      <c r="H6">
        <v>112384</v>
      </c>
      <c r="I6">
        <v>282149</v>
      </c>
      <c r="J6">
        <v>614702</v>
      </c>
      <c r="K6">
        <v>919242</v>
      </c>
    </row>
    <row r="7" spans="1:12">
      <c r="A7" t="s">
        <v>9</v>
      </c>
      <c r="B7">
        <v>5788</v>
      </c>
      <c r="C7">
        <v>23932</v>
      </c>
      <c r="D7">
        <v>39952</v>
      </c>
      <c r="E7">
        <v>73305</v>
      </c>
      <c r="F7">
        <v>73102</v>
      </c>
      <c r="G7">
        <v>109937</v>
      </c>
      <c r="H7">
        <v>117049</v>
      </c>
      <c r="I7">
        <v>271820</v>
      </c>
      <c r="J7">
        <v>610444</v>
      </c>
      <c r="K7">
        <v>902300</v>
      </c>
    </row>
    <row r="8" spans="1:12">
      <c r="A8" t="s">
        <v>10</v>
      </c>
      <c r="B8">
        <v>5804</v>
      </c>
      <c r="C8">
        <v>23963</v>
      </c>
      <c r="D8">
        <v>40311</v>
      </c>
      <c r="E8">
        <v>70903</v>
      </c>
      <c r="F8">
        <v>73555</v>
      </c>
      <c r="G8">
        <v>98442</v>
      </c>
      <c r="H8">
        <v>85863</v>
      </c>
      <c r="I8">
        <v>273971</v>
      </c>
      <c r="J8">
        <v>531600</v>
      </c>
      <c r="K8">
        <v>887043</v>
      </c>
    </row>
    <row r="9" spans="1:12">
      <c r="A9" t="s">
        <v>11</v>
      </c>
      <c r="B9">
        <f>(SUM(B4:B8) -MAX(B4:B8))/((COUNT(B4:B8)-1)*1000)</f>
        <v>5.79575</v>
      </c>
      <c r="C9">
        <f t="shared" ref="C9:K9" si="0">(SUM(C4:C8) -MAX(C4:C8))/((COUNT(C4:C8)-1)*1000)</f>
        <v>24.09675</v>
      </c>
      <c r="D9">
        <f t="shared" si="0"/>
        <v>40.131500000000003</v>
      </c>
      <c r="E9">
        <f t="shared" si="0"/>
        <v>72.291749999999993</v>
      </c>
      <c r="F9">
        <f t="shared" si="0"/>
        <v>74.720749999999995</v>
      </c>
      <c r="G9">
        <f t="shared" si="0"/>
        <v>104.72175</v>
      </c>
      <c r="H9">
        <f t="shared" si="0"/>
        <v>104.026</v>
      </c>
      <c r="I9">
        <f t="shared" si="0"/>
        <v>277.97050000000002</v>
      </c>
      <c r="J9">
        <f t="shared" si="0"/>
        <v>575.74075000000005</v>
      </c>
      <c r="K9">
        <f t="shared" si="0"/>
        <v>804.55200000000002</v>
      </c>
    </row>
    <row r="10" spans="1:12">
      <c r="A10" t="s">
        <v>13</v>
      </c>
      <c r="B10">
        <f t="shared" ref="B10:K10" si="1">STDEV(B4:B8)/1000</f>
        <v>0.87534318984042081</v>
      </c>
      <c r="C10">
        <f t="shared" si="1"/>
        <v>1.5585435508833239</v>
      </c>
      <c r="D10">
        <f t="shared" si="1"/>
        <v>2.785399558411692</v>
      </c>
      <c r="E10">
        <f t="shared" si="1"/>
        <v>4.462456296704743</v>
      </c>
      <c r="F10">
        <f t="shared" si="1"/>
        <v>4.310299409553819</v>
      </c>
      <c r="G10">
        <f t="shared" si="1"/>
        <v>5.9871550172014718</v>
      </c>
      <c r="H10">
        <f>STDEV(H4:H8)/1000</f>
        <v>12.338049777010921</v>
      </c>
      <c r="I10">
        <f>STDEV(I4:I8)/1000</f>
        <v>51.866605357397383</v>
      </c>
      <c r="J10">
        <f>STDEV(J4:J8)/1000</f>
        <v>40.931621602374854</v>
      </c>
      <c r="K10">
        <f t="shared" si="1"/>
        <v>106.13451211316703</v>
      </c>
    </row>
    <row r="11" spans="1:12">
      <c r="A11" t="s">
        <v>14</v>
      </c>
      <c r="B11">
        <f>CONFIDENCE(0.05,B10,5)/2</f>
        <v>0.38362901831766727</v>
      </c>
      <c r="C11">
        <f t="shared" ref="C11:K11" si="2">CONFIDENCE(0.05,C10,5)/2</f>
        <v>0.68304927640974888</v>
      </c>
      <c r="D11">
        <f t="shared" si="2"/>
        <v>1.2207327487299522</v>
      </c>
      <c r="E11">
        <f t="shared" si="2"/>
        <v>1.9557217651998022</v>
      </c>
      <c r="F11">
        <f t="shared" si="2"/>
        <v>1.8890372945539262</v>
      </c>
      <c r="G11">
        <f t="shared" si="2"/>
        <v>2.6239381632516303</v>
      </c>
      <c r="H11">
        <f t="shared" si="2"/>
        <v>5.407289368152969</v>
      </c>
      <c r="I11">
        <f t="shared" si="2"/>
        <v>22.731124349474445</v>
      </c>
      <c r="J11">
        <f t="shared" si="2"/>
        <v>17.938744478416446</v>
      </c>
      <c r="K11">
        <f t="shared" si="2"/>
        <v>46.514646100144567</v>
      </c>
    </row>
    <row r="12" spans="1:12">
      <c r="A12" t="s">
        <v>58</v>
      </c>
      <c r="B12">
        <v>176</v>
      </c>
      <c r="C12">
        <v>562</v>
      </c>
      <c r="D12">
        <v>774</v>
      </c>
      <c r="E12">
        <v>1352</v>
      </c>
      <c r="F12">
        <v>1468</v>
      </c>
      <c r="G12">
        <v>1770</v>
      </c>
      <c r="H12">
        <v>1796</v>
      </c>
      <c r="I12">
        <v>2800</v>
      </c>
      <c r="J12">
        <v>2772</v>
      </c>
      <c r="K12">
        <v>3890</v>
      </c>
      <c r="L12" t="s">
        <v>43</v>
      </c>
    </row>
    <row r="14" spans="1:12">
      <c r="A14" t="s">
        <v>0</v>
      </c>
    </row>
    <row r="15" spans="1:12">
      <c r="A15" t="s">
        <v>6</v>
      </c>
      <c r="B15">
        <v>858</v>
      </c>
      <c r="C15">
        <v>2621</v>
      </c>
      <c r="D15">
        <v>4493</v>
      </c>
      <c r="E15">
        <v>8518</v>
      </c>
      <c r="F15">
        <v>9438</v>
      </c>
      <c r="G15">
        <v>13417</v>
      </c>
      <c r="H15">
        <v>14306</v>
      </c>
      <c r="I15">
        <v>31029</v>
      </c>
      <c r="J15">
        <v>23683</v>
      </c>
      <c r="K15">
        <v>69889</v>
      </c>
    </row>
    <row r="16" spans="1:12">
      <c r="A16" t="s">
        <v>7</v>
      </c>
      <c r="B16">
        <v>858</v>
      </c>
      <c r="C16">
        <v>2621</v>
      </c>
      <c r="D16">
        <v>4493</v>
      </c>
      <c r="E16">
        <v>8518</v>
      </c>
      <c r="F16">
        <v>9438</v>
      </c>
      <c r="G16">
        <v>13417</v>
      </c>
      <c r="H16">
        <v>14306</v>
      </c>
      <c r="I16">
        <v>31029</v>
      </c>
      <c r="J16">
        <v>23683</v>
      </c>
      <c r="K16">
        <v>69889</v>
      </c>
    </row>
    <row r="17" spans="1:11">
      <c r="A17" t="s">
        <v>8</v>
      </c>
      <c r="B17">
        <v>874</v>
      </c>
      <c r="C17">
        <v>2590</v>
      </c>
      <c r="D17">
        <v>4587</v>
      </c>
      <c r="E17">
        <v>7348</v>
      </c>
      <c r="F17">
        <v>10733</v>
      </c>
      <c r="G17">
        <v>12027</v>
      </c>
      <c r="H17">
        <v>13073</v>
      </c>
      <c r="I17">
        <v>34382</v>
      </c>
      <c r="J17">
        <v>51324</v>
      </c>
      <c r="K17">
        <v>68516</v>
      </c>
    </row>
    <row r="18" spans="1:11">
      <c r="A18" t="s">
        <v>9</v>
      </c>
      <c r="B18">
        <v>920</v>
      </c>
      <c r="C18">
        <v>2542</v>
      </c>
      <c r="D18">
        <v>4493</v>
      </c>
      <c r="E18">
        <v>7395</v>
      </c>
      <c r="F18">
        <v>11107</v>
      </c>
      <c r="G18">
        <v>12371</v>
      </c>
      <c r="H18">
        <v>14306</v>
      </c>
      <c r="I18">
        <v>34320</v>
      </c>
      <c r="J18">
        <v>40941</v>
      </c>
      <c r="K18">
        <v>68017</v>
      </c>
    </row>
    <row r="19" spans="1:11">
      <c r="A19" t="s">
        <v>10</v>
      </c>
      <c r="B19">
        <v>874</v>
      </c>
      <c r="C19">
        <v>2621</v>
      </c>
      <c r="D19">
        <v>4493</v>
      </c>
      <c r="E19">
        <v>7410</v>
      </c>
      <c r="F19">
        <v>11575</v>
      </c>
      <c r="G19">
        <v>14352</v>
      </c>
      <c r="H19">
        <v>13073</v>
      </c>
      <c r="I19">
        <v>33899</v>
      </c>
      <c r="J19">
        <v>39967</v>
      </c>
      <c r="K19">
        <v>69998</v>
      </c>
    </row>
    <row r="20" spans="1:11">
      <c r="A20" t="s">
        <v>11</v>
      </c>
      <c r="B20">
        <f>(SUM(B15:B19) -MAX(B15:B19))/((COUNT(B15:B19)-1)*1000)</f>
        <v>0.86599999999999999</v>
      </c>
      <c r="C20">
        <f t="shared" ref="C20:K20" si="3">(SUM(C15:C19) -MAX(C15:C19))/((COUNT(C15:C19)-1)*1000)</f>
        <v>2.5935000000000001</v>
      </c>
      <c r="D20">
        <f t="shared" si="3"/>
        <v>4.4930000000000003</v>
      </c>
      <c r="E20">
        <f t="shared" si="3"/>
        <v>7.6677499999999998</v>
      </c>
      <c r="F20">
        <f t="shared" si="3"/>
        <v>10.179</v>
      </c>
      <c r="G20">
        <f t="shared" si="3"/>
        <v>12.808</v>
      </c>
      <c r="H20">
        <f t="shared" si="3"/>
        <v>13.689500000000001</v>
      </c>
      <c r="I20">
        <f t="shared" si="3"/>
        <v>32.569249999999997</v>
      </c>
      <c r="J20">
        <f t="shared" si="3"/>
        <v>32.0685</v>
      </c>
      <c r="K20">
        <f t="shared" si="3"/>
        <v>69.077749999999995</v>
      </c>
    </row>
    <row r="21" spans="1:11">
      <c r="A21" t="s">
        <v>13</v>
      </c>
      <c r="B21">
        <f t="shared" ref="B21:K21" si="4">STDEV(B15:B19)/1000</f>
        <v>2.5440125785851638E-2</v>
      </c>
      <c r="C21">
        <f t="shared" si="4"/>
        <v>3.4576003239240941E-2</v>
      </c>
      <c r="D21">
        <f t="shared" si="4"/>
        <v>4.2038077976987179E-2</v>
      </c>
      <c r="E21">
        <f t="shared" si="4"/>
        <v>0.62135593664179556</v>
      </c>
      <c r="F21">
        <f t="shared" si="4"/>
        <v>0.97792060004889358</v>
      </c>
      <c r="G21">
        <f t="shared" si="4"/>
        <v>0.92868735320342777</v>
      </c>
      <c r="H21">
        <f>STDEV(H15:H19)/1000</f>
        <v>0.67534191340386096</v>
      </c>
      <c r="I21">
        <f>STDEV(I15:I19)/1000</f>
        <v>1.7469223508788385</v>
      </c>
      <c r="J21">
        <f>STDEV(J15:J19)/1000</f>
        <v>12.024560316285996</v>
      </c>
      <c r="K21">
        <f t="shared" si="4"/>
        <v>0.9266195011976649</v>
      </c>
    </row>
    <row r="22" spans="1:11">
      <c r="A22" t="s">
        <v>14</v>
      </c>
      <c r="B22">
        <f>CONFIDENCE(0.05,B21,5)/2</f>
        <v>1.1149421843201241E-2</v>
      </c>
      <c r="C22">
        <f t="shared" ref="C22:K22" si="5">CONFIDENCE(0.05,C21,5)/2</f>
        <v>1.515332310112179E-2</v>
      </c>
      <c r="D22">
        <f t="shared" si="5"/>
        <v>1.842366145467262E-2</v>
      </c>
      <c r="E22">
        <f t="shared" si="5"/>
        <v>0.27231624209380406</v>
      </c>
      <c r="F22">
        <f t="shared" si="5"/>
        <v>0.42858472441851564</v>
      </c>
      <c r="G22">
        <f t="shared" si="5"/>
        <v>0.40700769911560475</v>
      </c>
      <c r="H22">
        <f t="shared" si="5"/>
        <v>0.29597620484730097</v>
      </c>
      <c r="I22">
        <f t="shared" si="5"/>
        <v>0.76560840859116697</v>
      </c>
      <c r="J22">
        <f t="shared" si="5"/>
        <v>5.2698990788736717</v>
      </c>
      <c r="K22">
        <f t="shared" si="5"/>
        <v>0.40610143966879098</v>
      </c>
    </row>
    <row r="24" spans="1:11">
      <c r="A24" t="s">
        <v>1</v>
      </c>
    </row>
    <row r="25" spans="1:11">
      <c r="A25" t="s">
        <v>6</v>
      </c>
      <c r="B25">
        <v>1357</v>
      </c>
      <c r="C25">
        <v>4727</v>
      </c>
      <c r="D25">
        <v>8440</v>
      </c>
      <c r="E25">
        <v>14321</v>
      </c>
      <c r="F25">
        <v>19719</v>
      </c>
      <c r="G25">
        <v>20561</v>
      </c>
      <c r="H25">
        <v>18317</v>
      </c>
      <c r="I25">
        <v>57830</v>
      </c>
      <c r="J25">
        <v>91886</v>
      </c>
      <c r="K25">
        <v>88501</v>
      </c>
    </row>
    <row r="26" spans="1:11">
      <c r="A26" t="s">
        <v>7</v>
      </c>
      <c r="B26">
        <v>1388</v>
      </c>
      <c r="C26">
        <v>4789</v>
      </c>
      <c r="D26">
        <v>8534</v>
      </c>
      <c r="E26">
        <v>14353</v>
      </c>
      <c r="F26">
        <v>17363</v>
      </c>
      <c r="G26">
        <v>20733</v>
      </c>
      <c r="H26">
        <v>25385</v>
      </c>
      <c r="I26">
        <v>64834</v>
      </c>
      <c r="J26">
        <v>92432</v>
      </c>
      <c r="K26">
        <v>159109</v>
      </c>
    </row>
    <row r="27" spans="1:11">
      <c r="A27" t="s">
        <v>8</v>
      </c>
      <c r="B27">
        <v>1342</v>
      </c>
      <c r="C27">
        <v>5039</v>
      </c>
      <c r="D27">
        <v>8206</v>
      </c>
      <c r="E27">
        <v>13899</v>
      </c>
      <c r="F27">
        <v>18331</v>
      </c>
      <c r="G27">
        <v>20202</v>
      </c>
      <c r="H27">
        <v>21373</v>
      </c>
      <c r="I27">
        <v>92057</v>
      </c>
      <c r="J27">
        <v>90575</v>
      </c>
      <c r="K27">
        <v>132151</v>
      </c>
    </row>
    <row r="28" spans="1:11">
      <c r="A28" t="s">
        <v>9</v>
      </c>
      <c r="B28">
        <v>1326</v>
      </c>
      <c r="C28">
        <v>6989</v>
      </c>
      <c r="D28">
        <v>8221</v>
      </c>
      <c r="E28">
        <v>13838</v>
      </c>
      <c r="F28">
        <v>19719</v>
      </c>
      <c r="G28">
        <v>20577</v>
      </c>
      <c r="H28">
        <v>21982</v>
      </c>
      <c r="I28">
        <v>120090</v>
      </c>
      <c r="J28">
        <v>31122</v>
      </c>
      <c r="K28">
        <v>122319</v>
      </c>
    </row>
    <row r="29" spans="1:11">
      <c r="A29" t="s">
        <v>10</v>
      </c>
      <c r="B29">
        <v>1342</v>
      </c>
      <c r="C29">
        <v>4852</v>
      </c>
      <c r="D29">
        <v>8190</v>
      </c>
      <c r="E29">
        <v>13837</v>
      </c>
      <c r="F29">
        <v>19266</v>
      </c>
      <c r="G29">
        <v>21965</v>
      </c>
      <c r="H29">
        <v>27779</v>
      </c>
      <c r="I29">
        <v>70248</v>
      </c>
      <c r="J29">
        <v>42495</v>
      </c>
      <c r="K29">
        <v>126911</v>
      </c>
    </row>
    <row r="30" spans="1:11">
      <c r="A30" t="s">
        <v>11</v>
      </c>
      <c r="B30">
        <f>(SUM(B25:B29) -MAX(B25:B29))/((COUNT(B25:B29)-1)*1000)</f>
        <v>1.34175</v>
      </c>
      <c r="C30">
        <f t="shared" ref="C30:K30" si="6">(SUM(C25:C29) -MAX(C25:C29))/((COUNT(C25:C29)-1)*1000)</f>
        <v>4.85175</v>
      </c>
      <c r="D30">
        <f t="shared" si="6"/>
        <v>8.2642500000000005</v>
      </c>
      <c r="E30">
        <f t="shared" si="6"/>
        <v>13.973750000000001</v>
      </c>
      <c r="F30">
        <f t="shared" si="6"/>
        <v>18.669750000000001</v>
      </c>
      <c r="G30">
        <f t="shared" si="6"/>
        <v>20.518249999999998</v>
      </c>
      <c r="H30">
        <f t="shared" si="6"/>
        <v>21.764250000000001</v>
      </c>
      <c r="I30">
        <f t="shared" si="6"/>
        <v>71.242249999999999</v>
      </c>
      <c r="J30">
        <f t="shared" si="6"/>
        <v>64.019499999999994</v>
      </c>
      <c r="K30">
        <f t="shared" si="6"/>
        <v>117.4705</v>
      </c>
    </row>
    <row r="31" spans="1:11">
      <c r="A31" t="s">
        <v>13</v>
      </c>
      <c r="B31">
        <f t="shared" ref="B31:K31" si="7">STDEV(B25:B29)/1000</f>
        <v>2.3409399821439251E-2</v>
      </c>
      <c r="C31">
        <f t="shared" si="7"/>
        <v>0.96291650728399236</v>
      </c>
      <c r="D31">
        <f t="shared" si="7"/>
        <v>0.15801645483937102</v>
      </c>
      <c r="E31">
        <f t="shared" si="7"/>
        <v>0.26380068233424248</v>
      </c>
      <c r="F31">
        <f t="shared" si="7"/>
        <v>1.01974594875391</v>
      </c>
      <c r="G31">
        <f t="shared" si="7"/>
        <v>0.67562548797388644</v>
      </c>
      <c r="H31">
        <f>STDEV(H25:H29)/1000</f>
        <v>3.6788459059873722</v>
      </c>
      <c r="I31">
        <f>STDEV(I25:I29)/1000</f>
        <v>25.318365926733897</v>
      </c>
      <c r="J31">
        <f>STDEV(J25:J29)/1000</f>
        <v>30.303061454249139</v>
      </c>
      <c r="K31">
        <f t="shared" si="7"/>
        <v>25.270495388891781</v>
      </c>
    </row>
    <row r="32" spans="1:11">
      <c r="A32" t="s">
        <v>14</v>
      </c>
      <c r="B32">
        <f>CONFIDENCE(0.05,B31,5)/2</f>
        <v>1.0259433302430452E-2</v>
      </c>
      <c r="C32">
        <f t="shared" ref="C32:K32" si="8">CONFIDENCE(0.05,C31,5)/2</f>
        <v>0.42200901166384669</v>
      </c>
      <c r="D32">
        <f t="shared" si="8"/>
        <v>6.9252492224355075E-2</v>
      </c>
      <c r="E32">
        <f t="shared" si="8"/>
        <v>0.11561362214272297</v>
      </c>
      <c r="F32">
        <f t="shared" si="8"/>
        <v>0.44691515487222688</v>
      </c>
      <c r="G32">
        <f t="shared" si="8"/>
        <v>0.29610048459858179</v>
      </c>
      <c r="H32">
        <f t="shared" si="8"/>
        <v>1.6122956799529036</v>
      </c>
      <c r="I32">
        <f t="shared" si="8"/>
        <v>11.096059212674175</v>
      </c>
      <c r="J32">
        <f t="shared" si="8"/>
        <v>13.280658206563366</v>
      </c>
      <c r="K32">
        <f t="shared" si="8"/>
        <v>11.075079409950105</v>
      </c>
    </row>
    <row r="34" spans="1:11">
      <c r="A34" t="s">
        <v>2</v>
      </c>
    </row>
    <row r="35" spans="1:11">
      <c r="A35" t="s">
        <v>6</v>
      </c>
      <c r="B35">
        <v>3494</v>
      </c>
      <c r="C35">
        <v>14945</v>
      </c>
      <c r="D35">
        <v>25023</v>
      </c>
      <c r="E35">
        <v>45397</v>
      </c>
      <c r="F35">
        <v>72010</v>
      </c>
      <c r="G35">
        <v>89514</v>
      </c>
      <c r="H35">
        <v>86036</v>
      </c>
      <c r="I35">
        <v>204908</v>
      </c>
      <c r="J35">
        <v>211165</v>
      </c>
      <c r="K35">
        <v>295691</v>
      </c>
    </row>
    <row r="36" spans="1:11">
      <c r="A36" t="s">
        <v>7</v>
      </c>
      <c r="B36">
        <v>3681</v>
      </c>
      <c r="C36">
        <v>15382</v>
      </c>
      <c r="D36">
        <v>25818</v>
      </c>
      <c r="E36">
        <v>46067</v>
      </c>
      <c r="F36">
        <v>70030</v>
      </c>
      <c r="G36">
        <v>99280</v>
      </c>
      <c r="H36">
        <v>78126</v>
      </c>
      <c r="I36">
        <v>208513</v>
      </c>
      <c r="J36">
        <v>233862</v>
      </c>
      <c r="K36">
        <v>297609</v>
      </c>
    </row>
    <row r="37" spans="1:11">
      <c r="A37" t="s">
        <v>8</v>
      </c>
      <c r="B37">
        <v>3666</v>
      </c>
      <c r="C37">
        <v>15382</v>
      </c>
      <c r="D37">
        <v>25787</v>
      </c>
      <c r="E37">
        <v>44586</v>
      </c>
      <c r="F37">
        <v>62494</v>
      </c>
      <c r="G37">
        <v>57409</v>
      </c>
      <c r="H37">
        <v>85427</v>
      </c>
      <c r="I37">
        <v>214737</v>
      </c>
      <c r="J37">
        <v>232224</v>
      </c>
      <c r="K37">
        <v>287297</v>
      </c>
    </row>
    <row r="38" spans="1:11">
      <c r="A38" t="s">
        <v>9</v>
      </c>
      <c r="B38">
        <v>3666</v>
      </c>
      <c r="C38">
        <v>15351</v>
      </c>
      <c r="D38">
        <v>25740</v>
      </c>
      <c r="E38">
        <v>44492</v>
      </c>
      <c r="F38">
        <v>51169</v>
      </c>
      <c r="G38">
        <v>55552</v>
      </c>
      <c r="H38">
        <v>83617</v>
      </c>
      <c r="I38">
        <v>195283</v>
      </c>
      <c r="J38">
        <v>228559</v>
      </c>
      <c r="K38">
        <v>274754</v>
      </c>
    </row>
    <row r="39" spans="1:11">
      <c r="A39" t="s">
        <v>10</v>
      </c>
      <c r="B39">
        <v>3681</v>
      </c>
      <c r="C39">
        <v>15366</v>
      </c>
      <c r="D39">
        <v>25632</v>
      </c>
      <c r="E39">
        <v>44492</v>
      </c>
      <c r="F39">
        <v>51122</v>
      </c>
      <c r="G39">
        <v>55302</v>
      </c>
      <c r="H39">
        <v>83461</v>
      </c>
      <c r="I39">
        <v>222474</v>
      </c>
      <c r="J39">
        <v>227388</v>
      </c>
      <c r="K39">
        <v>257594</v>
      </c>
    </row>
    <row r="40" spans="1:11">
      <c r="A40" t="s">
        <v>11</v>
      </c>
      <c r="B40">
        <f>(SUM(B35:B39) -MAX(B35:B39))/((COUNT(B35:B39)-1)*1000)</f>
        <v>3.6267499999999999</v>
      </c>
      <c r="C40">
        <f t="shared" ref="C40:K40" si="9">(SUM(C35:C39) -MAX(C35:C39))/((COUNT(C35:C39)-1)*1000)</f>
        <v>15.260999999999999</v>
      </c>
      <c r="D40">
        <f t="shared" si="9"/>
        <v>25.545500000000001</v>
      </c>
      <c r="E40">
        <f t="shared" si="9"/>
        <v>44.741750000000003</v>
      </c>
      <c r="F40">
        <f t="shared" si="9"/>
        <v>58.703749999999999</v>
      </c>
      <c r="G40">
        <f t="shared" si="9"/>
        <v>64.444249999999997</v>
      </c>
      <c r="H40">
        <f t="shared" si="9"/>
        <v>82.657749999999993</v>
      </c>
      <c r="I40">
        <f t="shared" si="9"/>
        <v>205.86025000000001</v>
      </c>
      <c r="J40">
        <f t="shared" si="9"/>
        <v>224.834</v>
      </c>
      <c r="K40">
        <f t="shared" si="9"/>
        <v>278.834</v>
      </c>
    </row>
    <row r="41" spans="1:11">
      <c r="A41" t="s">
        <v>13</v>
      </c>
      <c r="B41">
        <f t="shared" ref="B41:K41" si="10">STDEV(B35:B39)/1000</f>
        <v>8.0624437982541902E-2</v>
      </c>
      <c r="C41">
        <f t="shared" si="10"/>
        <v>0.19061400787976754</v>
      </c>
      <c r="D41">
        <f t="shared" si="10"/>
        <v>0.33016889617285272</v>
      </c>
      <c r="E41">
        <f t="shared" si="10"/>
        <v>0.70416454043057952</v>
      </c>
      <c r="F41">
        <f t="shared" si="10"/>
        <v>9.9818630024660226</v>
      </c>
      <c r="G41">
        <f t="shared" si="10"/>
        <v>21.280645756179492</v>
      </c>
      <c r="H41">
        <f>STDEV(H35:H39)/1000</f>
        <v>3.1185306315634032</v>
      </c>
      <c r="I41">
        <f>STDEV(I35:I39)/1000</f>
        <v>10.240021020486237</v>
      </c>
      <c r="J41">
        <f>STDEV(J35:J39)/1000</f>
        <v>9.0423452322947195</v>
      </c>
      <c r="K41">
        <f t="shared" si="10"/>
        <v>16.625021187956424</v>
      </c>
    </row>
    <row r="42" spans="1:11">
      <c r="A42" t="s">
        <v>14</v>
      </c>
      <c r="B42">
        <f>CONFIDENCE(0.05,B41,5)/2</f>
        <v>3.5334568606508333E-2</v>
      </c>
      <c r="C42">
        <f t="shared" ref="C42:K42" si="11">CONFIDENCE(0.05,C41,5)/2</f>
        <v>8.3538737228129184E-2</v>
      </c>
      <c r="D42">
        <f t="shared" si="11"/>
        <v>0.14470023984639721</v>
      </c>
      <c r="E42">
        <f t="shared" si="11"/>
        <v>0.30860804598107627</v>
      </c>
      <c r="F42">
        <f t="shared" si="11"/>
        <v>4.374663959304451</v>
      </c>
      <c r="G42">
        <f t="shared" si="11"/>
        <v>9.3264828416583487</v>
      </c>
      <c r="H42">
        <f t="shared" si="11"/>
        <v>1.3667311960219226</v>
      </c>
      <c r="I42">
        <f t="shared" si="11"/>
        <v>4.4878046202170978</v>
      </c>
      <c r="J42">
        <f t="shared" si="11"/>
        <v>3.9629097078907534</v>
      </c>
      <c r="K42">
        <f t="shared" si="11"/>
        <v>7.2861029044035313</v>
      </c>
    </row>
    <row r="44" spans="1:11">
      <c r="A44" t="s">
        <v>3</v>
      </c>
    </row>
    <row r="45" spans="1:11">
      <c r="A45" t="s">
        <v>6</v>
      </c>
      <c r="B45">
        <v>1357</v>
      </c>
      <c r="C45">
        <v>5288</v>
      </c>
      <c r="D45">
        <v>10733</v>
      </c>
      <c r="E45">
        <v>20936</v>
      </c>
      <c r="F45">
        <v>23900</v>
      </c>
      <c r="G45">
        <v>29032</v>
      </c>
      <c r="H45">
        <v>33728</v>
      </c>
      <c r="I45">
        <v>70216</v>
      </c>
      <c r="J45">
        <v>64507</v>
      </c>
      <c r="K45">
        <v>82432</v>
      </c>
    </row>
    <row r="46" spans="1:11">
      <c r="A46" t="s">
        <v>7</v>
      </c>
      <c r="B46">
        <v>1295</v>
      </c>
      <c r="C46">
        <v>5133</v>
      </c>
      <c r="D46">
        <v>8518</v>
      </c>
      <c r="E46">
        <v>16161</v>
      </c>
      <c r="F46">
        <v>17847</v>
      </c>
      <c r="G46">
        <v>19891</v>
      </c>
      <c r="H46">
        <v>31575</v>
      </c>
      <c r="I46">
        <v>46910</v>
      </c>
      <c r="J46">
        <v>39016</v>
      </c>
      <c r="K46">
        <v>80997</v>
      </c>
    </row>
    <row r="47" spans="1:11">
      <c r="A47" t="s">
        <v>8</v>
      </c>
      <c r="B47">
        <v>1326</v>
      </c>
      <c r="C47">
        <v>5085</v>
      </c>
      <c r="D47">
        <v>8502</v>
      </c>
      <c r="E47">
        <v>15194</v>
      </c>
      <c r="F47">
        <v>18939</v>
      </c>
      <c r="G47">
        <v>16287</v>
      </c>
      <c r="H47">
        <v>29766</v>
      </c>
      <c r="I47">
        <v>49780</v>
      </c>
      <c r="J47">
        <v>43415</v>
      </c>
      <c r="K47">
        <v>78797</v>
      </c>
    </row>
    <row r="48" spans="1:11">
      <c r="A48" t="s">
        <v>9</v>
      </c>
      <c r="B48">
        <v>1310</v>
      </c>
      <c r="C48">
        <v>5117</v>
      </c>
      <c r="D48">
        <v>8486</v>
      </c>
      <c r="E48">
        <v>15226</v>
      </c>
      <c r="F48">
        <v>18284</v>
      </c>
      <c r="G48">
        <v>16271</v>
      </c>
      <c r="H48">
        <v>29360</v>
      </c>
      <c r="I48">
        <v>48704</v>
      </c>
      <c r="J48">
        <v>64507</v>
      </c>
      <c r="K48">
        <v>78813</v>
      </c>
    </row>
    <row r="49" spans="1:11">
      <c r="A49" t="s">
        <v>10</v>
      </c>
      <c r="B49">
        <v>1295</v>
      </c>
      <c r="C49">
        <v>5132</v>
      </c>
      <c r="D49">
        <v>8486</v>
      </c>
      <c r="E49">
        <v>15445</v>
      </c>
      <c r="F49">
        <v>18346</v>
      </c>
      <c r="G49">
        <v>16099</v>
      </c>
      <c r="H49">
        <v>28174</v>
      </c>
      <c r="I49">
        <v>48813</v>
      </c>
      <c r="J49">
        <v>41232</v>
      </c>
      <c r="K49">
        <v>80638</v>
      </c>
    </row>
    <row r="50" spans="1:11">
      <c r="A50" t="s">
        <v>11</v>
      </c>
      <c r="B50">
        <f>(SUM(B45:B49) -MAX(B45:B49))/((COUNT(B45:B49)-1)*1000)</f>
        <v>1.3065</v>
      </c>
      <c r="C50">
        <f t="shared" ref="C50:K50" si="12">(SUM(C45:C49) -MAX(C45:C49))/((COUNT(C45:C49)-1)*1000)</f>
        <v>5.1167499999999997</v>
      </c>
      <c r="D50">
        <f t="shared" si="12"/>
        <v>8.4979999999999993</v>
      </c>
      <c r="E50">
        <f t="shared" si="12"/>
        <v>15.506500000000001</v>
      </c>
      <c r="F50">
        <f t="shared" si="12"/>
        <v>18.353999999999999</v>
      </c>
      <c r="G50">
        <f t="shared" si="12"/>
        <v>17.137</v>
      </c>
      <c r="H50">
        <f t="shared" si="12"/>
        <v>29.71875</v>
      </c>
      <c r="I50">
        <f t="shared" si="12"/>
        <v>48.551749999999998</v>
      </c>
      <c r="J50">
        <f t="shared" si="12"/>
        <v>47.042499999999997</v>
      </c>
      <c r="K50">
        <f t="shared" si="12"/>
        <v>79.811250000000001</v>
      </c>
    </row>
    <row r="51" spans="1:11">
      <c r="A51" t="s">
        <v>13</v>
      </c>
      <c r="B51">
        <f t="shared" ref="B51:K51" si="13">STDEV(B45:B49)/1000</f>
        <v>2.5967287112823582E-2</v>
      </c>
      <c r="C51">
        <f t="shared" si="13"/>
        <v>7.9003164493582148E-2</v>
      </c>
      <c r="D51">
        <f t="shared" si="13"/>
        <v>0.99961042411531498</v>
      </c>
      <c r="E51">
        <f t="shared" si="13"/>
        <v>2.4592714978220709</v>
      </c>
      <c r="F51">
        <f t="shared" si="13"/>
        <v>2.5105144293550654</v>
      </c>
      <c r="G51">
        <f t="shared" si="13"/>
        <v>5.5526398226429201</v>
      </c>
      <c r="H51">
        <f>STDEV(H45:H49)/1000</f>
        <v>2.1692233172266868</v>
      </c>
      <c r="I51">
        <f>STDEV(I45:I49)/1000</f>
        <v>9.7438077156725651</v>
      </c>
      <c r="J51">
        <f>STDEV(J45:J49)/1000</f>
        <v>12.848746409669708</v>
      </c>
      <c r="K51">
        <f t="shared" si="13"/>
        <v>1.5499507411528248</v>
      </c>
    </row>
    <row r="52" spans="1:11">
      <c r="A52" t="s">
        <v>14</v>
      </c>
      <c r="B52">
        <f>CONFIDENCE(0.05,B51,5)/2</f>
        <v>1.1380456236006824E-2</v>
      </c>
      <c r="C52">
        <f t="shared" ref="C52:K52" si="14">CONFIDENCE(0.05,C51,5)/2</f>
        <v>3.4624027227752104E-2</v>
      </c>
      <c r="D52">
        <f t="shared" si="14"/>
        <v>0.43809053426619504</v>
      </c>
      <c r="E52">
        <f t="shared" si="14"/>
        <v>1.0778034506192882</v>
      </c>
      <c r="F52">
        <f t="shared" si="14"/>
        <v>1.1002612428862344</v>
      </c>
      <c r="G52">
        <f t="shared" si="14"/>
        <v>2.4335069821248356</v>
      </c>
      <c r="H52">
        <f t="shared" si="14"/>
        <v>0.95068656654674766</v>
      </c>
      <c r="I52">
        <f t="shared" si="14"/>
        <v>4.2703335469155075</v>
      </c>
      <c r="J52">
        <f t="shared" si="14"/>
        <v>5.6311079231139614</v>
      </c>
      <c r="K52">
        <f t="shared" si="14"/>
        <v>0.67928338070191474</v>
      </c>
    </row>
    <row r="54" spans="1:11">
      <c r="A54" t="s">
        <v>4</v>
      </c>
    </row>
    <row r="55" spans="1:11">
      <c r="A55" t="s">
        <v>6</v>
      </c>
      <c r="B55">
        <v>1778</v>
      </c>
      <c r="C55">
        <v>7067</v>
      </c>
      <c r="D55">
        <v>12184</v>
      </c>
      <c r="E55">
        <v>21029</v>
      </c>
      <c r="F55">
        <v>25007</v>
      </c>
      <c r="G55">
        <v>26911</v>
      </c>
      <c r="H55">
        <v>31856</v>
      </c>
      <c r="I55">
        <v>90029</v>
      </c>
      <c r="J55">
        <v>87424</v>
      </c>
      <c r="K55">
        <v>109046</v>
      </c>
    </row>
    <row r="56" spans="1:11">
      <c r="A56" t="s">
        <v>7</v>
      </c>
      <c r="B56">
        <v>1747</v>
      </c>
      <c r="C56">
        <v>7098</v>
      </c>
      <c r="D56">
        <v>11810</v>
      </c>
      <c r="E56">
        <v>20171</v>
      </c>
      <c r="F56">
        <v>23837</v>
      </c>
      <c r="G56">
        <v>24945</v>
      </c>
      <c r="H56">
        <v>34273</v>
      </c>
      <c r="I56">
        <v>95817</v>
      </c>
      <c r="J56">
        <v>92868</v>
      </c>
      <c r="K56">
        <v>110888</v>
      </c>
    </row>
    <row r="57" spans="1:11">
      <c r="A57" t="s">
        <v>8</v>
      </c>
      <c r="B57">
        <v>1763</v>
      </c>
      <c r="C57">
        <v>7020</v>
      </c>
      <c r="D57">
        <v>11794</v>
      </c>
      <c r="E57">
        <v>20156</v>
      </c>
      <c r="F57">
        <v>23728</v>
      </c>
      <c r="G57">
        <v>29282</v>
      </c>
      <c r="H57">
        <v>32432</v>
      </c>
      <c r="I57">
        <v>96956</v>
      </c>
      <c r="J57">
        <v>93570</v>
      </c>
      <c r="K57">
        <v>168032</v>
      </c>
    </row>
    <row r="58" spans="1:11">
      <c r="A58" t="s">
        <v>9</v>
      </c>
      <c r="B58">
        <v>1763</v>
      </c>
      <c r="C58">
        <v>7036</v>
      </c>
      <c r="D58">
        <v>11825</v>
      </c>
      <c r="E58">
        <v>20187</v>
      </c>
      <c r="F58">
        <v>23728</v>
      </c>
      <c r="G58">
        <v>27908</v>
      </c>
      <c r="H58">
        <v>30858</v>
      </c>
      <c r="I58">
        <v>95738</v>
      </c>
      <c r="J58">
        <v>94381</v>
      </c>
      <c r="K58">
        <v>209560</v>
      </c>
    </row>
    <row r="59" spans="1:11">
      <c r="A59" t="s">
        <v>10</v>
      </c>
      <c r="B59">
        <v>1747</v>
      </c>
      <c r="C59">
        <v>7036</v>
      </c>
      <c r="D59">
        <v>11810</v>
      </c>
      <c r="E59">
        <v>20160</v>
      </c>
      <c r="F59">
        <v>23619</v>
      </c>
      <c r="G59">
        <v>29313</v>
      </c>
      <c r="H59">
        <v>31138</v>
      </c>
      <c r="I59">
        <v>96815</v>
      </c>
      <c r="J59">
        <v>92806</v>
      </c>
      <c r="K59">
        <v>113524</v>
      </c>
    </row>
    <row r="60" spans="1:11">
      <c r="A60" t="s">
        <v>11</v>
      </c>
      <c r="B60">
        <f>(SUM(B55:B59) -MAX(B55:B59))/((COUNT(B55:B59)-1)*1000)</f>
        <v>1.7549999999999999</v>
      </c>
      <c r="C60">
        <f t="shared" ref="C60:K60" si="15">(SUM(C55:C59) -MAX(C55:C59))/((COUNT(C55:C59)-1)*1000)</f>
        <v>7.0397499999999997</v>
      </c>
      <c r="D60">
        <f t="shared" si="15"/>
        <v>11.809749999999999</v>
      </c>
      <c r="E60">
        <f t="shared" si="15"/>
        <v>20.168500000000002</v>
      </c>
      <c r="F60">
        <f t="shared" si="15"/>
        <v>23.728000000000002</v>
      </c>
      <c r="G60">
        <f t="shared" si="15"/>
        <v>27.261500000000002</v>
      </c>
      <c r="H60">
        <f t="shared" si="15"/>
        <v>31.571000000000002</v>
      </c>
      <c r="I60">
        <f t="shared" si="15"/>
        <v>94.59975</v>
      </c>
      <c r="J60">
        <f t="shared" si="15"/>
        <v>91.667000000000002</v>
      </c>
      <c r="K60">
        <f t="shared" si="15"/>
        <v>125.3725</v>
      </c>
    </row>
    <row r="61" spans="1:11">
      <c r="A61" t="s">
        <v>13</v>
      </c>
      <c r="B61">
        <f t="shared" ref="B61:K61" si="16">STDEV(B55:B59)/1000</f>
        <v>1.3030732903402391E-2</v>
      </c>
      <c r="C61">
        <f t="shared" si="16"/>
        <v>3.1125552203889007E-2</v>
      </c>
      <c r="D61">
        <f t="shared" si="16"/>
        <v>0.16772835180735521</v>
      </c>
      <c r="E61">
        <f t="shared" si="16"/>
        <v>0.38501467504500647</v>
      </c>
      <c r="F61">
        <f t="shared" si="16"/>
        <v>0.57715569823059676</v>
      </c>
      <c r="G61">
        <f t="shared" si="16"/>
        <v>1.827315435276583</v>
      </c>
      <c r="H61">
        <f>STDEV(H55:H59)/1000</f>
        <v>1.3563781920983367</v>
      </c>
      <c r="I61">
        <f>STDEV(I55:I59)/1000</f>
        <v>2.8730615203994501</v>
      </c>
      <c r="J61">
        <f>STDEV(J55:J59)/1000</f>
        <v>2.7503098370912253</v>
      </c>
      <c r="K61">
        <f t="shared" si="16"/>
        <v>45.01833892981837</v>
      </c>
    </row>
    <row r="62" spans="1:11">
      <c r="A62" t="s">
        <v>14</v>
      </c>
      <c r="B62">
        <f>CONFIDENCE(0.05,B61,5)/2</f>
        <v>5.7108655550325588E-3</v>
      </c>
      <c r="C62">
        <f t="shared" ref="C62:K62" si="17">CONFIDENCE(0.05,C61,5)/2</f>
        <v>1.3641124047300904E-2</v>
      </c>
      <c r="D62">
        <f t="shared" si="17"/>
        <v>7.3508840526452832E-2</v>
      </c>
      <c r="E62">
        <f t="shared" si="17"/>
        <v>0.16873702056485801</v>
      </c>
      <c r="F62">
        <f t="shared" si="17"/>
        <v>0.25294498946066679</v>
      </c>
      <c r="G62">
        <f t="shared" si="17"/>
        <v>0.80084158388171622</v>
      </c>
      <c r="H62">
        <f t="shared" si="17"/>
        <v>0.59444802946035225</v>
      </c>
      <c r="I62">
        <f t="shared" si="17"/>
        <v>1.2591515915466709</v>
      </c>
      <c r="J62">
        <f t="shared" si="17"/>
        <v>1.2053542828899824</v>
      </c>
      <c r="K62">
        <f t="shared" si="17"/>
        <v>19.72979440565101</v>
      </c>
    </row>
    <row r="64" spans="1:11">
      <c r="A64" t="s">
        <v>5</v>
      </c>
    </row>
    <row r="65" spans="1:11">
      <c r="A65" t="s">
        <v>6</v>
      </c>
      <c r="B65">
        <v>3728</v>
      </c>
      <c r="C65">
        <v>15585</v>
      </c>
      <c r="D65">
        <v>26629</v>
      </c>
      <c r="E65">
        <v>46841</v>
      </c>
      <c r="F65">
        <v>55178</v>
      </c>
      <c r="G65">
        <v>62885</v>
      </c>
      <c r="H65">
        <v>64273</v>
      </c>
      <c r="I65">
        <v>242271</v>
      </c>
      <c r="J65">
        <v>290835</v>
      </c>
      <c r="K65">
        <v>254837</v>
      </c>
    </row>
    <row r="66" spans="1:11">
      <c r="A66" t="s">
        <v>7</v>
      </c>
      <c r="B66">
        <v>3900</v>
      </c>
      <c r="C66">
        <v>16099</v>
      </c>
      <c r="D66">
        <v>28159</v>
      </c>
      <c r="E66">
        <v>56311</v>
      </c>
      <c r="F66">
        <v>54024</v>
      </c>
      <c r="G66">
        <v>73165</v>
      </c>
      <c r="H66">
        <v>77595</v>
      </c>
      <c r="I66">
        <v>222349</v>
      </c>
      <c r="J66">
        <v>314328</v>
      </c>
      <c r="K66">
        <v>540053</v>
      </c>
    </row>
    <row r="67" spans="1:11">
      <c r="A67" t="s">
        <v>8</v>
      </c>
      <c r="B67">
        <v>3901</v>
      </c>
      <c r="C67">
        <v>16131</v>
      </c>
      <c r="D67">
        <v>27690</v>
      </c>
      <c r="E67">
        <v>57194</v>
      </c>
      <c r="F67">
        <v>53150</v>
      </c>
      <c r="G67">
        <v>73009</v>
      </c>
      <c r="H67">
        <v>77533</v>
      </c>
      <c r="I67">
        <v>233894</v>
      </c>
      <c r="J67">
        <v>304579</v>
      </c>
      <c r="K67">
        <v>384035</v>
      </c>
    </row>
    <row r="68" spans="1:11">
      <c r="A68" t="s">
        <v>9</v>
      </c>
      <c r="B68">
        <v>3884</v>
      </c>
      <c r="C68">
        <v>16037</v>
      </c>
      <c r="D68">
        <v>28162</v>
      </c>
      <c r="E68">
        <v>46678</v>
      </c>
      <c r="F68">
        <v>52885</v>
      </c>
      <c r="G68">
        <v>72977</v>
      </c>
      <c r="H68">
        <v>77175</v>
      </c>
      <c r="I68">
        <v>252334</v>
      </c>
      <c r="J68">
        <v>296326</v>
      </c>
      <c r="K68">
        <v>246627</v>
      </c>
    </row>
    <row r="69" spans="1:11">
      <c r="A69" t="s">
        <v>10</v>
      </c>
      <c r="B69">
        <v>3900</v>
      </c>
      <c r="C69">
        <v>16115</v>
      </c>
      <c r="D69">
        <v>27398</v>
      </c>
      <c r="E69">
        <v>46677</v>
      </c>
      <c r="F69">
        <v>52775</v>
      </c>
      <c r="G69">
        <v>73368</v>
      </c>
      <c r="H69">
        <v>76254</v>
      </c>
      <c r="I69">
        <v>482811</v>
      </c>
      <c r="J69">
        <v>293112</v>
      </c>
      <c r="K69">
        <v>540053</v>
      </c>
    </row>
    <row r="70" spans="1:11">
      <c r="A70" t="s">
        <v>11</v>
      </c>
      <c r="B70">
        <f>(SUM(B65:B69) -MAX(B65:B69))/((COUNT(B65:B69)-1)*1000)</f>
        <v>3.8530000000000002</v>
      </c>
      <c r="C70">
        <f t="shared" ref="C70:K70" si="18">(SUM(C65:C69) -MAX(C65:C69))/((COUNT(C65:C69)-1)*1000)</f>
        <v>15.959</v>
      </c>
      <c r="D70">
        <f t="shared" si="18"/>
        <v>27.469000000000001</v>
      </c>
      <c r="E70">
        <f t="shared" si="18"/>
        <v>49.126750000000001</v>
      </c>
      <c r="F70">
        <f t="shared" si="18"/>
        <v>53.208500000000001</v>
      </c>
      <c r="G70">
        <f t="shared" si="18"/>
        <v>70.509</v>
      </c>
      <c r="H70">
        <f t="shared" si="18"/>
        <v>73.808750000000003</v>
      </c>
      <c r="I70">
        <f t="shared" si="18"/>
        <v>237.71199999999999</v>
      </c>
      <c r="J70">
        <f t="shared" si="18"/>
        <v>296.21300000000002</v>
      </c>
      <c r="K70">
        <f t="shared" si="18"/>
        <v>356.38799999999998</v>
      </c>
    </row>
    <row r="71" spans="1:11">
      <c r="A71" t="s">
        <v>13</v>
      </c>
      <c r="B71">
        <f t="shared" ref="B71:K71" si="19">STDEV(B65:B69)/1000</f>
        <v>7.5576451358877292E-2</v>
      </c>
      <c r="C71">
        <f t="shared" si="19"/>
        <v>0.23106449316156716</v>
      </c>
      <c r="D71">
        <f t="shared" si="19"/>
        <v>0.63635312523782916</v>
      </c>
      <c r="E71">
        <f t="shared" si="19"/>
        <v>5.4977306863832291</v>
      </c>
      <c r="F71">
        <f t="shared" si="19"/>
        <v>1.0079907241637647</v>
      </c>
      <c r="G71">
        <f t="shared" si="19"/>
        <v>4.5842076959928209</v>
      </c>
      <c r="H71">
        <f>STDEV(H65:H69)/1000</f>
        <v>5.7788408007142742</v>
      </c>
      <c r="I71">
        <f>STDEV(I65:I69)/1000</f>
        <v>110.16351721282322</v>
      </c>
      <c r="J71">
        <f>STDEV(J65:J69)/1000</f>
        <v>9.6315158464283286</v>
      </c>
      <c r="K71">
        <f t="shared" si="19"/>
        <v>144.77874268690138</v>
      </c>
    </row>
    <row r="72" spans="1:11">
      <c r="A72" t="s">
        <v>14</v>
      </c>
      <c r="B72">
        <f>CONFIDENCE(0.05,B71,5)/2</f>
        <v>3.312223157642278E-2</v>
      </c>
      <c r="C72">
        <f t="shared" ref="C72:K72" si="20">CONFIDENCE(0.05,C71,5)/2</f>
        <v>0.1012666182915085</v>
      </c>
      <c r="D72">
        <f t="shared" si="20"/>
        <v>0.27888892901865475</v>
      </c>
      <c r="E72">
        <f t="shared" si="20"/>
        <v>2.4094424343172305</v>
      </c>
      <c r="F72">
        <f t="shared" si="20"/>
        <v>0.44176329521082564</v>
      </c>
      <c r="G72">
        <f t="shared" si="20"/>
        <v>2.0090806881111725</v>
      </c>
      <c r="H72">
        <f t="shared" si="20"/>
        <v>2.5326421101148409</v>
      </c>
      <c r="I72">
        <f t="shared" si="20"/>
        <v>48.280402993117889</v>
      </c>
      <c r="J72">
        <f t="shared" si="20"/>
        <v>4.2211203696574815</v>
      </c>
      <c r="K72">
        <f t="shared" si="20"/>
        <v>63.450915680702977</v>
      </c>
    </row>
    <row r="74" spans="1:11">
      <c r="A74" s="1" t="s">
        <v>31</v>
      </c>
    </row>
    <row r="75" spans="1:11">
      <c r="A75" t="s">
        <v>25</v>
      </c>
    </row>
    <row r="76" spans="1:11">
      <c r="A76" t="s">
        <v>6</v>
      </c>
      <c r="B76">
        <v>7738</v>
      </c>
      <c r="C76">
        <v>26739</v>
      </c>
      <c r="D76">
        <v>46426</v>
      </c>
      <c r="E76">
        <v>78516</v>
      </c>
      <c r="F76">
        <v>92431</v>
      </c>
      <c r="G76">
        <v>94347</v>
      </c>
      <c r="H76">
        <v>316247</v>
      </c>
      <c r="I76">
        <v>434528</v>
      </c>
      <c r="J76">
        <v>395527</v>
      </c>
      <c r="K76">
        <v>774940</v>
      </c>
    </row>
    <row r="77" spans="1:11">
      <c r="A77" t="s">
        <v>7</v>
      </c>
      <c r="B77">
        <v>5772</v>
      </c>
      <c r="C77">
        <v>23541</v>
      </c>
      <c r="D77">
        <v>40155</v>
      </c>
      <c r="E77">
        <v>87346</v>
      </c>
      <c r="F77">
        <v>99109</v>
      </c>
      <c r="G77">
        <v>108043</v>
      </c>
      <c r="H77">
        <v>359803</v>
      </c>
      <c r="I77">
        <v>604789</v>
      </c>
      <c r="J77">
        <v>309461</v>
      </c>
      <c r="K77">
        <v>742242</v>
      </c>
    </row>
    <row r="78" spans="1:11">
      <c r="A78" t="s">
        <v>8</v>
      </c>
      <c r="B78">
        <v>5787</v>
      </c>
      <c r="C78">
        <v>23400</v>
      </c>
      <c r="D78">
        <v>39780</v>
      </c>
      <c r="E78">
        <v>84225</v>
      </c>
      <c r="F78">
        <v>100325</v>
      </c>
      <c r="G78">
        <v>113065</v>
      </c>
      <c r="H78">
        <v>357572</v>
      </c>
      <c r="I78">
        <v>262192</v>
      </c>
      <c r="J78">
        <v>201352</v>
      </c>
      <c r="K78">
        <v>535882</v>
      </c>
    </row>
    <row r="79" spans="1:11">
      <c r="A79" t="s">
        <v>9</v>
      </c>
      <c r="B79">
        <v>5773</v>
      </c>
      <c r="C79">
        <v>23447</v>
      </c>
      <c r="D79">
        <v>39812</v>
      </c>
      <c r="E79">
        <v>84069</v>
      </c>
      <c r="F79">
        <v>101339</v>
      </c>
      <c r="G79">
        <v>105586</v>
      </c>
      <c r="H79">
        <v>193802</v>
      </c>
      <c r="I79">
        <v>250804</v>
      </c>
      <c r="J79">
        <v>187811</v>
      </c>
      <c r="K79">
        <v>511843</v>
      </c>
    </row>
    <row r="80" spans="1:11">
      <c r="A80" t="s">
        <v>10</v>
      </c>
      <c r="B80">
        <v>5772</v>
      </c>
      <c r="C80">
        <v>23415</v>
      </c>
      <c r="D80">
        <v>39734</v>
      </c>
      <c r="E80">
        <v>82915</v>
      </c>
      <c r="F80">
        <v>88063</v>
      </c>
      <c r="G80">
        <v>80762</v>
      </c>
      <c r="H80">
        <v>193802</v>
      </c>
      <c r="I80">
        <v>251725</v>
      </c>
      <c r="J80">
        <v>191103</v>
      </c>
      <c r="K80">
        <v>493731</v>
      </c>
    </row>
    <row r="81" spans="1:11">
      <c r="A81" t="s">
        <v>11</v>
      </c>
      <c r="B81">
        <f>(SUM(B76:B80) -MAX(B76:B80))/((COUNT(B76:B80)-1)*1000)</f>
        <v>5.7759999999999998</v>
      </c>
      <c r="C81">
        <f t="shared" ref="C81:K81" si="21">(SUM(C76:C80) -MAX(C76:C80))/((COUNT(C76:C80)-1)*1000)</f>
        <v>23.450749999999999</v>
      </c>
      <c r="D81">
        <f t="shared" si="21"/>
        <v>39.870249999999999</v>
      </c>
      <c r="E81">
        <f t="shared" si="21"/>
        <v>82.431250000000006</v>
      </c>
      <c r="F81">
        <f t="shared" si="21"/>
        <v>94.981999999999999</v>
      </c>
      <c r="G81">
        <f t="shared" si="21"/>
        <v>97.1845</v>
      </c>
      <c r="H81">
        <f t="shared" si="21"/>
        <v>265.35575</v>
      </c>
      <c r="I81">
        <f t="shared" si="21"/>
        <v>299.81225000000001</v>
      </c>
      <c r="J81">
        <f t="shared" si="21"/>
        <v>222.43174999999999</v>
      </c>
      <c r="K81">
        <f t="shared" si="21"/>
        <v>570.92449999999997</v>
      </c>
    </row>
    <row r="82" spans="1:11">
      <c r="A82" t="s">
        <v>13</v>
      </c>
      <c r="B82">
        <f>STDEV(B76:B80)/1000</f>
        <v>0.87745615275066424</v>
      </c>
      <c r="C82">
        <f t="shared" ref="C82:K82" si="22">STDEV(C76:C80)/1000</f>
        <v>1.4715708613586884</v>
      </c>
      <c r="D82">
        <f t="shared" si="22"/>
        <v>2.9365571337877885</v>
      </c>
      <c r="E82">
        <f t="shared" si="22"/>
        <v>3.1932262212378197</v>
      </c>
      <c r="F82">
        <f t="shared" si="22"/>
        <v>5.7508499197943985</v>
      </c>
      <c r="G82">
        <f t="shared" si="22"/>
        <v>12.922793440274408</v>
      </c>
      <c r="H82">
        <f>STDEV(H76:H80)/1000</f>
        <v>84.365070963639909</v>
      </c>
      <c r="I82">
        <f>STDEV(I76:I80)/1000</f>
        <v>157.0720082646809</v>
      </c>
      <c r="J82">
        <f>STDEV(J76:J80)/1000</f>
        <v>92.423083670693416</v>
      </c>
      <c r="K82">
        <f t="shared" si="22"/>
        <v>135.39293010456635</v>
      </c>
    </row>
    <row r="83" spans="1:11">
      <c r="A83" t="s">
        <v>14</v>
      </c>
      <c r="B83">
        <f>CONFIDENCE(0.05,B82,5)/2</f>
        <v>0.38455504812678259</v>
      </c>
      <c r="C83">
        <f t="shared" ref="C83:K83" si="23">CONFIDENCE(0.05,C82,5)/2</f>
        <v>0.64493251501829296</v>
      </c>
      <c r="D83">
        <f t="shared" si="23"/>
        <v>1.2869792597279783</v>
      </c>
      <c r="E83">
        <f t="shared" si="23"/>
        <v>1.3994673800375654</v>
      </c>
      <c r="F83">
        <f t="shared" si="23"/>
        <v>2.5203747910864078</v>
      </c>
      <c r="G83">
        <f t="shared" si="23"/>
        <v>5.6635598688078526</v>
      </c>
      <c r="H83">
        <f t="shared" si="23"/>
        <v>36.97394316848662</v>
      </c>
      <c r="I83">
        <f t="shared" si="23"/>
        <v>68.838577868811953</v>
      </c>
      <c r="J83">
        <f t="shared" si="23"/>
        <v>40.505458053479074</v>
      </c>
      <c r="K83">
        <f t="shared" si="23"/>
        <v>59.33747753568101</v>
      </c>
    </row>
    <row r="85" spans="1:11">
      <c r="A85" t="s">
        <v>26</v>
      </c>
    </row>
    <row r="86" spans="1:11">
      <c r="A86" t="s">
        <v>6</v>
      </c>
      <c r="B86">
        <v>5273</v>
      </c>
      <c r="C86">
        <v>21263</v>
      </c>
      <c r="D86">
        <v>36201</v>
      </c>
      <c r="E86">
        <v>76269</v>
      </c>
      <c r="F86">
        <v>81683</v>
      </c>
      <c r="G86">
        <v>71371</v>
      </c>
      <c r="H86">
        <v>89779</v>
      </c>
      <c r="I86">
        <v>225018</v>
      </c>
      <c r="J86">
        <v>174879</v>
      </c>
      <c r="K86">
        <v>434450</v>
      </c>
    </row>
    <row r="87" spans="1:11">
      <c r="A87" t="s">
        <v>7</v>
      </c>
      <c r="B87">
        <v>5258</v>
      </c>
      <c r="C87">
        <v>21559</v>
      </c>
      <c r="D87">
        <v>36311</v>
      </c>
      <c r="E87">
        <v>60981</v>
      </c>
      <c r="F87">
        <v>69654</v>
      </c>
      <c r="G87">
        <v>71980</v>
      </c>
      <c r="H87">
        <v>71901</v>
      </c>
      <c r="I87">
        <v>224830</v>
      </c>
      <c r="J87">
        <v>175689</v>
      </c>
      <c r="K87">
        <v>401045</v>
      </c>
    </row>
    <row r="88" spans="1:11">
      <c r="A88" t="s">
        <v>8</v>
      </c>
      <c r="B88">
        <v>5335</v>
      </c>
      <c r="C88">
        <v>21294</v>
      </c>
      <c r="D88">
        <v>36264</v>
      </c>
      <c r="E88">
        <v>61043</v>
      </c>
      <c r="F88">
        <v>69000</v>
      </c>
      <c r="G88">
        <v>72073</v>
      </c>
      <c r="H88">
        <v>71652</v>
      </c>
      <c r="I88">
        <v>233394</v>
      </c>
      <c r="J88">
        <v>169418</v>
      </c>
      <c r="K88">
        <v>425330</v>
      </c>
    </row>
    <row r="89" spans="1:11">
      <c r="A89" t="s">
        <v>9</v>
      </c>
      <c r="B89">
        <v>5319</v>
      </c>
      <c r="C89">
        <v>21310</v>
      </c>
      <c r="D89">
        <v>36295</v>
      </c>
      <c r="E89">
        <v>61215</v>
      </c>
      <c r="F89">
        <v>68984</v>
      </c>
      <c r="G89">
        <v>72042</v>
      </c>
      <c r="H89">
        <v>75911</v>
      </c>
      <c r="I89">
        <v>277512</v>
      </c>
      <c r="J89">
        <v>169543</v>
      </c>
      <c r="K89">
        <v>892478</v>
      </c>
    </row>
    <row r="90" spans="1:11">
      <c r="A90" t="s">
        <v>10</v>
      </c>
      <c r="B90">
        <v>5304</v>
      </c>
      <c r="C90">
        <v>21310</v>
      </c>
      <c r="D90">
        <v>36264</v>
      </c>
      <c r="E90">
        <v>61247</v>
      </c>
      <c r="F90">
        <v>68984</v>
      </c>
      <c r="G90">
        <v>71292</v>
      </c>
      <c r="H90">
        <v>74397</v>
      </c>
      <c r="I90">
        <v>238012</v>
      </c>
      <c r="J90">
        <v>168093</v>
      </c>
      <c r="K90">
        <v>580109</v>
      </c>
    </row>
    <row r="91" spans="1:11">
      <c r="A91" t="s">
        <v>11</v>
      </c>
      <c r="B91">
        <f>(SUM(B86:B90) -MAX(B86:B90))/((COUNT(B86:B90)-1)*1000)</f>
        <v>5.2885</v>
      </c>
      <c r="C91">
        <f t="shared" ref="C91:K91" si="24">(SUM(C86:C90) -MAX(C86:C90))/((COUNT(C86:C90)-1)*1000)</f>
        <v>21.294250000000002</v>
      </c>
      <c r="D91">
        <f t="shared" si="24"/>
        <v>36.256</v>
      </c>
      <c r="E91">
        <f t="shared" si="24"/>
        <v>61.121499999999997</v>
      </c>
      <c r="F91">
        <f t="shared" si="24"/>
        <v>69.155500000000004</v>
      </c>
      <c r="G91">
        <f t="shared" si="24"/>
        <v>71.671250000000001</v>
      </c>
      <c r="H91">
        <f t="shared" si="24"/>
        <v>73.465249999999997</v>
      </c>
      <c r="I91">
        <f t="shared" si="24"/>
        <v>230.3135</v>
      </c>
      <c r="J91">
        <f t="shared" si="24"/>
        <v>170.48325</v>
      </c>
      <c r="K91">
        <f t="shared" si="24"/>
        <v>460.23349999999999</v>
      </c>
    </row>
    <row r="92" spans="1:11">
      <c r="A92" t="s">
        <v>13</v>
      </c>
      <c r="B92">
        <f>STDEV(B86:B90)/1000</f>
        <v>3.1901410627164756E-2</v>
      </c>
      <c r="C92">
        <f t="shared" ref="C92:K92" si="25">STDEV(C86:C90)/1000</f>
        <v>0.11994457053175722</v>
      </c>
      <c r="D92">
        <f t="shared" si="25"/>
        <v>4.2112943378491134E-2</v>
      </c>
      <c r="E92">
        <f t="shared" si="25"/>
        <v>6.7750977852721794</v>
      </c>
      <c r="F92">
        <f t="shared" si="25"/>
        <v>5.6098598912985347</v>
      </c>
      <c r="G92">
        <f t="shared" si="25"/>
        <v>0.38596800385548896</v>
      </c>
      <c r="H92">
        <f>STDEV(H86:H90)/1000</f>
        <v>7.5082513942994744</v>
      </c>
      <c r="I92">
        <f>STDEV(I86:I90)/1000</f>
        <v>21.846202168798055</v>
      </c>
      <c r="J92">
        <f>STDEV(J86:J90)/1000</f>
        <v>3.4905088167777274</v>
      </c>
      <c r="K92">
        <f t="shared" si="25"/>
        <v>205.68465149422303</v>
      </c>
    </row>
    <row r="93" spans="1:11">
      <c r="A93" t="s">
        <v>14</v>
      </c>
      <c r="B93">
        <f>CONFIDENCE(0.05,B92,5)/2</f>
        <v>1.3981152745449605E-2</v>
      </c>
      <c r="C93">
        <f t="shared" ref="C93:K93" si="26">CONFIDENCE(0.05,C92,5)/2</f>
        <v>5.2567059845431405E-2</v>
      </c>
      <c r="D93">
        <f t="shared" si="26"/>
        <v>1.8456472060636386E-2</v>
      </c>
      <c r="E93">
        <f t="shared" si="26"/>
        <v>2.9692629617007706</v>
      </c>
      <c r="F93">
        <f t="shared" si="26"/>
        <v>2.4585843220998287</v>
      </c>
      <c r="G93">
        <f t="shared" si="26"/>
        <v>0.16915482766034248</v>
      </c>
      <c r="H93">
        <f t="shared" si="26"/>
        <v>3.2905757937095181</v>
      </c>
      <c r="I93">
        <f t="shared" si="26"/>
        <v>9.574344313472249</v>
      </c>
      <c r="J93">
        <f t="shared" si="26"/>
        <v>1.5297548279934856</v>
      </c>
      <c r="K93">
        <f t="shared" si="26"/>
        <v>90.143616642662565</v>
      </c>
    </row>
    <row r="95" spans="1:11">
      <c r="A95" t="s">
        <v>27</v>
      </c>
    </row>
    <row r="96" spans="1:11">
      <c r="A96" t="s">
        <v>6</v>
      </c>
      <c r="B96">
        <v>3136</v>
      </c>
      <c r="C96">
        <v>12168</v>
      </c>
      <c r="D96">
        <v>20800</v>
      </c>
      <c r="E96">
        <v>34383</v>
      </c>
      <c r="F96">
        <v>39281</v>
      </c>
      <c r="G96">
        <v>41029</v>
      </c>
      <c r="H96">
        <v>40998</v>
      </c>
      <c r="I96">
        <v>126689</v>
      </c>
      <c r="J96">
        <v>96081</v>
      </c>
      <c r="K96">
        <v>179215</v>
      </c>
    </row>
    <row r="97" spans="1:11">
      <c r="A97" t="s">
        <v>7</v>
      </c>
      <c r="B97">
        <v>3151</v>
      </c>
      <c r="C97">
        <v>12215</v>
      </c>
      <c r="D97">
        <v>20846</v>
      </c>
      <c r="E97">
        <v>34352</v>
      </c>
      <c r="F97">
        <v>39375</v>
      </c>
      <c r="G97">
        <v>40950</v>
      </c>
      <c r="H97">
        <v>49062</v>
      </c>
      <c r="I97">
        <v>107704</v>
      </c>
      <c r="J97">
        <v>78126</v>
      </c>
      <c r="K97">
        <v>170245</v>
      </c>
    </row>
    <row r="98" spans="1:11">
      <c r="A98" t="s">
        <v>8</v>
      </c>
      <c r="B98">
        <v>3166</v>
      </c>
      <c r="C98">
        <v>12183</v>
      </c>
      <c r="D98">
        <v>20781</v>
      </c>
      <c r="E98">
        <v>34398</v>
      </c>
      <c r="F98">
        <v>39344</v>
      </c>
      <c r="G98">
        <v>40966</v>
      </c>
      <c r="H98">
        <v>41029</v>
      </c>
      <c r="I98">
        <v>107423</v>
      </c>
      <c r="J98">
        <v>77767</v>
      </c>
      <c r="K98">
        <v>170308</v>
      </c>
    </row>
    <row r="99" spans="1:11">
      <c r="A99" t="s">
        <v>9</v>
      </c>
      <c r="B99">
        <v>3151</v>
      </c>
      <c r="C99">
        <v>12199</v>
      </c>
      <c r="D99">
        <v>20782</v>
      </c>
      <c r="E99">
        <v>34430</v>
      </c>
      <c r="F99">
        <v>39281</v>
      </c>
      <c r="G99">
        <v>51434</v>
      </c>
      <c r="H99">
        <v>41387</v>
      </c>
      <c r="I99">
        <v>106690</v>
      </c>
      <c r="J99">
        <v>78157</v>
      </c>
      <c r="K99">
        <v>171072</v>
      </c>
    </row>
    <row r="100" spans="1:11">
      <c r="A100" t="s">
        <v>10</v>
      </c>
      <c r="B100">
        <v>3307</v>
      </c>
      <c r="C100">
        <v>12168</v>
      </c>
      <c r="D100">
        <v>20766</v>
      </c>
      <c r="E100">
        <v>34570</v>
      </c>
      <c r="F100">
        <v>39313</v>
      </c>
      <c r="G100">
        <v>40467</v>
      </c>
      <c r="H100">
        <v>41216</v>
      </c>
      <c r="I100">
        <v>107782</v>
      </c>
      <c r="J100">
        <v>78016</v>
      </c>
      <c r="K100">
        <v>174192</v>
      </c>
    </row>
    <row r="101" spans="1:11">
      <c r="A101" t="s">
        <v>11</v>
      </c>
      <c r="B101">
        <f>(SUM(B96:B100) -MAX(B96:B100))/((COUNT(B96:B100)-1)*1000)</f>
        <v>3.1509999999999998</v>
      </c>
      <c r="C101">
        <f t="shared" ref="C101:K101" si="27">(SUM(C96:C100) -MAX(C96:C100))/((COUNT(C96:C100)-1)*1000)</f>
        <v>12.179500000000001</v>
      </c>
      <c r="D101">
        <f t="shared" si="27"/>
        <v>20.782250000000001</v>
      </c>
      <c r="E101">
        <f t="shared" si="27"/>
        <v>34.390749999999997</v>
      </c>
      <c r="F101">
        <f t="shared" si="27"/>
        <v>39.304749999999999</v>
      </c>
      <c r="G101">
        <f t="shared" si="27"/>
        <v>40.853000000000002</v>
      </c>
      <c r="H101">
        <f t="shared" si="27"/>
        <v>41.157499999999999</v>
      </c>
      <c r="I101">
        <f t="shared" si="27"/>
        <v>107.39975</v>
      </c>
      <c r="J101">
        <f t="shared" si="27"/>
        <v>78.016499999999994</v>
      </c>
      <c r="K101">
        <f t="shared" si="27"/>
        <v>171.45425</v>
      </c>
    </row>
    <row r="102" spans="1:11">
      <c r="A102" t="s">
        <v>13</v>
      </c>
      <c r="B102">
        <f>STDEV(B96:B100)/1000</f>
        <v>7.0566989449736731E-2</v>
      </c>
      <c r="C102">
        <f t="shared" ref="C102:K102" si="28">STDEV(C96:C100)/1000</f>
        <v>2.0403431084303467E-2</v>
      </c>
      <c r="D102">
        <f t="shared" si="28"/>
        <v>3.0951575081084322E-2</v>
      </c>
      <c r="E102">
        <f t="shared" si="28"/>
        <v>8.4939978808287422E-2</v>
      </c>
      <c r="F102">
        <f t="shared" si="28"/>
        <v>4.0880313110930107E-2</v>
      </c>
      <c r="G102">
        <f t="shared" si="28"/>
        <v>4.7373040539952482</v>
      </c>
      <c r="H102">
        <f>STDEV(H96:H100)/1000</f>
        <v>3.538465105098564</v>
      </c>
      <c r="I102">
        <f>STDEV(I96:I100)/1000</f>
        <v>8.6371740343702257</v>
      </c>
      <c r="J102">
        <f>STDEV(J96:J100)/1000</f>
        <v>8.080144014805688</v>
      </c>
      <c r="K102">
        <f t="shared" si="28"/>
        <v>3.8275631020275878</v>
      </c>
    </row>
    <row r="103" spans="1:11">
      <c r="A103" t="s">
        <v>14</v>
      </c>
      <c r="B103">
        <f>CONFIDENCE(0.05,B102,5)/2</f>
        <v>3.0926778436662035E-2</v>
      </c>
      <c r="C103">
        <f t="shared" ref="C103:K103" si="29">CONFIDENCE(0.05,C102,5)/2</f>
        <v>8.9420336252464348E-3</v>
      </c>
      <c r="D103">
        <f t="shared" si="29"/>
        <v>1.3564876612459422E-2</v>
      </c>
      <c r="E103">
        <f t="shared" si="29"/>
        <v>3.7225903010780541E-2</v>
      </c>
      <c r="F103">
        <f t="shared" si="29"/>
        <v>1.7916257953779297E-2</v>
      </c>
      <c r="G103">
        <f t="shared" si="29"/>
        <v>2.0761768924458268</v>
      </c>
      <c r="H103">
        <f t="shared" si="29"/>
        <v>1.5507722118312868</v>
      </c>
      <c r="I103">
        <f t="shared" si="29"/>
        <v>3.7853388640041361</v>
      </c>
      <c r="J103">
        <f t="shared" si="29"/>
        <v>3.5412141800410706</v>
      </c>
      <c r="K103">
        <f t="shared" si="29"/>
        <v>1.6774726672032012</v>
      </c>
    </row>
    <row r="105" spans="1:11">
      <c r="A105" t="s">
        <v>28</v>
      </c>
    </row>
    <row r="106" spans="1:11">
      <c r="A106" t="s">
        <v>6</v>
      </c>
      <c r="B106">
        <v>5865</v>
      </c>
      <c r="C106">
        <v>24133</v>
      </c>
      <c r="D106">
        <v>40797</v>
      </c>
      <c r="E106">
        <v>84990</v>
      </c>
      <c r="F106">
        <v>79717</v>
      </c>
      <c r="G106">
        <v>102914</v>
      </c>
      <c r="H106">
        <v>95130</v>
      </c>
      <c r="I106">
        <v>249713</v>
      </c>
      <c r="J106">
        <v>222193</v>
      </c>
      <c r="K106">
        <v>702493</v>
      </c>
    </row>
    <row r="107" spans="1:11">
      <c r="A107" t="s">
        <v>7</v>
      </c>
      <c r="B107">
        <v>5866</v>
      </c>
      <c r="C107">
        <v>24118</v>
      </c>
      <c r="D107">
        <v>40936</v>
      </c>
      <c r="E107">
        <v>83492</v>
      </c>
      <c r="F107">
        <v>77689</v>
      </c>
      <c r="G107">
        <v>90029</v>
      </c>
      <c r="H107">
        <v>82259</v>
      </c>
      <c r="I107">
        <v>261163</v>
      </c>
      <c r="J107">
        <v>219432</v>
      </c>
      <c r="K107">
        <v>678359</v>
      </c>
    </row>
    <row r="108" spans="1:11">
      <c r="A108" t="s">
        <v>8</v>
      </c>
      <c r="B108">
        <v>5866</v>
      </c>
      <c r="C108">
        <v>24243</v>
      </c>
      <c r="D108">
        <v>40749</v>
      </c>
      <c r="E108">
        <v>82868</v>
      </c>
      <c r="F108">
        <v>77705</v>
      </c>
      <c r="G108">
        <v>80216</v>
      </c>
      <c r="H108">
        <v>80544</v>
      </c>
      <c r="I108">
        <v>493185</v>
      </c>
      <c r="J108">
        <v>208278</v>
      </c>
      <c r="K108">
        <v>629515</v>
      </c>
    </row>
    <row r="109" spans="1:11">
      <c r="A109" t="s">
        <v>9</v>
      </c>
      <c r="B109">
        <v>5850</v>
      </c>
      <c r="C109">
        <v>24102</v>
      </c>
      <c r="D109">
        <v>41044</v>
      </c>
      <c r="E109">
        <v>76113</v>
      </c>
      <c r="F109">
        <v>77767</v>
      </c>
      <c r="G109">
        <v>80466</v>
      </c>
      <c r="H109">
        <v>82869</v>
      </c>
      <c r="I109">
        <v>258729</v>
      </c>
      <c r="J109">
        <v>531436</v>
      </c>
      <c r="K109">
        <v>1005636</v>
      </c>
    </row>
    <row r="110" spans="1:11">
      <c r="A110" t="s">
        <v>10</v>
      </c>
      <c r="B110">
        <v>5850</v>
      </c>
      <c r="C110">
        <v>24118</v>
      </c>
      <c r="D110">
        <v>40982</v>
      </c>
      <c r="E110">
        <v>70294</v>
      </c>
      <c r="F110">
        <v>78656</v>
      </c>
      <c r="G110">
        <v>79436</v>
      </c>
      <c r="H110">
        <v>80715</v>
      </c>
      <c r="I110">
        <v>264439</v>
      </c>
      <c r="J110">
        <v>523200</v>
      </c>
      <c r="K110">
        <v>882083</v>
      </c>
    </row>
    <row r="111" spans="1:11">
      <c r="A111" t="s">
        <v>11</v>
      </c>
      <c r="B111">
        <f>(SUM(B106:B110) -MAX(B106:B110))/((COUNT(B106:B110)-1)*1000)</f>
        <v>5.8577500000000002</v>
      </c>
      <c r="C111">
        <f t="shared" ref="C111:K111" si="30">(SUM(C106:C110) -MAX(C106:C110))/((COUNT(C106:C110)-1)*1000)</f>
        <v>24.117750000000001</v>
      </c>
      <c r="D111">
        <f t="shared" si="30"/>
        <v>40.866</v>
      </c>
      <c r="E111">
        <f t="shared" si="30"/>
        <v>78.191749999999999</v>
      </c>
      <c r="F111">
        <f t="shared" si="30"/>
        <v>77.954250000000002</v>
      </c>
      <c r="G111">
        <f t="shared" si="30"/>
        <v>82.536749999999998</v>
      </c>
      <c r="H111">
        <f t="shared" si="30"/>
        <v>81.59675</v>
      </c>
      <c r="I111">
        <f t="shared" si="30"/>
        <v>258.51100000000002</v>
      </c>
      <c r="J111">
        <f t="shared" si="30"/>
        <v>293.27575000000002</v>
      </c>
      <c r="K111">
        <f t="shared" si="30"/>
        <v>723.11249999999995</v>
      </c>
    </row>
    <row r="112" spans="1:11">
      <c r="A112" t="s">
        <v>13</v>
      </c>
      <c r="B112">
        <f>STDEV(B106:B110)/1000</f>
        <v>8.5906926377923541E-3</v>
      </c>
      <c r="C112">
        <f t="shared" ref="C112:K112" si="31">STDEV(C106:C110)/1000</f>
        <v>5.7076264769584252E-2</v>
      </c>
      <c r="D112">
        <f t="shared" si="31"/>
        <v>0.12465271757949088</v>
      </c>
      <c r="E112">
        <f t="shared" si="31"/>
        <v>6.1973499013691482</v>
      </c>
      <c r="F112">
        <f t="shared" si="31"/>
        <v>0.88682422159062013</v>
      </c>
      <c r="G112">
        <f t="shared" si="31"/>
        <v>10.094654535941325</v>
      </c>
      <c r="H112">
        <f>STDEV(H106:H110)/1000</f>
        <v>6.1331485633399776</v>
      </c>
      <c r="I112">
        <f>STDEV(I106:I110)/1000</f>
        <v>105.09178801980674</v>
      </c>
      <c r="J112">
        <f>STDEV(J106:J110)/1000</f>
        <v>170.27307387605362</v>
      </c>
      <c r="K112">
        <f t="shared" si="31"/>
        <v>158.36332740000114</v>
      </c>
    </row>
    <row r="113" spans="1:11">
      <c r="A113" t="s">
        <v>14</v>
      </c>
      <c r="B113">
        <f>CONFIDENCE(0.05,B112,5)/2</f>
        <v>3.7649678680951445E-3</v>
      </c>
      <c r="C113">
        <f t="shared" ref="C113:K113" si="32">CONFIDENCE(0.05,C112,5)/2</f>
        <v>2.5014316301228811E-2</v>
      </c>
      <c r="D113">
        <f t="shared" si="32"/>
        <v>5.4630458351275224E-2</v>
      </c>
      <c r="E113">
        <f t="shared" si="32"/>
        <v>2.7160584401950563</v>
      </c>
      <c r="F113">
        <f t="shared" si="32"/>
        <v>0.38866070987672979</v>
      </c>
      <c r="G113">
        <f t="shared" si="32"/>
        <v>4.4240961200431013</v>
      </c>
      <c r="H113">
        <f t="shared" si="32"/>
        <v>2.6879214802361839</v>
      </c>
      <c r="I113">
        <f t="shared" si="32"/>
        <v>46.057660514428278</v>
      </c>
      <c r="J113">
        <f t="shared" si="32"/>
        <v>74.62409365281124</v>
      </c>
      <c r="K113">
        <f t="shared" si="32"/>
        <v>69.404513033404982</v>
      </c>
    </row>
    <row r="115" spans="1:11">
      <c r="A115" t="s">
        <v>29</v>
      </c>
    </row>
    <row r="116" spans="1:11">
      <c r="A116" t="s">
        <v>6</v>
      </c>
      <c r="B116">
        <v>6287</v>
      </c>
      <c r="C116">
        <v>26021</v>
      </c>
      <c r="D116">
        <v>44259</v>
      </c>
      <c r="E116">
        <v>75910</v>
      </c>
      <c r="F116">
        <v>86456</v>
      </c>
      <c r="G116">
        <v>85583</v>
      </c>
      <c r="H116">
        <v>110621</v>
      </c>
      <c r="I116">
        <v>289524</v>
      </c>
      <c r="J116">
        <v>283128</v>
      </c>
      <c r="K116">
        <v>795017</v>
      </c>
    </row>
    <row r="117" spans="1:11">
      <c r="A117" t="s">
        <v>7</v>
      </c>
      <c r="B117">
        <v>6365</v>
      </c>
      <c r="C117">
        <v>26286</v>
      </c>
      <c r="D117">
        <v>44913</v>
      </c>
      <c r="E117">
        <v>76597</v>
      </c>
      <c r="F117">
        <v>84834</v>
      </c>
      <c r="G117">
        <v>86409</v>
      </c>
      <c r="H117">
        <v>94178</v>
      </c>
      <c r="I117">
        <v>288385</v>
      </c>
      <c r="J117">
        <v>233972</v>
      </c>
      <c r="K117">
        <v>836062</v>
      </c>
    </row>
    <row r="118" spans="1:11">
      <c r="A118" t="s">
        <v>8</v>
      </c>
      <c r="B118">
        <v>6365</v>
      </c>
      <c r="C118">
        <v>26270</v>
      </c>
      <c r="D118">
        <v>44976</v>
      </c>
      <c r="E118">
        <v>74865</v>
      </c>
      <c r="F118">
        <v>84771</v>
      </c>
      <c r="G118">
        <v>102634</v>
      </c>
      <c r="H118">
        <v>88563</v>
      </c>
      <c r="I118">
        <v>295748</v>
      </c>
      <c r="J118">
        <v>231180</v>
      </c>
      <c r="K118">
        <v>828199</v>
      </c>
    </row>
    <row r="119" spans="1:11">
      <c r="A119" t="s">
        <v>9</v>
      </c>
      <c r="B119">
        <v>6365</v>
      </c>
      <c r="C119">
        <v>26302</v>
      </c>
      <c r="D119">
        <v>45100</v>
      </c>
      <c r="E119">
        <v>74772</v>
      </c>
      <c r="F119">
        <v>84818</v>
      </c>
      <c r="G119">
        <v>108266</v>
      </c>
      <c r="H119">
        <v>105583</v>
      </c>
      <c r="I119">
        <v>298089</v>
      </c>
      <c r="J119">
        <v>229463</v>
      </c>
      <c r="K119">
        <v>877777</v>
      </c>
    </row>
    <row r="120" spans="1:11">
      <c r="A120" t="s">
        <v>10</v>
      </c>
      <c r="B120">
        <v>6381</v>
      </c>
      <c r="C120">
        <v>26333</v>
      </c>
      <c r="D120">
        <v>45115</v>
      </c>
      <c r="E120">
        <v>74787</v>
      </c>
      <c r="F120">
        <v>106128</v>
      </c>
      <c r="G120">
        <v>95161</v>
      </c>
      <c r="H120">
        <v>90341</v>
      </c>
      <c r="I120">
        <v>291054</v>
      </c>
      <c r="J120">
        <v>229650</v>
      </c>
      <c r="K120">
        <v>1113714</v>
      </c>
    </row>
    <row r="121" spans="1:11">
      <c r="A121" t="s">
        <v>11</v>
      </c>
      <c r="B121">
        <f>(SUM(B116:B120) -MAX(B116:B120))/((COUNT(B116:B120)-1)*1000)</f>
        <v>6.3455000000000004</v>
      </c>
      <c r="C121">
        <f t="shared" ref="C121:K121" si="33">(SUM(C116:C120) -MAX(C116:C120))/((COUNT(C116:C120)-1)*1000)</f>
        <v>26.219750000000001</v>
      </c>
      <c r="D121">
        <f t="shared" si="33"/>
        <v>44.811999999999998</v>
      </c>
      <c r="E121">
        <f t="shared" si="33"/>
        <v>75.083500000000001</v>
      </c>
      <c r="F121">
        <f t="shared" si="33"/>
        <v>85.219750000000005</v>
      </c>
      <c r="G121">
        <f t="shared" si="33"/>
        <v>92.446749999999994</v>
      </c>
      <c r="H121">
        <f t="shared" si="33"/>
        <v>94.666250000000005</v>
      </c>
      <c r="I121">
        <f t="shared" si="33"/>
        <v>291.17775</v>
      </c>
      <c r="J121">
        <f t="shared" si="33"/>
        <v>231.06625</v>
      </c>
      <c r="K121">
        <f t="shared" si="33"/>
        <v>834.26374999999996</v>
      </c>
    </row>
    <row r="122" spans="1:11">
      <c r="A122" t="s">
        <v>13</v>
      </c>
      <c r="B122">
        <f>STDEV(B116:B120)/1000</f>
        <v>3.7320235797714617E-2</v>
      </c>
      <c r="C122">
        <f t="shared" ref="C122:K122" si="34">STDEV(C116:C120)/1000</f>
        <v>0.12593768300215913</v>
      </c>
      <c r="D122">
        <f t="shared" si="34"/>
        <v>0.35330482589428458</v>
      </c>
      <c r="E122">
        <f t="shared" si="34"/>
        <v>0.8289051212290881</v>
      </c>
      <c r="F122">
        <f t="shared" si="34"/>
        <v>9.3776840317852059</v>
      </c>
      <c r="G122">
        <f t="shared" si="34"/>
        <v>9.9361919415840205</v>
      </c>
      <c r="H122">
        <f>STDEV(H116:H120)/1000</f>
        <v>9.7341474305663134</v>
      </c>
      <c r="I122">
        <f>STDEV(I116:I120)/1000</f>
        <v>4.172803074672947</v>
      </c>
      <c r="J122">
        <f>STDEV(J116:J120)/1000</f>
        <v>23.352586297881505</v>
      </c>
      <c r="K122">
        <f t="shared" si="34"/>
        <v>128.40140087514604</v>
      </c>
    </row>
    <row r="123" spans="1:11">
      <c r="A123" t="s">
        <v>14</v>
      </c>
      <c r="B123">
        <f>CONFIDENCE(0.05,B122,5)/2</f>
        <v>1.6356013948164948E-2</v>
      </c>
      <c r="C123">
        <f t="shared" ref="C123:K123" si="35">CONFIDENCE(0.05,C122,5)/2</f>
        <v>5.5193608929690344E-2</v>
      </c>
      <c r="D123">
        <f t="shared" si="35"/>
        <v>0.15483982179541256</v>
      </c>
      <c r="E123">
        <f t="shared" si="35"/>
        <v>0.36327701137832979</v>
      </c>
      <c r="F123">
        <f t="shared" si="35"/>
        <v>4.1098757161324047</v>
      </c>
      <c r="G123">
        <f t="shared" si="35"/>
        <v>4.3546481021468901</v>
      </c>
      <c r="H123">
        <f t="shared" si="35"/>
        <v>4.2660998180934939</v>
      </c>
      <c r="I123">
        <f t="shared" si="35"/>
        <v>1.8287779761690512</v>
      </c>
      <c r="J123">
        <f t="shared" si="35"/>
        <v>10.234534135426482</v>
      </c>
      <c r="K123">
        <f t="shared" si="35"/>
        <v>56.273361054337549</v>
      </c>
    </row>
    <row r="125" spans="1:11">
      <c r="A125" t="s">
        <v>30</v>
      </c>
    </row>
    <row r="126" spans="1:11">
      <c r="A126" t="s">
        <v>6</v>
      </c>
      <c r="B126">
        <v>8206</v>
      </c>
      <c r="C126">
        <v>34633</v>
      </c>
      <c r="D126">
        <v>63851</v>
      </c>
      <c r="E126">
        <v>108313</v>
      </c>
      <c r="F126">
        <v>143912</v>
      </c>
      <c r="G126">
        <v>135285</v>
      </c>
      <c r="H126">
        <v>156111</v>
      </c>
      <c r="I126">
        <v>801626</v>
      </c>
      <c r="J126">
        <v>485759</v>
      </c>
      <c r="K126">
        <v>1398495</v>
      </c>
    </row>
    <row r="127" spans="1:11">
      <c r="A127" t="s">
        <v>7</v>
      </c>
      <c r="B127">
        <v>8627</v>
      </c>
      <c r="C127">
        <v>35943</v>
      </c>
      <c r="D127">
        <v>71168</v>
      </c>
      <c r="E127">
        <v>120137</v>
      </c>
      <c r="F127">
        <v>126018</v>
      </c>
      <c r="G127">
        <v>150932</v>
      </c>
      <c r="H127">
        <v>376480</v>
      </c>
      <c r="I127">
        <v>795769</v>
      </c>
      <c r="J127">
        <v>521577</v>
      </c>
      <c r="K127">
        <v>1451381</v>
      </c>
    </row>
    <row r="128" spans="1:11">
      <c r="A128" t="s">
        <v>8</v>
      </c>
      <c r="B128">
        <v>8596</v>
      </c>
      <c r="C128">
        <v>35958</v>
      </c>
      <c r="D128">
        <v>74460</v>
      </c>
      <c r="E128">
        <v>118046</v>
      </c>
      <c r="F128">
        <v>128967</v>
      </c>
      <c r="G128">
        <v>146377</v>
      </c>
      <c r="H128">
        <v>198231</v>
      </c>
      <c r="I128">
        <v>865593</v>
      </c>
      <c r="J128">
        <v>506414</v>
      </c>
      <c r="K128">
        <v>1411647</v>
      </c>
    </row>
    <row r="129" spans="1:11">
      <c r="A129" t="s">
        <v>9</v>
      </c>
      <c r="B129">
        <v>8580</v>
      </c>
      <c r="C129">
        <v>35958</v>
      </c>
      <c r="D129">
        <v>74834</v>
      </c>
      <c r="E129">
        <v>106861</v>
      </c>
      <c r="F129">
        <v>117782</v>
      </c>
      <c r="G129">
        <v>149091</v>
      </c>
      <c r="H129">
        <v>157952</v>
      </c>
      <c r="I129">
        <v>776718</v>
      </c>
      <c r="J129">
        <v>527583</v>
      </c>
      <c r="K129">
        <v>1388979</v>
      </c>
    </row>
    <row r="130" spans="1:11">
      <c r="A130" t="s">
        <v>10</v>
      </c>
      <c r="B130">
        <v>8580</v>
      </c>
      <c r="C130">
        <v>35943</v>
      </c>
      <c r="D130">
        <v>73305</v>
      </c>
      <c r="E130">
        <v>107064</v>
      </c>
      <c r="F130">
        <v>118483</v>
      </c>
      <c r="G130">
        <v>149574</v>
      </c>
      <c r="H130">
        <v>145706</v>
      </c>
      <c r="I130">
        <v>741556</v>
      </c>
      <c r="J130">
        <v>505555</v>
      </c>
      <c r="K130">
        <v>1421771</v>
      </c>
    </row>
    <row r="131" spans="1:11">
      <c r="A131" t="s">
        <v>11</v>
      </c>
      <c r="B131">
        <f>(SUM(B126:B130) -MAX(B126:B130))/((COUNT(B126:B130)-1)*1000)</f>
        <v>8.4905000000000008</v>
      </c>
      <c r="C131">
        <f t="shared" ref="C131:K131" si="36">(SUM(C126:C130) -MAX(C126:C130))/((COUNT(C126:C130)-1)*1000)</f>
        <v>35.619250000000001</v>
      </c>
      <c r="D131">
        <f t="shared" si="36"/>
        <v>70.695999999999998</v>
      </c>
      <c r="E131">
        <f t="shared" si="36"/>
        <v>110.071</v>
      </c>
      <c r="F131">
        <f t="shared" si="36"/>
        <v>122.8125</v>
      </c>
      <c r="G131">
        <f t="shared" si="36"/>
        <v>145.08175</v>
      </c>
      <c r="H131">
        <f t="shared" si="36"/>
        <v>164.5</v>
      </c>
      <c r="I131">
        <f t="shared" si="36"/>
        <v>778.91724999999997</v>
      </c>
      <c r="J131">
        <f t="shared" si="36"/>
        <v>504.82625000000002</v>
      </c>
      <c r="K131">
        <f t="shared" si="36"/>
        <v>1405.223</v>
      </c>
    </row>
    <row r="132" spans="1:11">
      <c r="A132" t="s">
        <v>13</v>
      </c>
      <c r="B132">
        <f>STDEV(B126:B130)/1000</f>
        <v>0.1753544980888799</v>
      </c>
      <c r="C132">
        <f t="shared" ref="C132:K132" si="37">STDEV(C126:C130)/1000</f>
        <v>0.58925164403673924</v>
      </c>
      <c r="D132">
        <f t="shared" si="37"/>
        <v>4.5207803861723024</v>
      </c>
      <c r="E132">
        <f t="shared" si="37"/>
        <v>6.463296813546533</v>
      </c>
      <c r="F132">
        <f t="shared" si="37"/>
        <v>10.587194165594548</v>
      </c>
      <c r="G132">
        <f t="shared" si="37"/>
        <v>6.3499747794775345</v>
      </c>
      <c r="H132">
        <f>STDEV(H126:H130)/1000</f>
        <v>96.892547110187991</v>
      </c>
      <c r="I132">
        <f>STDEV(I126:I130)/1000</f>
        <v>45.305951643244939</v>
      </c>
      <c r="J132">
        <f>STDEV(J126:J130)/1000</f>
        <v>16.290299346543261</v>
      </c>
      <c r="K132">
        <f t="shared" si="37"/>
        <v>24.128232276729364</v>
      </c>
    </row>
    <row r="133" spans="1:11">
      <c r="A133" t="s">
        <v>14</v>
      </c>
      <c r="B133">
        <f>CONFIDENCE(0.05,B132,5)/2</f>
        <v>7.6851085083198156E-2</v>
      </c>
      <c r="C133">
        <f t="shared" ref="C133:K133" si="38">CONFIDENCE(0.05,C132,5)/2</f>
        <v>0.25824617403500505</v>
      </c>
      <c r="D133">
        <f t="shared" si="38"/>
        <v>1.9812829547382627</v>
      </c>
      <c r="E133">
        <f t="shared" si="38"/>
        <v>2.8326126717551654</v>
      </c>
      <c r="F133">
        <f t="shared" si="38"/>
        <v>4.6399571638022472</v>
      </c>
      <c r="G133">
        <f t="shared" si="38"/>
        <v>2.7829480131524331</v>
      </c>
      <c r="H133">
        <f t="shared" si="38"/>
        <v>42.464250777979046</v>
      </c>
      <c r="I133">
        <f t="shared" si="38"/>
        <v>19.855843918788398</v>
      </c>
      <c r="J133">
        <f t="shared" si="38"/>
        <v>7.1394072849925623</v>
      </c>
      <c r="K133">
        <f t="shared" si="38"/>
        <v>10.574469727410349</v>
      </c>
    </row>
    <row r="135" spans="1:11">
      <c r="A135" s="1" t="s">
        <v>31</v>
      </c>
    </row>
    <row r="136" spans="1:11">
      <c r="A136" t="s">
        <v>57</v>
      </c>
    </row>
    <row r="137" spans="1:11">
      <c r="A137" t="s">
        <v>32</v>
      </c>
    </row>
    <row r="138" spans="1:11">
      <c r="A138" t="s">
        <v>6</v>
      </c>
      <c r="B138">
        <v>9516</v>
      </c>
      <c r="C138">
        <v>66317</v>
      </c>
      <c r="D138">
        <v>112353</v>
      </c>
      <c r="E138">
        <v>211616</v>
      </c>
      <c r="F138">
        <v>239276</v>
      </c>
      <c r="G138">
        <v>516040</v>
      </c>
      <c r="H138">
        <v>559829</v>
      </c>
      <c r="I138">
        <v>1480412</v>
      </c>
      <c r="J138">
        <v>1061890</v>
      </c>
      <c r="K138">
        <v>2114701</v>
      </c>
    </row>
    <row r="139" spans="1:11">
      <c r="A139" t="s">
        <v>7</v>
      </c>
      <c r="B139">
        <v>702</v>
      </c>
      <c r="C139">
        <v>49016</v>
      </c>
      <c r="D139">
        <v>88734</v>
      </c>
      <c r="E139">
        <v>195392</v>
      </c>
      <c r="F139">
        <v>204222</v>
      </c>
      <c r="G139">
        <v>246795</v>
      </c>
      <c r="H139">
        <v>340833</v>
      </c>
      <c r="I139">
        <v>1190904</v>
      </c>
      <c r="J139">
        <v>808075</v>
      </c>
      <c r="K139">
        <v>1998557</v>
      </c>
    </row>
    <row r="140" spans="1:11">
      <c r="A140" t="s">
        <v>8</v>
      </c>
      <c r="B140">
        <v>609</v>
      </c>
      <c r="C140">
        <v>49125</v>
      </c>
      <c r="D140">
        <v>88719</v>
      </c>
      <c r="E140">
        <v>194285</v>
      </c>
      <c r="F140">
        <v>183146</v>
      </c>
      <c r="G140">
        <v>215751</v>
      </c>
      <c r="H140">
        <v>198965</v>
      </c>
      <c r="I140">
        <v>1234834</v>
      </c>
      <c r="J140">
        <v>802832</v>
      </c>
      <c r="K140">
        <v>1947232</v>
      </c>
    </row>
    <row r="141" spans="1:11">
      <c r="A141" t="s">
        <v>9</v>
      </c>
      <c r="B141">
        <v>577</v>
      </c>
      <c r="C141">
        <v>49015</v>
      </c>
      <c r="D141">
        <v>88562</v>
      </c>
      <c r="E141">
        <v>172834</v>
      </c>
      <c r="F141">
        <v>179075</v>
      </c>
      <c r="G141">
        <v>196859</v>
      </c>
      <c r="H141">
        <v>197655</v>
      </c>
      <c r="I141">
        <v>1231074</v>
      </c>
      <c r="J141">
        <v>769131</v>
      </c>
      <c r="K141">
        <v>1951928</v>
      </c>
    </row>
    <row r="142" spans="1:11">
      <c r="A142" t="s">
        <v>10</v>
      </c>
      <c r="B142">
        <v>577</v>
      </c>
      <c r="C142">
        <v>48969</v>
      </c>
      <c r="D142">
        <v>88484</v>
      </c>
      <c r="E142">
        <v>166532</v>
      </c>
      <c r="F142">
        <v>177343</v>
      </c>
      <c r="G142">
        <v>196921</v>
      </c>
      <c r="H142">
        <v>196905</v>
      </c>
      <c r="I142">
        <v>1538570</v>
      </c>
      <c r="J142">
        <v>763864</v>
      </c>
      <c r="K142">
        <v>1959573</v>
      </c>
    </row>
    <row r="143" spans="1:11">
      <c r="A143" t="s">
        <v>11</v>
      </c>
      <c r="B143">
        <f>(SUM(B138:B142) -MAX(B138:B142))/((COUNT(B138:B142)-1)*1000)</f>
        <v>0.61624999999999996</v>
      </c>
      <c r="C143">
        <f t="shared" ref="C143:K143" si="39">(SUM(C138:C142) -MAX(C138:C142))/((COUNT(C138:C142)-1)*1000)</f>
        <v>49.03125</v>
      </c>
      <c r="D143">
        <f t="shared" si="39"/>
        <v>88.624750000000006</v>
      </c>
      <c r="E143">
        <f t="shared" si="39"/>
        <v>182.26075</v>
      </c>
      <c r="F143">
        <f t="shared" si="39"/>
        <v>185.94649999999999</v>
      </c>
      <c r="G143">
        <f t="shared" si="39"/>
        <v>214.08150000000001</v>
      </c>
      <c r="H143">
        <f t="shared" si="39"/>
        <v>233.58949999999999</v>
      </c>
      <c r="I143">
        <f t="shared" si="39"/>
        <v>1284.306</v>
      </c>
      <c r="J143">
        <f t="shared" si="39"/>
        <v>785.97550000000001</v>
      </c>
      <c r="K143">
        <f t="shared" si="39"/>
        <v>1964.3225</v>
      </c>
    </row>
    <row r="144" spans="1:11">
      <c r="A144" t="s">
        <v>13</v>
      </c>
      <c r="B144">
        <f>STDEV(B138:B142)/1000</f>
        <v>3.9804185332700883</v>
      </c>
      <c r="C144">
        <f t="shared" ref="C144:K144" si="40">STDEV(C138:C142)/1000</f>
        <v>7.7306352132279654</v>
      </c>
      <c r="D144">
        <f t="shared" si="40"/>
        <v>10.612120961428927</v>
      </c>
      <c r="E144">
        <f t="shared" si="40"/>
        <v>18.321122159955078</v>
      </c>
      <c r="F144">
        <f t="shared" si="40"/>
        <v>26.164397954090269</v>
      </c>
      <c r="G144">
        <f t="shared" si="40"/>
        <v>136.57159858184275</v>
      </c>
      <c r="H144">
        <f>STDEV(H138:H142)/1000</f>
        <v>158.49513731594419</v>
      </c>
      <c r="I144">
        <f>STDEV(I138:I142)/1000</f>
        <v>161.386776723498</v>
      </c>
      <c r="J144">
        <f>STDEV(J138:J142)/1000</f>
        <v>124.94822342994736</v>
      </c>
      <c r="K144">
        <f t="shared" si="40"/>
        <v>70.233934409943146</v>
      </c>
    </row>
    <row r="145" spans="1:11">
      <c r="A145" t="s">
        <v>14</v>
      </c>
      <c r="B145">
        <f>CONFIDENCE(0.05,B144,5)/2</f>
        <v>1.7444632826700039</v>
      </c>
      <c r="C145">
        <f t="shared" ref="C145:K145" si="41">CONFIDENCE(0.05,C144,5)/2</f>
        <v>3.3880380086846795</v>
      </c>
      <c r="D145">
        <f t="shared" si="41"/>
        <v>4.6508816130088384</v>
      </c>
      <c r="E145">
        <f t="shared" si="41"/>
        <v>8.0294382709288659</v>
      </c>
      <c r="F145">
        <f t="shared" si="41"/>
        <v>11.466842283687956</v>
      </c>
      <c r="G145">
        <f t="shared" si="41"/>
        <v>59.854042279780927</v>
      </c>
      <c r="H145">
        <f t="shared" si="41"/>
        <v>69.462280214602771</v>
      </c>
      <c r="I145">
        <f t="shared" si="41"/>
        <v>70.729573774572998</v>
      </c>
      <c r="J145">
        <f t="shared" si="41"/>
        <v>54.759967120673906</v>
      </c>
      <c r="K145">
        <f t="shared" si="41"/>
        <v>30.780813311846178</v>
      </c>
    </row>
    <row r="147" spans="1:11">
      <c r="A147" t="s">
        <v>33</v>
      </c>
    </row>
    <row r="148" spans="1:11">
      <c r="A148" t="s">
        <v>6</v>
      </c>
      <c r="B148">
        <v>1092</v>
      </c>
      <c r="C148">
        <v>46894</v>
      </c>
      <c r="D148">
        <v>84210</v>
      </c>
      <c r="E148">
        <v>154863</v>
      </c>
      <c r="F148">
        <v>170260</v>
      </c>
      <c r="G148">
        <v>193551</v>
      </c>
      <c r="H148">
        <v>192085</v>
      </c>
      <c r="I148">
        <v>1131763</v>
      </c>
      <c r="J148">
        <v>716736</v>
      </c>
      <c r="K148">
        <v>1864786</v>
      </c>
    </row>
    <row r="149" spans="1:11">
      <c r="A149" t="s">
        <v>7</v>
      </c>
      <c r="B149">
        <v>1124</v>
      </c>
      <c r="C149">
        <v>46816</v>
      </c>
      <c r="D149">
        <v>83929</v>
      </c>
      <c r="E149">
        <v>145285</v>
      </c>
      <c r="F149">
        <v>172397</v>
      </c>
      <c r="G149">
        <v>190307</v>
      </c>
      <c r="H149">
        <v>189417</v>
      </c>
      <c r="I149">
        <v>1126226</v>
      </c>
      <c r="J149">
        <v>689809</v>
      </c>
      <c r="K149">
        <v>1858757</v>
      </c>
    </row>
    <row r="150" spans="1:11">
      <c r="A150" t="s">
        <v>8</v>
      </c>
      <c r="B150">
        <v>1030</v>
      </c>
      <c r="C150">
        <v>46879</v>
      </c>
      <c r="D150">
        <v>84272</v>
      </c>
      <c r="E150">
        <v>146065</v>
      </c>
      <c r="F150">
        <v>172336</v>
      </c>
      <c r="G150">
        <v>190073</v>
      </c>
      <c r="H150">
        <v>188327</v>
      </c>
      <c r="I150">
        <v>1117145</v>
      </c>
      <c r="J150">
        <v>649639</v>
      </c>
      <c r="K150">
        <v>1877174</v>
      </c>
    </row>
    <row r="151" spans="1:11">
      <c r="A151" t="s">
        <v>9</v>
      </c>
      <c r="B151">
        <v>1014</v>
      </c>
      <c r="C151">
        <v>46925</v>
      </c>
      <c r="D151">
        <v>78032</v>
      </c>
      <c r="E151">
        <v>149918</v>
      </c>
      <c r="F151">
        <v>172335</v>
      </c>
      <c r="G151">
        <v>190681</v>
      </c>
      <c r="H151">
        <v>187448</v>
      </c>
      <c r="I151">
        <v>1128971</v>
      </c>
      <c r="J151">
        <v>704318</v>
      </c>
      <c r="K151">
        <v>1862913</v>
      </c>
    </row>
    <row r="152" spans="1:11">
      <c r="A152" t="s">
        <v>10</v>
      </c>
      <c r="B152">
        <v>983</v>
      </c>
      <c r="C152">
        <v>46879</v>
      </c>
      <c r="D152">
        <v>78001</v>
      </c>
      <c r="E152">
        <v>151884</v>
      </c>
      <c r="F152">
        <v>173085</v>
      </c>
      <c r="G152">
        <v>187031</v>
      </c>
      <c r="H152">
        <v>188633</v>
      </c>
      <c r="I152">
        <v>1417871</v>
      </c>
      <c r="J152">
        <v>623821</v>
      </c>
      <c r="K152">
        <v>2002910</v>
      </c>
    </row>
    <row r="153" spans="1:11">
      <c r="A153" t="s">
        <v>11</v>
      </c>
      <c r="B153">
        <f>(SUM(B148:B152) -MAX(B148:B152))/((COUNT(B148:B152)-1)*1000)</f>
        <v>1.0297499999999999</v>
      </c>
      <c r="C153">
        <f t="shared" ref="C153:K153" si="42">(SUM(C148:C152) -MAX(C148:C152))/((COUNT(C148:C152)-1)*1000)</f>
        <v>46.866999999999997</v>
      </c>
      <c r="D153">
        <f t="shared" si="42"/>
        <v>81.043000000000006</v>
      </c>
      <c r="E153">
        <f t="shared" si="42"/>
        <v>148.28800000000001</v>
      </c>
      <c r="F153">
        <f t="shared" si="42"/>
        <v>171.83199999999999</v>
      </c>
      <c r="G153">
        <f t="shared" si="42"/>
        <v>189.523</v>
      </c>
      <c r="H153">
        <f t="shared" si="42"/>
        <v>188.45625000000001</v>
      </c>
      <c r="I153">
        <f t="shared" si="42"/>
        <v>1126.0262499999999</v>
      </c>
      <c r="J153">
        <f t="shared" si="42"/>
        <v>666.89675</v>
      </c>
      <c r="K153">
        <f t="shared" si="42"/>
        <v>1865.9075</v>
      </c>
    </row>
    <row r="154" spans="1:11">
      <c r="A154" t="s">
        <v>13</v>
      </c>
      <c r="B154">
        <f>STDEV(B148:B152)/1000</f>
        <v>5.7912002210250391E-2</v>
      </c>
      <c r="C154">
        <f t="shared" ref="C154:K154" si="43">STDEV(C148:C152)/1000</f>
        <v>3.9715236373345869E-2</v>
      </c>
      <c r="D154">
        <f t="shared" si="43"/>
        <v>3.3548443630069951</v>
      </c>
      <c r="E154">
        <f t="shared" si="43"/>
        <v>4.0041339263316358</v>
      </c>
      <c r="F154">
        <f t="shared" si="43"/>
        <v>1.0669396890185743</v>
      </c>
      <c r="G154">
        <f t="shared" si="43"/>
        <v>2.3155998790816716</v>
      </c>
      <c r="H154">
        <f>STDEV(H148:H152)/1000</f>
        <v>1.7693089046291492</v>
      </c>
      <c r="I154">
        <f>STDEV(I148:I152)/1000</f>
        <v>130.63229389856076</v>
      </c>
      <c r="J154">
        <f>STDEV(J148:J152)/1000</f>
        <v>38.941725684669507</v>
      </c>
      <c r="K154">
        <f t="shared" si="43"/>
        <v>61.652324510110731</v>
      </c>
    </row>
    <row r="155" spans="1:11">
      <c r="A155" t="s">
        <v>14</v>
      </c>
      <c r="B155">
        <f>CONFIDENCE(0.05,B154,5)/2</f>
        <v>2.538058765360264E-2</v>
      </c>
      <c r="C155">
        <f t="shared" ref="C155:K155" si="44">CONFIDENCE(0.05,C154,5)/2</f>
        <v>1.7405649942782288E-2</v>
      </c>
      <c r="D155">
        <f t="shared" si="44"/>
        <v>1.4702983521509574</v>
      </c>
      <c r="E155">
        <f t="shared" si="44"/>
        <v>1.7548568209585438</v>
      </c>
      <c r="F155">
        <f t="shared" si="44"/>
        <v>0.46759834343027429</v>
      </c>
      <c r="G155">
        <f t="shared" si="44"/>
        <v>1.0148377444857459</v>
      </c>
      <c r="H155">
        <f t="shared" si="44"/>
        <v>0.77541956807515522</v>
      </c>
      <c r="I155">
        <f t="shared" si="44"/>
        <v>57.251075064656575</v>
      </c>
      <c r="J155">
        <f t="shared" si="44"/>
        <v>17.066650165781414</v>
      </c>
      <c r="K155">
        <f t="shared" si="44"/>
        <v>27.01982605602705</v>
      </c>
    </row>
    <row r="157" spans="1:11">
      <c r="A157" t="s">
        <v>34</v>
      </c>
    </row>
    <row r="158" spans="1:11">
      <c r="A158" t="s">
        <v>6</v>
      </c>
      <c r="B158">
        <v>3136</v>
      </c>
      <c r="C158">
        <v>37815</v>
      </c>
      <c r="D158">
        <v>60653</v>
      </c>
      <c r="E158">
        <v>117079</v>
      </c>
      <c r="F158">
        <v>139185</v>
      </c>
      <c r="G158">
        <v>159107</v>
      </c>
      <c r="H158">
        <v>161560</v>
      </c>
      <c r="I158">
        <v>617862</v>
      </c>
      <c r="J158">
        <v>381987</v>
      </c>
      <c r="K158">
        <v>1412739</v>
      </c>
    </row>
    <row r="159" spans="1:11">
      <c r="A159" t="s">
        <v>7</v>
      </c>
      <c r="B159">
        <v>3244</v>
      </c>
      <c r="C159">
        <v>39157</v>
      </c>
      <c r="D159">
        <v>60607</v>
      </c>
      <c r="E159">
        <v>112946</v>
      </c>
      <c r="F159">
        <v>135378</v>
      </c>
      <c r="G159">
        <v>161384</v>
      </c>
      <c r="H159">
        <v>165145</v>
      </c>
      <c r="I159">
        <v>543511</v>
      </c>
      <c r="J159">
        <v>373953</v>
      </c>
      <c r="K159">
        <v>1403285</v>
      </c>
    </row>
    <row r="160" spans="1:11">
      <c r="A160" t="s">
        <v>8</v>
      </c>
      <c r="B160">
        <v>3120</v>
      </c>
      <c r="C160">
        <v>40171</v>
      </c>
      <c r="D160">
        <v>60544</v>
      </c>
      <c r="E160">
        <v>114287</v>
      </c>
      <c r="F160">
        <v>131915</v>
      </c>
      <c r="G160">
        <v>157078</v>
      </c>
      <c r="H160">
        <v>170558</v>
      </c>
      <c r="I160">
        <v>627440</v>
      </c>
      <c r="J160">
        <v>368835</v>
      </c>
      <c r="K160">
        <v>1399587</v>
      </c>
    </row>
    <row r="161" spans="1:11">
      <c r="A161" t="s">
        <v>9</v>
      </c>
      <c r="B161">
        <v>3229</v>
      </c>
      <c r="C161">
        <v>39219</v>
      </c>
      <c r="D161">
        <v>60545</v>
      </c>
      <c r="E161">
        <v>112025</v>
      </c>
      <c r="F161">
        <v>138374</v>
      </c>
      <c r="G161">
        <v>159840</v>
      </c>
      <c r="H161">
        <v>168295</v>
      </c>
      <c r="I161">
        <v>545258</v>
      </c>
      <c r="J161">
        <v>375903</v>
      </c>
      <c r="K161">
        <v>1387076</v>
      </c>
    </row>
    <row r="162" spans="1:11">
      <c r="A162" t="s">
        <v>10</v>
      </c>
      <c r="B162">
        <v>3089</v>
      </c>
      <c r="C162">
        <v>37503</v>
      </c>
      <c r="D162">
        <v>60436</v>
      </c>
      <c r="E162">
        <v>113569</v>
      </c>
      <c r="F162">
        <v>133226</v>
      </c>
      <c r="G162">
        <v>158108</v>
      </c>
      <c r="H162">
        <v>167421</v>
      </c>
      <c r="I162">
        <v>574430</v>
      </c>
      <c r="J162">
        <v>675536</v>
      </c>
      <c r="K162">
        <v>1396826</v>
      </c>
    </row>
    <row r="163" spans="1:11">
      <c r="A163" t="s">
        <v>11</v>
      </c>
      <c r="B163">
        <f>(SUM(B158:B162) -MAX(B158:B162))/((COUNT(B158:B162)-1)*1000)</f>
        <v>3.1435</v>
      </c>
      <c r="C163">
        <f t="shared" ref="C163:K163" si="45">(SUM(C158:C162) -MAX(C158:C162))/((COUNT(C158:C162)-1)*1000)</f>
        <v>38.423499999999997</v>
      </c>
      <c r="D163">
        <f t="shared" si="45"/>
        <v>60.533000000000001</v>
      </c>
      <c r="E163">
        <f t="shared" si="45"/>
        <v>113.20675</v>
      </c>
      <c r="F163">
        <f t="shared" si="45"/>
        <v>134.72325000000001</v>
      </c>
      <c r="G163">
        <f t="shared" si="45"/>
        <v>158.53325000000001</v>
      </c>
      <c r="H163">
        <f t="shared" si="45"/>
        <v>165.60525000000001</v>
      </c>
      <c r="I163">
        <f t="shared" si="45"/>
        <v>570.26525000000004</v>
      </c>
      <c r="J163">
        <f t="shared" si="45"/>
        <v>375.16950000000003</v>
      </c>
      <c r="K163">
        <f t="shared" si="45"/>
        <v>1396.6935000000001</v>
      </c>
    </row>
    <row r="164" spans="1:11">
      <c r="A164" t="s">
        <v>13</v>
      </c>
      <c r="B164">
        <f>STDEV(B158:B162)/1000</f>
        <v>6.8864359432152897E-2</v>
      </c>
      <c r="C164">
        <f t="shared" ref="C164:K164" si="46">STDEV(C158:C162)/1000</f>
        <v>1.0990268422563663</v>
      </c>
      <c r="D164">
        <f t="shared" si="46"/>
        <v>8.1654761036941387E-2</v>
      </c>
      <c r="E164">
        <f t="shared" si="46"/>
        <v>1.9208165451184458</v>
      </c>
      <c r="F164">
        <f t="shared" si="46"/>
        <v>3.1547769017791474</v>
      </c>
      <c r="G164">
        <f t="shared" si="46"/>
        <v>1.6459643981566665</v>
      </c>
      <c r="H164">
        <f>STDEV(H158:H162)/1000</f>
        <v>3.4180172176273409</v>
      </c>
      <c r="I164">
        <f>STDEV(I158:I162)/1000</f>
        <v>39.494017992602529</v>
      </c>
      <c r="J164">
        <f>STDEV(J158:J162)/1000</f>
        <v>134.41042514329015</v>
      </c>
      <c r="K164">
        <f t="shared" si="46"/>
        <v>9.3581586489973922</v>
      </c>
    </row>
    <row r="165" spans="1:11">
      <c r="A165" t="s">
        <v>14</v>
      </c>
      <c r="B165">
        <f>CONFIDENCE(0.05,B164,5)/2</f>
        <v>3.0180581642324764E-2</v>
      </c>
      <c r="C165">
        <f t="shared" ref="C165:K165" si="47">CONFIDENCE(0.05,C164,5)/2</f>
        <v>0.48166089996820399</v>
      </c>
      <c r="D165">
        <f t="shared" si="47"/>
        <v>3.5786119297136758E-2</v>
      </c>
      <c r="E165">
        <f t="shared" si="47"/>
        <v>0.84181949905437592</v>
      </c>
      <c r="F165">
        <f t="shared" si="47"/>
        <v>1.3826165324498874</v>
      </c>
      <c r="G165">
        <f t="shared" si="47"/>
        <v>0.72136244798544269</v>
      </c>
      <c r="H165">
        <f t="shared" si="47"/>
        <v>1.4979845676646075</v>
      </c>
      <c r="I165">
        <f t="shared" si="47"/>
        <v>17.308698494226597</v>
      </c>
      <c r="J165">
        <f t="shared" si="47"/>
        <v>58.906883663287559</v>
      </c>
      <c r="K165">
        <f t="shared" si="47"/>
        <v>4.1013184970689522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L73"/>
  <sheetViews>
    <sheetView workbookViewId="0">
      <selection activeCell="K14" sqref="K14"/>
    </sheetView>
  </sheetViews>
  <sheetFormatPr defaultRowHeight="15"/>
  <cols>
    <col min="1" max="1" width="24.140625" customWidth="1"/>
    <col min="2" max="11" width="12.7109375" customWidth="1"/>
    <col min="12" max="12" width="6.5703125" customWidth="1"/>
  </cols>
  <sheetData>
    <row r="1" spans="1:12">
      <c r="A1" t="s">
        <v>16</v>
      </c>
      <c r="B1" t="s">
        <v>24</v>
      </c>
    </row>
    <row r="2" spans="1:12">
      <c r="A2" t="s">
        <v>12</v>
      </c>
      <c r="B2">
        <v>2</v>
      </c>
      <c r="C2">
        <v>4</v>
      </c>
      <c r="D2">
        <v>6</v>
      </c>
      <c r="E2">
        <v>8</v>
      </c>
      <c r="F2">
        <v>10</v>
      </c>
      <c r="G2">
        <v>12</v>
      </c>
      <c r="H2">
        <v>14</v>
      </c>
      <c r="I2">
        <v>16</v>
      </c>
      <c r="J2">
        <v>18</v>
      </c>
      <c r="K2">
        <v>20</v>
      </c>
    </row>
    <row r="3" spans="1:12">
      <c r="A3" t="s">
        <v>56</v>
      </c>
    </row>
    <row r="4" spans="1:12">
      <c r="A4" t="s">
        <v>6</v>
      </c>
      <c r="B4">
        <v>2215</v>
      </c>
      <c r="C4">
        <v>7052</v>
      </c>
      <c r="D4">
        <v>15522</v>
      </c>
      <c r="E4">
        <v>27706</v>
      </c>
      <c r="F4">
        <v>27067</v>
      </c>
      <c r="G4">
        <v>55381</v>
      </c>
      <c r="H4">
        <v>71012</v>
      </c>
      <c r="I4">
        <v>119554</v>
      </c>
      <c r="J4">
        <v>145628</v>
      </c>
      <c r="K4">
        <v>120418</v>
      </c>
    </row>
    <row r="5" spans="1:12">
      <c r="A5" t="s">
        <v>7</v>
      </c>
      <c r="B5">
        <v>2199</v>
      </c>
      <c r="C5">
        <v>7176</v>
      </c>
      <c r="D5">
        <v>16130</v>
      </c>
      <c r="E5">
        <v>29344</v>
      </c>
      <c r="F5">
        <v>28533</v>
      </c>
      <c r="G5">
        <v>65770</v>
      </c>
      <c r="H5">
        <v>75115</v>
      </c>
      <c r="I5">
        <v>140829</v>
      </c>
      <c r="J5">
        <v>180509</v>
      </c>
      <c r="K5">
        <v>150760</v>
      </c>
    </row>
    <row r="6" spans="1:12">
      <c r="A6" t="s">
        <v>8</v>
      </c>
      <c r="B6">
        <v>2215</v>
      </c>
      <c r="C6">
        <v>7207</v>
      </c>
      <c r="D6">
        <v>16146</v>
      </c>
      <c r="E6">
        <v>29048</v>
      </c>
      <c r="F6">
        <v>28283</v>
      </c>
      <c r="G6">
        <v>60685</v>
      </c>
      <c r="H6">
        <v>74101</v>
      </c>
      <c r="I6">
        <v>122590</v>
      </c>
      <c r="J6">
        <v>175955</v>
      </c>
      <c r="K6">
        <v>149044</v>
      </c>
    </row>
    <row r="7" spans="1:12">
      <c r="A7" t="s">
        <v>9</v>
      </c>
      <c r="B7">
        <v>2215</v>
      </c>
      <c r="C7">
        <v>7176</v>
      </c>
      <c r="D7">
        <v>16115</v>
      </c>
      <c r="E7">
        <v>29063</v>
      </c>
      <c r="F7">
        <v>28205</v>
      </c>
      <c r="G7">
        <v>60529</v>
      </c>
      <c r="H7">
        <v>73539</v>
      </c>
      <c r="I7">
        <v>120997</v>
      </c>
      <c r="J7">
        <v>174363</v>
      </c>
      <c r="K7">
        <v>148218</v>
      </c>
    </row>
    <row r="8" spans="1:12">
      <c r="A8" t="s">
        <v>10</v>
      </c>
      <c r="B8">
        <v>2215</v>
      </c>
      <c r="C8">
        <v>7207</v>
      </c>
      <c r="D8">
        <v>15788</v>
      </c>
      <c r="E8">
        <v>29048</v>
      </c>
      <c r="F8">
        <v>28236</v>
      </c>
      <c r="G8">
        <v>61059</v>
      </c>
      <c r="H8">
        <v>75053</v>
      </c>
      <c r="I8">
        <v>118312</v>
      </c>
      <c r="J8">
        <v>176001</v>
      </c>
      <c r="K8">
        <v>148108</v>
      </c>
    </row>
    <row r="9" spans="1:12">
      <c r="A9" t="s">
        <v>11</v>
      </c>
      <c r="B9">
        <f>(SUM(B4:B8) -MAX(B4:B8) -MIN(B4:B8))/((COUNT(B4:B8)-2)*1000)</f>
        <v>2.2149999999999999</v>
      </c>
      <c r="C9">
        <f t="shared" ref="C9:K9" si="0">(SUM(C4:C8) -MAX(C4:C8) -MIN(C4:C8))/((COUNT(C4:C8)-2)*1000)</f>
        <v>7.1863333333333337</v>
      </c>
      <c r="D9">
        <f t="shared" si="0"/>
        <v>16.010999999999999</v>
      </c>
      <c r="E9">
        <f t="shared" si="0"/>
        <v>29.053000000000001</v>
      </c>
      <c r="F9">
        <f t="shared" si="0"/>
        <v>28.241333333333333</v>
      </c>
      <c r="G9">
        <f t="shared" si="0"/>
        <v>60.757666666666665</v>
      </c>
      <c r="H9">
        <f t="shared" si="0"/>
        <v>74.230999999999995</v>
      </c>
      <c r="I9">
        <f>(SUM(I4:I8) -MAX(I4:I8) -MIN(I4:I8))/((COUNT(I4:I8)-2)*1000)</f>
        <v>121.047</v>
      </c>
      <c r="J9">
        <f>(SUM(J4:J8) -MAX(J4:J8) -MIN(J4:J8))/((COUNT(J4:J8)-2)*1000)</f>
        <v>175.43966666666665</v>
      </c>
      <c r="K9">
        <f t="shared" si="0"/>
        <v>148.45666666666668</v>
      </c>
      <c r="L9" t="s">
        <v>15</v>
      </c>
    </row>
    <row r="10" spans="1:12">
      <c r="A10" t="s">
        <v>13</v>
      </c>
      <c r="B10">
        <f t="shared" ref="B10:K10" si="1">STDEV(B4:B8)/1000</f>
        <v>7.1554175280123429E-3</v>
      </c>
      <c r="C10">
        <f t="shared" si="1"/>
        <v>6.428296819529275E-2</v>
      </c>
      <c r="D10">
        <f t="shared" si="1"/>
        <v>0.27703285003765904</v>
      </c>
      <c r="E10">
        <f t="shared" si="1"/>
        <v>0.64734318564425131</v>
      </c>
      <c r="F10">
        <f t="shared" si="1"/>
        <v>0.57258030004537153</v>
      </c>
      <c r="G10">
        <f t="shared" si="1"/>
        <v>3.679465069816509</v>
      </c>
      <c r="H10">
        <f t="shared" si="1"/>
        <v>1.6751432774542003</v>
      </c>
      <c r="I10">
        <f>STDEV(I4:I8)/1000</f>
        <v>9.2911262126826824</v>
      </c>
      <c r="J10">
        <f>STDEV(J4:J8)/1000</f>
        <v>14.086668101435377</v>
      </c>
      <c r="K10">
        <f t="shared" si="1"/>
        <v>12.840698843910298</v>
      </c>
    </row>
    <row r="11" spans="1:12">
      <c r="A11" t="s">
        <v>14</v>
      </c>
      <c r="B11">
        <f>CONFIDENCE(0.05,B10,5)/2</f>
        <v>3.1359423752697906E-3</v>
      </c>
      <c r="C11">
        <f t="shared" ref="C11:K11" si="2">CONFIDENCE(0.05,C10,5)/2</f>
        <v>2.8172735299170793E-2</v>
      </c>
      <c r="D11">
        <f t="shared" si="2"/>
        <v>0.12141276876909</v>
      </c>
      <c r="E11">
        <f t="shared" si="2"/>
        <v>0.28370544685291843</v>
      </c>
      <c r="F11">
        <f t="shared" si="2"/>
        <v>0.2509397696399352</v>
      </c>
      <c r="G11">
        <f t="shared" si="2"/>
        <v>1.6125670354791777</v>
      </c>
      <c r="H11">
        <f t="shared" si="2"/>
        <v>0.73415042069196856</v>
      </c>
      <c r="I11">
        <f t="shared" si="2"/>
        <v>4.0719407763791482</v>
      </c>
      <c r="J11">
        <f t="shared" si="2"/>
        <v>6.1736410562646133</v>
      </c>
      <c r="K11">
        <f t="shared" si="2"/>
        <v>5.6275809867215134</v>
      </c>
    </row>
    <row r="13" spans="1:12">
      <c r="A13" t="s">
        <v>0</v>
      </c>
    </row>
    <row r="14" spans="1:12">
      <c r="A14" t="s">
        <v>6</v>
      </c>
      <c r="B14">
        <v>172</v>
      </c>
      <c r="C14">
        <v>468</v>
      </c>
      <c r="D14">
        <v>1045</v>
      </c>
      <c r="E14">
        <v>1732</v>
      </c>
      <c r="F14">
        <v>2028</v>
      </c>
      <c r="G14">
        <v>3541</v>
      </c>
      <c r="H14">
        <v>5725</v>
      </c>
      <c r="I14">
        <v>6536</v>
      </c>
      <c r="J14">
        <v>11840</v>
      </c>
      <c r="K14">
        <v>11302</v>
      </c>
    </row>
    <row r="15" spans="1:12">
      <c r="A15" t="s">
        <v>7</v>
      </c>
      <c r="B15">
        <v>172</v>
      </c>
      <c r="C15">
        <v>468</v>
      </c>
      <c r="D15">
        <v>1045</v>
      </c>
      <c r="E15">
        <v>1732</v>
      </c>
      <c r="F15">
        <v>2028</v>
      </c>
      <c r="G15">
        <v>3541</v>
      </c>
      <c r="H15">
        <v>5725</v>
      </c>
      <c r="I15">
        <v>6536</v>
      </c>
      <c r="J15">
        <v>11840</v>
      </c>
      <c r="K15">
        <v>11302</v>
      </c>
    </row>
    <row r="16" spans="1:12">
      <c r="A16" t="s">
        <v>8</v>
      </c>
      <c r="B16">
        <v>171</v>
      </c>
      <c r="C16">
        <v>468</v>
      </c>
      <c r="D16">
        <v>1030</v>
      </c>
      <c r="E16">
        <v>1778</v>
      </c>
      <c r="F16">
        <v>1950</v>
      </c>
      <c r="G16">
        <v>3385</v>
      </c>
      <c r="H16">
        <v>5772</v>
      </c>
      <c r="I16">
        <v>7535</v>
      </c>
      <c r="J16">
        <v>12792</v>
      </c>
      <c r="K16">
        <v>10444</v>
      </c>
    </row>
    <row r="17" spans="1:12">
      <c r="A17" t="s">
        <v>9</v>
      </c>
      <c r="B17">
        <v>156</v>
      </c>
      <c r="C17">
        <v>468</v>
      </c>
      <c r="D17">
        <v>1014</v>
      </c>
      <c r="E17">
        <v>1747</v>
      </c>
      <c r="F17">
        <v>1919</v>
      </c>
      <c r="G17">
        <v>3432</v>
      </c>
      <c r="H17">
        <v>5803</v>
      </c>
      <c r="I17">
        <v>7754</v>
      </c>
      <c r="J17">
        <v>12480</v>
      </c>
      <c r="K17">
        <v>10658</v>
      </c>
    </row>
    <row r="18" spans="1:12">
      <c r="A18" t="s">
        <v>10</v>
      </c>
      <c r="B18">
        <v>171</v>
      </c>
      <c r="C18">
        <v>484</v>
      </c>
      <c r="D18">
        <v>1061</v>
      </c>
      <c r="E18">
        <v>1731</v>
      </c>
      <c r="F18">
        <v>1934</v>
      </c>
      <c r="G18">
        <v>4430</v>
      </c>
      <c r="H18">
        <v>5741</v>
      </c>
      <c r="I18">
        <v>7940</v>
      </c>
      <c r="J18">
        <v>11560</v>
      </c>
      <c r="K18">
        <v>10985</v>
      </c>
    </row>
    <row r="19" spans="1:12">
      <c r="A19" t="s">
        <v>11</v>
      </c>
      <c r="B19">
        <f t="shared" ref="B19:K19" si="3">(SUM(B14:B18) -MAX(B14:B18) -MIN(B14:B18))/((COUNT(B14:B18)-2)*1000)</f>
        <v>0.17133333333333334</v>
      </c>
      <c r="C19">
        <f t="shared" si="3"/>
        <v>0.46800000000000003</v>
      </c>
      <c r="D19">
        <f t="shared" si="3"/>
        <v>1.04</v>
      </c>
      <c r="E19">
        <f t="shared" si="3"/>
        <v>1.7370000000000001</v>
      </c>
      <c r="F19">
        <f t="shared" si="3"/>
        <v>1.9706666666666666</v>
      </c>
      <c r="G19">
        <f t="shared" si="3"/>
        <v>3.5046666666666666</v>
      </c>
      <c r="H19">
        <f t="shared" si="3"/>
        <v>5.7460000000000004</v>
      </c>
      <c r="I19">
        <f>(SUM(I14:I18) -MAX(I14:I18) -MIN(I14:I18))/((COUNT(I14:I18)-2)*1000)</f>
        <v>7.2750000000000004</v>
      </c>
      <c r="J19">
        <f>(SUM(J14:J18) -MAX(J14:J18) -MIN(J14:J18))/((COUNT(J14:J18)-2)*1000)</f>
        <v>12.053333333333333</v>
      </c>
      <c r="K19">
        <f t="shared" si="3"/>
        <v>10.981666666666667</v>
      </c>
      <c r="L19" t="s">
        <v>15</v>
      </c>
    </row>
    <row r="20" spans="1:12">
      <c r="A20" t="s">
        <v>13</v>
      </c>
      <c r="B20">
        <f t="shared" ref="B20:K20" si="4">STDEV(B14:B18)/1000</f>
        <v>6.9498201415578312E-3</v>
      </c>
      <c r="C20">
        <f t="shared" si="4"/>
        <v>7.15541752800014E-3</v>
      </c>
      <c r="D20">
        <f t="shared" si="4"/>
        <v>1.7762319668331611E-2</v>
      </c>
      <c r="E20">
        <f t="shared" si="4"/>
        <v>2.0137030565602267E-2</v>
      </c>
      <c r="F20">
        <f t="shared" si="4"/>
        <v>5.2461414391914617E-2</v>
      </c>
      <c r="G20">
        <f t="shared" si="4"/>
        <v>0.43262651328830887</v>
      </c>
      <c r="H20">
        <f t="shared" si="4"/>
        <v>3.3811240734450729E-2</v>
      </c>
      <c r="I20">
        <f>STDEV(I14:I18)/1000</f>
        <v>0.6764637462569616</v>
      </c>
      <c r="J20">
        <f>STDEV(J14:J18)/1000</f>
        <v>0.51235612614665982</v>
      </c>
      <c r="K20">
        <f t="shared" si="4"/>
        <v>0.38393905766408826</v>
      </c>
    </row>
    <row r="21" spans="1:12">
      <c r="A21" t="s">
        <v>14</v>
      </c>
      <c r="B21">
        <f>CONFIDENCE(0.05,B20,5)/2</f>
        <v>3.0458370035142835E-3</v>
      </c>
      <c r="C21">
        <f t="shared" ref="C21:K21" si="5">CONFIDENCE(0.05,C20,5)/2</f>
        <v>3.1359423752644429E-3</v>
      </c>
      <c r="D21">
        <f t="shared" si="5"/>
        <v>7.784536781109702E-3</v>
      </c>
      <c r="E21">
        <f t="shared" si="5"/>
        <v>8.8252805955149876E-3</v>
      </c>
      <c r="F21">
        <f t="shared" si="5"/>
        <v>2.2991806112520916E-2</v>
      </c>
      <c r="G21">
        <f t="shared" si="5"/>
        <v>0.18960344527412834</v>
      </c>
      <c r="H21">
        <f t="shared" si="5"/>
        <v>1.4818157314303576E-2</v>
      </c>
      <c r="I21">
        <f t="shared" si="5"/>
        <v>0.29646786073855197</v>
      </c>
      <c r="J21">
        <f t="shared" si="5"/>
        <v>0.22454584668502287</v>
      </c>
      <c r="K21">
        <f t="shared" si="5"/>
        <v>0.16826561912515262</v>
      </c>
    </row>
    <row r="23" spans="1:12">
      <c r="A23" t="s">
        <v>1</v>
      </c>
    </row>
    <row r="24" spans="1:12">
      <c r="A24" t="s">
        <v>6</v>
      </c>
      <c r="B24">
        <v>312</v>
      </c>
      <c r="C24">
        <v>998</v>
      </c>
      <c r="D24">
        <v>2325</v>
      </c>
      <c r="E24">
        <v>4118</v>
      </c>
      <c r="F24">
        <v>4197</v>
      </c>
      <c r="G24">
        <v>9360</v>
      </c>
      <c r="H24">
        <v>14102</v>
      </c>
      <c r="I24">
        <v>20358</v>
      </c>
      <c r="J24">
        <v>23774</v>
      </c>
      <c r="K24">
        <v>25134</v>
      </c>
    </row>
    <row r="25" spans="1:12">
      <c r="A25" t="s">
        <v>7</v>
      </c>
      <c r="B25">
        <v>328</v>
      </c>
      <c r="C25">
        <v>1061</v>
      </c>
      <c r="D25">
        <v>2434</v>
      </c>
      <c r="E25">
        <v>4337</v>
      </c>
      <c r="F25">
        <v>4493</v>
      </c>
      <c r="G25">
        <v>8814</v>
      </c>
      <c r="H25">
        <v>16739</v>
      </c>
      <c r="I25">
        <v>23494</v>
      </c>
      <c r="J25">
        <v>27799</v>
      </c>
      <c r="K25">
        <v>28707</v>
      </c>
    </row>
    <row r="26" spans="1:12">
      <c r="A26" t="s">
        <v>8</v>
      </c>
      <c r="B26">
        <v>328</v>
      </c>
      <c r="C26">
        <v>1061</v>
      </c>
      <c r="D26">
        <v>2418</v>
      </c>
      <c r="E26">
        <v>4306</v>
      </c>
      <c r="F26">
        <v>4368</v>
      </c>
      <c r="G26">
        <v>11591</v>
      </c>
      <c r="H26">
        <v>16708</v>
      </c>
      <c r="I26">
        <v>24867</v>
      </c>
      <c r="J26">
        <v>27894</v>
      </c>
      <c r="K26">
        <v>25414</v>
      </c>
    </row>
    <row r="27" spans="1:12">
      <c r="A27" t="s">
        <v>9</v>
      </c>
      <c r="B27">
        <v>327</v>
      </c>
      <c r="C27">
        <v>1061</v>
      </c>
      <c r="D27">
        <v>2449</v>
      </c>
      <c r="E27">
        <v>4306</v>
      </c>
      <c r="F27">
        <v>4384</v>
      </c>
      <c r="G27">
        <v>9267</v>
      </c>
      <c r="H27">
        <v>16302</v>
      </c>
      <c r="I27">
        <v>16458</v>
      </c>
      <c r="J27">
        <v>26942</v>
      </c>
      <c r="K27">
        <v>23807</v>
      </c>
    </row>
    <row r="28" spans="1:12">
      <c r="A28" t="s">
        <v>10</v>
      </c>
      <c r="B28">
        <v>327</v>
      </c>
      <c r="C28">
        <v>1061</v>
      </c>
      <c r="D28">
        <v>2512</v>
      </c>
      <c r="E28">
        <v>4306</v>
      </c>
      <c r="F28">
        <v>4430</v>
      </c>
      <c r="G28">
        <v>9360</v>
      </c>
      <c r="H28">
        <v>12574</v>
      </c>
      <c r="I28">
        <v>16458</v>
      </c>
      <c r="J28">
        <v>27675</v>
      </c>
      <c r="K28">
        <v>25398</v>
      </c>
    </row>
    <row r="29" spans="1:12">
      <c r="A29" t="s">
        <v>11</v>
      </c>
      <c r="B29">
        <f t="shared" ref="B29:K29" si="6">(SUM(B24:B28) -MAX(B24:B28) -MIN(B24:B28))/((COUNT(B24:B28)-2)*1000)</f>
        <v>0.32733333333333331</v>
      </c>
      <c r="C29">
        <f t="shared" si="6"/>
        <v>1.0609999999999999</v>
      </c>
      <c r="D29">
        <f t="shared" si="6"/>
        <v>2.4336666666666669</v>
      </c>
      <c r="E29">
        <f t="shared" si="6"/>
        <v>4.306</v>
      </c>
      <c r="F29">
        <f t="shared" si="6"/>
        <v>4.3940000000000001</v>
      </c>
      <c r="G29">
        <f t="shared" si="6"/>
        <v>9.3290000000000006</v>
      </c>
      <c r="H29">
        <f t="shared" si="6"/>
        <v>15.704000000000001</v>
      </c>
      <c r="I29">
        <f>(SUM(I24:I28) -MAX(I24:I28) -MIN(I24:I28))/((COUNT(I24:I28)-2)*1000)</f>
        <v>20.103333333333332</v>
      </c>
      <c r="J29">
        <f>(SUM(J24:J28) -MAX(J24:J28) -MIN(J24:J28))/((COUNT(J24:J28)-2)*1000)</f>
        <v>27.472000000000001</v>
      </c>
      <c r="K29">
        <f t="shared" si="6"/>
        <v>25.315333333333335</v>
      </c>
      <c r="L29" t="s">
        <v>15</v>
      </c>
    </row>
    <row r="30" spans="1:12">
      <c r="A30" t="s">
        <v>13</v>
      </c>
      <c r="B30">
        <f t="shared" ref="B30:K30" si="7">STDEV(B24:B28)/1000</f>
        <v>6.9498201415567843E-3</v>
      </c>
      <c r="C30">
        <f t="shared" si="7"/>
        <v>2.8174456516498175E-2</v>
      </c>
      <c r="D30">
        <f t="shared" si="7"/>
        <v>6.7529993336293268E-2</v>
      </c>
      <c r="E30">
        <f t="shared" si="7"/>
        <v>8.8565230197864581E-2</v>
      </c>
      <c r="F30">
        <f t="shared" si="7"/>
        <v>0.11040969160359404</v>
      </c>
      <c r="G30">
        <f t="shared" si="7"/>
        <v>1.0928441334426411</v>
      </c>
      <c r="H30">
        <f t="shared" si="7"/>
        <v>1.8656328684926196</v>
      </c>
      <c r="I30">
        <f>STDEV(I24:I28)/1000</f>
        <v>3.8916825410097369</v>
      </c>
      <c r="J30">
        <f>STDEV(J24:J28)/1000</f>
        <v>1.7418302730174509</v>
      </c>
      <c r="K30">
        <f t="shared" si="7"/>
        <v>1.810975841915071</v>
      </c>
    </row>
    <row r="31" spans="1:12">
      <c r="A31" t="s">
        <v>14</v>
      </c>
      <c r="B31">
        <f>CONFIDENCE(0.05,B30,5)/2</f>
        <v>3.0458370035138251E-3</v>
      </c>
      <c r="C31">
        <f t="shared" ref="C31:K31" si="8">CONFIDENCE(0.05,C30,5)/2</f>
        <v>1.2347773102602702E-2</v>
      </c>
      <c r="D31">
        <f t="shared" si="8"/>
        <v>2.9595780662123698E-2</v>
      </c>
      <c r="E31">
        <f t="shared" si="8"/>
        <v>3.8814710289891023E-2</v>
      </c>
      <c r="F31">
        <f t="shared" si="8"/>
        <v>4.8388291694329559E-2</v>
      </c>
      <c r="G31">
        <f t="shared" si="8"/>
        <v>0.47895125814967821</v>
      </c>
      <c r="H31">
        <f t="shared" si="8"/>
        <v>0.81763463083716303</v>
      </c>
      <c r="I31">
        <f t="shared" si="8"/>
        <v>1.7055737339816903</v>
      </c>
      <c r="J31">
        <f t="shared" si="8"/>
        <v>0.76337674807922828</v>
      </c>
      <c r="K31">
        <f t="shared" si="8"/>
        <v>0.79368057293910588</v>
      </c>
    </row>
    <row r="33" spans="1:12">
      <c r="A33" t="s">
        <v>2</v>
      </c>
    </row>
    <row r="34" spans="1:12">
      <c r="A34" t="s">
        <v>6</v>
      </c>
      <c r="B34">
        <v>1108</v>
      </c>
      <c r="C34">
        <v>3776</v>
      </c>
      <c r="D34">
        <v>8518</v>
      </c>
      <c r="E34">
        <v>15632</v>
      </c>
      <c r="F34">
        <v>16864</v>
      </c>
      <c r="G34">
        <v>34226</v>
      </c>
      <c r="H34">
        <v>39687</v>
      </c>
      <c r="I34">
        <v>65177</v>
      </c>
      <c r="J34">
        <v>88968</v>
      </c>
      <c r="K34">
        <v>78049</v>
      </c>
    </row>
    <row r="35" spans="1:12">
      <c r="A35" t="s">
        <v>7</v>
      </c>
      <c r="B35">
        <v>1185</v>
      </c>
      <c r="C35">
        <v>4072</v>
      </c>
      <c r="D35">
        <v>9063</v>
      </c>
      <c r="E35">
        <v>16490</v>
      </c>
      <c r="F35">
        <v>16724</v>
      </c>
      <c r="G35">
        <v>41824</v>
      </c>
      <c r="H35">
        <v>49983</v>
      </c>
      <c r="I35">
        <v>73227</v>
      </c>
      <c r="J35">
        <v>97907</v>
      </c>
      <c r="K35">
        <v>88344</v>
      </c>
    </row>
    <row r="36" spans="1:12">
      <c r="A36" t="s">
        <v>8</v>
      </c>
      <c r="B36">
        <v>1185</v>
      </c>
      <c r="C36">
        <v>4071</v>
      </c>
      <c r="D36">
        <v>9079</v>
      </c>
      <c r="E36">
        <v>16505</v>
      </c>
      <c r="F36">
        <v>16255</v>
      </c>
      <c r="G36">
        <v>41855</v>
      </c>
      <c r="H36">
        <v>42011</v>
      </c>
      <c r="I36">
        <v>70918</v>
      </c>
      <c r="J36">
        <v>97829</v>
      </c>
      <c r="K36">
        <v>84803</v>
      </c>
    </row>
    <row r="37" spans="1:12">
      <c r="A37" t="s">
        <v>9</v>
      </c>
      <c r="B37">
        <v>1171</v>
      </c>
      <c r="C37">
        <v>4072</v>
      </c>
      <c r="D37">
        <v>9048</v>
      </c>
      <c r="E37">
        <v>16521</v>
      </c>
      <c r="F37">
        <v>16785</v>
      </c>
      <c r="G37">
        <v>40811</v>
      </c>
      <c r="H37">
        <v>41856</v>
      </c>
      <c r="I37">
        <v>73150</v>
      </c>
      <c r="J37">
        <v>96862</v>
      </c>
      <c r="K37">
        <v>88407</v>
      </c>
    </row>
    <row r="38" spans="1:12">
      <c r="A38" t="s">
        <v>10</v>
      </c>
      <c r="B38">
        <v>1186</v>
      </c>
      <c r="C38">
        <v>4071</v>
      </c>
      <c r="D38">
        <v>9080</v>
      </c>
      <c r="E38">
        <v>16521</v>
      </c>
      <c r="F38">
        <v>16286</v>
      </c>
      <c r="G38">
        <v>39328</v>
      </c>
      <c r="H38">
        <v>42635</v>
      </c>
      <c r="I38">
        <v>74288</v>
      </c>
      <c r="J38">
        <v>97314</v>
      </c>
      <c r="K38">
        <v>86519</v>
      </c>
    </row>
    <row r="39" spans="1:12">
      <c r="A39" t="s">
        <v>11</v>
      </c>
      <c r="B39">
        <f t="shared" ref="B39:K39" si="9">(SUM(B34:B38) -MAX(B34:B38) -MIN(B34:B38))/((COUNT(B34:B38)-2)*1000)</f>
        <v>1.1803333333333332</v>
      </c>
      <c r="C39">
        <f t="shared" si="9"/>
        <v>4.0713333333333335</v>
      </c>
      <c r="D39">
        <f t="shared" si="9"/>
        <v>9.0633333333333326</v>
      </c>
      <c r="E39">
        <f t="shared" si="9"/>
        <v>16.505333333333333</v>
      </c>
      <c r="F39">
        <f t="shared" si="9"/>
        <v>16.598333333333333</v>
      </c>
      <c r="G39">
        <f t="shared" si="9"/>
        <v>40.654333333333334</v>
      </c>
      <c r="H39">
        <f t="shared" si="9"/>
        <v>42.167333333333332</v>
      </c>
      <c r="I39">
        <f>(SUM(I34:I38) -MAX(I34:I38) -MIN(I34:I38))/((COUNT(I34:I38)-2)*1000)</f>
        <v>72.431666666666672</v>
      </c>
      <c r="J39">
        <f>(SUM(J34:J38) -MAX(J34:J38) -MIN(J34:J38))/((COUNT(J34:J38)-2)*1000)</f>
        <v>97.334999999999994</v>
      </c>
      <c r="K39">
        <f t="shared" si="9"/>
        <v>86.555333333333337</v>
      </c>
      <c r="L39" t="s">
        <v>15</v>
      </c>
    </row>
    <row r="40" spans="1:12">
      <c r="A40" t="s">
        <v>13</v>
      </c>
      <c r="B40">
        <f t="shared" ref="B40:K40" si="10">STDEV(B34:B38)/1000</f>
        <v>3.3563372893676821E-2</v>
      </c>
      <c r="C40">
        <f t="shared" si="10"/>
        <v>0.13215256335009451</v>
      </c>
      <c r="D40">
        <f t="shared" si="10"/>
        <v>0.24609408769817495</v>
      </c>
      <c r="E40">
        <f t="shared" si="10"/>
        <v>0.39252987147475549</v>
      </c>
      <c r="F40">
        <f t="shared" si="10"/>
        <v>0.28958539327802441</v>
      </c>
      <c r="G40">
        <f t="shared" si="10"/>
        <v>3.1800626880613607</v>
      </c>
      <c r="H40">
        <f t="shared" si="10"/>
        <v>3.9333072343767137</v>
      </c>
      <c r="I40">
        <f>STDEV(I34:I38)/1000</f>
        <v>3.6635879271555636</v>
      </c>
      <c r="J40">
        <f>STDEV(J34:J38)/1000</f>
        <v>3.8291537576858938</v>
      </c>
      <c r="K40">
        <f t="shared" si="10"/>
        <v>4.2778726956279609</v>
      </c>
    </row>
    <row r="41" spans="1:12">
      <c r="A41" t="s">
        <v>14</v>
      </c>
      <c r="B41">
        <f>CONFIDENCE(0.05,B40,5)/2</f>
        <v>1.4709526439542387E-2</v>
      </c>
      <c r="C41">
        <f t="shared" ref="C41:K41" si="11">CONFIDENCE(0.05,C40,5)/2</f>
        <v>5.7917350285666233E-2</v>
      </c>
      <c r="D41">
        <f t="shared" si="11"/>
        <v>0.10785350748504018</v>
      </c>
      <c r="E41">
        <f t="shared" si="11"/>
        <v>0.17203064009862584</v>
      </c>
      <c r="F41">
        <f t="shared" si="11"/>
        <v>0.12691406231496122</v>
      </c>
      <c r="G41">
        <f t="shared" si="11"/>
        <v>1.3936983132661684</v>
      </c>
      <c r="H41">
        <f t="shared" si="11"/>
        <v>1.7238162249720621</v>
      </c>
      <c r="I41">
        <f t="shared" si="11"/>
        <v>1.6056086987680431</v>
      </c>
      <c r="J41">
        <f t="shared" si="11"/>
        <v>1.6781697899726018</v>
      </c>
      <c r="K41">
        <f t="shared" si="11"/>
        <v>1.8748259217175047</v>
      </c>
    </row>
    <row r="43" spans="1:12">
      <c r="A43" t="s">
        <v>3</v>
      </c>
    </row>
    <row r="44" spans="1:12">
      <c r="A44" t="s">
        <v>6</v>
      </c>
      <c r="B44">
        <v>328</v>
      </c>
      <c r="C44">
        <v>1123</v>
      </c>
      <c r="D44">
        <v>2574</v>
      </c>
      <c r="E44">
        <v>6318</v>
      </c>
      <c r="F44">
        <v>6458</v>
      </c>
      <c r="G44">
        <v>13743</v>
      </c>
      <c r="H44">
        <v>18080</v>
      </c>
      <c r="I44">
        <v>27301</v>
      </c>
      <c r="J44">
        <v>34226</v>
      </c>
      <c r="K44">
        <v>30608</v>
      </c>
    </row>
    <row r="45" spans="1:12">
      <c r="A45" t="s">
        <v>7</v>
      </c>
      <c r="B45">
        <v>327</v>
      </c>
      <c r="C45">
        <v>1108</v>
      </c>
      <c r="D45">
        <v>2558</v>
      </c>
      <c r="E45">
        <v>4945</v>
      </c>
      <c r="F45">
        <v>4820</v>
      </c>
      <c r="G45">
        <v>13042</v>
      </c>
      <c r="H45">
        <v>12574</v>
      </c>
      <c r="I45">
        <v>25507</v>
      </c>
      <c r="J45">
        <v>35990</v>
      </c>
      <c r="K45">
        <v>31232</v>
      </c>
    </row>
    <row r="46" spans="1:12">
      <c r="A46" t="s">
        <v>8</v>
      </c>
      <c r="B46">
        <v>327</v>
      </c>
      <c r="C46">
        <v>1092</v>
      </c>
      <c r="D46">
        <v>2559</v>
      </c>
      <c r="E46">
        <v>4929</v>
      </c>
      <c r="F46">
        <v>4602</v>
      </c>
      <c r="G46">
        <v>13354</v>
      </c>
      <c r="H46">
        <v>12621</v>
      </c>
      <c r="I46">
        <v>25990</v>
      </c>
      <c r="J46">
        <v>36505</v>
      </c>
      <c r="K46">
        <v>30670</v>
      </c>
    </row>
    <row r="47" spans="1:12">
      <c r="A47" t="s">
        <v>9</v>
      </c>
      <c r="B47">
        <v>327</v>
      </c>
      <c r="C47">
        <v>1107</v>
      </c>
      <c r="D47">
        <v>2543</v>
      </c>
      <c r="E47">
        <v>4930</v>
      </c>
      <c r="F47">
        <v>4462</v>
      </c>
      <c r="G47">
        <v>13370</v>
      </c>
      <c r="H47">
        <v>12605</v>
      </c>
      <c r="I47">
        <v>25787</v>
      </c>
      <c r="J47">
        <v>35397</v>
      </c>
      <c r="K47">
        <v>32402</v>
      </c>
    </row>
    <row r="48" spans="1:12">
      <c r="A48" t="s">
        <v>10</v>
      </c>
      <c r="B48">
        <v>328</v>
      </c>
      <c r="C48">
        <v>1092</v>
      </c>
      <c r="D48">
        <v>2543</v>
      </c>
      <c r="E48">
        <v>4945</v>
      </c>
      <c r="F48">
        <v>4430</v>
      </c>
      <c r="G48">
        <v>14305</v>
      </c>
      <c r="H48">
        <v>13947</v>
      </c>
      <c r="I48">
        <v>26957</v>
      </c>
      <c r="J48">
        <v>36816</v>
      </c>
      <c r="K48">
        <v>32215</v>
      </c>
    </row>
    <row r="49" spans="1:12">
      <c r="A49" t="s">
        <v>11</v>
      </c>
      <c r="B49">
        <f t="shared" ref="B49:K49" si="12">(SUM(B44:B48) -MAX(B44:B48) -MIN(B44:B48))/((COUNT(B44:B48)-2)*1000)</f>
        <v>0.32733333333333331</v>
      </c>
      <c r="C49">
        <f t="shared" si="12"/>
        <v>1.1023333333333334</v>
      </c>
      <c r="D49">
        <f t="shared" si="12"/>
        <v>2.5533333333333332</v>
      </c>
      <c r="E49">
        <f t="shared" si="12"/>
        <v>4.9400000000000004</v>
      </c>
      <c r="F49">
        <f t="shared" si="12"/>
        <v>4.6280000000000001</v>
      </c>
      <c r="G49">
        <f t="shared" si="12"/>
        <v>13.489000000000001</v>
      </c>
      <c r="H49">
        <f t="shared" si="12"/>
        <v>13.057666666666666</v>
      </c>
      <c r="I49">
        <f>(SUM(I44:I48) -MAX(I44:I48) -MIN(I44:I48))/((COUNT(I44:I48)-2)*1000)</f>
        <v>26.244666666666667</v>
      </c>
      <c r="J49">
        <f>(SUM(J44:J48) -MAX(J44:J48) -MIN(J44:J48))/((COUNT(J44:J48)-2)*1000)</f>
        <v>35.963999999999999</v>
      </c>
      <c r="K49">
        <f t="shared" si="12"/>
        <v>31.372333333333334</v>
      </c>
      <c r="L49" t="s">
        <v>15</v>
      </c>
    </row>
    <row r="50" spans="1:12">
      <c r="A50" t="s">
        <v>13</v>
      </c>
      <c r="B50">
        <f t="shared" ref="B50:K50" si="13">STDEV(B44:B48)/1000</f>
        <v>5.4772255750516622E-4</v>
      </c>
      <c r="C50">
        <f t="shared" si="13"/>
        <v>1.2973048986265587E-2</v>
      </c>
      <c r="D50">
        <f t="shared" si="13"/>
        <v>1.2973048986256612E-2</v>
      </c>
      <c r="E50">
        <f t="shared" si="13"/>
        <v>0.61753890565696101</v>
      </c>
      <c r="F50">
        <f t="shared" si="13"/>
        <v>0.85447574570610296</v>
      </c>
      <c r="G50">
        <f t="shared" si="13"/>
        <v>0.48356354287723974</v>
      </c>
      <c r="H50">
        <f t="shared" si="13"/>
        <v>2.3729920564553124</v>
      </c>
      <c r="I50">
        <f>STDEV(I44:I48)/1000</f>
        <v>0.77804485731862039</v>
      </c>
      <c r="J50">
        <f>STDEV(J44:J48)/1000</f>
        <v>1.0252310471303763</v>
      </c>
      <c r="K50">
        <f t="shared" si="13"/>
        <v>0.84459919488474078</v>
      </c>
    </row>
    <row r="51" spans="1:12">
      <c r="A51" t="s">
        <v>14</v>
      </c>
      <c r="B51">
        <f>CONFIDENCE(0.05,B50,5)/2</f>
        <v>2.4004558381776552E-4</v>
      </c>
      <c r="C51">
        <f t="shared" ref="C51:K51" si="14">CONFIDENCE(0.05,C50,5)/2</f>
        <v>5.6855849282329788E-3</v>
      </c>
      <c r="D51">
        <f t="shared" si="14"/>
        <v>5.6855849282290453E-3</v>
      </c>
      <c r="E51">
        <f t="shared" si="14"/>
        <v>0.27064338524566067</v>
      </c>
      <c r="F51">
        <f t="shared" si="14"/>
        <v>0.37448362574369121</v>
      </c>
      <c r="G51">
        <f t="shared" si="14"/>
        <v>0.21192717256648544</v>
      </c>
      <c r="H51">
        <f t="shared" si="14"/>
        <v>1.0399905130461287</v>
      </c>
      <c r="I51">
        <f t="shared" si="14"/>
        <v>0.34098692750973053</v>
      </c>
      <c r="J51">
        <f t="shared" si="14"/>
        <v>0.44931906105435321</v>
      </c>
      <c r="K51">
        <f t="shared" si="14"/>
        <v>0.37015511603465412</v>
      </c>
    </row>
    <row r="53" spans="1:12">
      <c r="A53" t="s">
        <v>4</v>
      </c>
    </row>
    <row r="54" spans="1:12">
      <c r="A54" t="s">
        <v>6</v>
      </c>
      <c r="B54">
        <v>484</v>
      </c>
      <c r="C54">
        <v>1653</v>
      </c>
      <c r="D54">
        <v>3791</v>
      </c>
      <c r="E54">
        <v>7332</v>
      </c>
      <c r="F54">
        <v>6942</v>
      </c>
      <c r="G54">
        <v>15351</v>
      </c>
      <c r="H54">
        <v>20389</v>
      </c>
      <c r="I54">
        <v>35833</v>
      </c>
      <c r="J54">
        <v>48516</v>
      </c>
      <c r="K54">
        <v>44663</v>
      </c>
    </row>
    <row r="55" spans="1:12">
      <c r="A55" t="s">
        <v>7</v>
      </c>
      <c r="B55">
        <v>515</v>
      </c>
      <c r="C55">
        <v>1716</v>
      </c>
      <c r="D55">
        <v>3900</v>
      </c>
      <c r="E55">
        <v>7410</v>
      </c>
      <c r="F55">
        <v>6958</v>
      </c>
      <c r="G55">
        <v>14711</v>
      </c>
      <c r="H55">
        <v>20046</v>
      </c>
      <c r="I55">
        <v>38766</v>
      </c>
      <c r="J55">
        <v>52994</v>
      </c>
      <c r="K55">
        <v>46817</v>
      </c>
    </row>
    <row r="56" spans="1:12">
      <c r="A56" t="s">
        <v>8</v>
      </c>
      <c r="B56">
        <v>530</v>
      </c>
      <c r="C56">
        <v>1716</v>
      </c>
      <c r="D56">
        <v>3901</v>
      </c>
      <c r="E56">
        <v>7426</v>
      </c>
      <c r="F56">
        <v>6864</v>
      </c>
      <c r="G56">
        <v>14726</v>
      </c>
      <c r="H56">
        <v>19391</v>
      </c>
      <c r="I56">
        <v>39952</v>
      </c>
      <c r="J56">
        <v>50935</v>
      </c>
      <c r="K56">
        <v>46941</v>
      </c>
    </row>
    <row r="57" spans="1:12">
      <c r="A57" t="s">
        <v>9</v>
      </c>
      <c r="B57">
        <v>531</v>
      </c>
      <c r="C57">
        <v>1716</v>
      </c>
      <c r="D57">
        <v>3900</v>
      </c>
      <c r="E57">
        <v>7426</v>
      </c>
      <c r="F57">
        <v>6896</v>
      </c>
      <c r="G57">
        <v>14726</v>
      </c>
      <c r="H57">
        <v>19750</v>
      </c>
      <c r="I57">
        <v>39625</v>
      </c>
      <c r="J57">
        <v>51606</v>
      </c>
      <c r="K57">
        <v>47737</v>
      </c>
    </row>
    <row r="58" spans="1:12">
      <c r="A58" t="s">
        <v>10</v>
      </c>
      <c r="B58">
        <v>530</v>
      </c>
      <c r="C58">
        <v>1700</v>
      </c>
      <c r="D58">
        <v>3900</v>
      </c>
      <c r="E58">
        <v>7441</v>
      </c>
      <c r="F58">
        <v>6848</v>
      </c>
      <c r="G58">
        <v>14743</v>
      </c>
      <c r="H58">
        <v>18892</v>
      </c>
      <c r="I58">
        <v>40280</v>
      </c>
      <c r="J58">
        <v>50872</v>
      </c>
      <c r="K58">
        <v>47269</v>
      </c>
    </row>
    <row r="59" spans="1:12">
      <c r="A59" t="s">
        <v>11</v>
      </c>
      <c r="B59">
        <f t="shared" ref="B59:K59" si="15">(SUM(B54:B58) -MAX(B54:B58) -MIN(B54:B58))/((COUNT(B54:B58)-2)*1000)</f>
        <v>0.52500000000000002</v>
      </c>
      <c r="C59">
        <f t="shared" si="15"/>
        <v>1.7106666666666666</v>
      </c>
      <c r="D59">
        <f t="shared" si="15"/>
        <v>3.9</v>
      </c>
      <c r="E59">
        <f t="shared" si="15"/>
        <v>7.4206666666666665</v>
      </c>
      <c r="F59">
        <f t="shared" si="15"/>
        <v>6.9006666666666669</v>
      </c>
      <c r="G59">
        <f t="shared" si="15"/>
        <v>14.731666666666667</v>
      </c>
      <c r="H59">
        <f t="shared" si="15"/>
        <v>19.728999999999999</v>
      </c>
      <c r="I59">
        <f>(SUM(I54:I58) -MAX(I54:I58) -MIN(I54:I58))/((COUNT(I54:I58)-2)*1000)</f>
        <v>39.44766666666667</v>
      </c>
      <c r="J59">
        <f>(SUM(J54:J58) -MAX(J54:J58) -MIN(J54:J58))/((COUNT(J54:J58)-2)*1000)</f>
        <v>51.137666666666668</v>
      </c>
      <c r="K59">
        <f t="shared" si="15"/>
        <v>47.009</v>
      </c>
      <c r="L59" t="s">
        <v>15</v>
      </c>
    </row>
    <row r="60" spans="1:12">
      <c r="A60" t="s">
        <v>13</v>
      </c>
      <c r="B60">
        <f t="shared" ref="B60:K60" si="16">STDEV(B54:B58)/1000</f>
        <v>2.0137030565602267E-2</v>
      </c>
      <c r="C60">
        <f t="shared" si="16"/>
        <v>2.7280029325500849E-2</v>
      </c>
      <c r="D60">
        <f t="shared" si="16"/>
        <v>4.8860004093335324E-2</v>
      </c>
      <c r="E60">
        <f t="shared" si="16"/>
        <v>4.3335897360040905E-2</v>
      </c>
      <c r="F60">
        <f t="shared" si="16"/>
        <v>4.7778656322640757E-2</v>
      </c>
      <c r="G60">
        <f t="shared" si="16"/>
        <v>0.27951440034461894</v>
      </c>
      <c r="H60">
        <f t="shared" si="16"/>
        <v>0.57988731664006232</v>
      </c>
      <c r="I60">
        <f>STDEV(I54:I58)/1000</f>
        <v>1.8000546380596472</v>
      </c>
      <c r="J60">
        <f>STDEV(J54:J58)/1000</f>
        <v>1.6227254234774873</v>
      </c>
      <c r="K60">
        <f t="shared" si="16"/>
        <v>1.1852429286860102</v>
      </c>
    </row>
    <row r="61" spans="1:12">
      <c r="A61" t="s">
        <v>14</v>
      </c>
      <c r="B61">
        <f>CONFIDENCE(0.05,B60,5)/2</f>
        <v>8.8252805955149876E-3</v>
      </c>
      <c r="C61">
        <f t="shared" ref="C61:K61" si="17">CONFIDENCE(0.05,C60,5)/2</f>
        <v>1.1955780305695827E-2</v>
      </c>
      <c r="D61">
        <f t="shared" si="17"/>
        <v>2.1413447460236226E-2</v>
      </c>
      <c r="E61">
        <f t="shared" si="17"/>
        <v>1.8992445426094514E-2</v>
      </c>
      <c r="F61">
        <f t="shared" si="17"/>
        <v>2.0939534612628211E-2</v>
      </c>
      <c r="G61">
        <f t="shared" si="17"/>
        <v>0.12250033615890255</v>
      </c>
      <c r="H61">
        <f t="shared" si="17"/>
        <v>0.254142152014742</v>
      </c>
      <c r="I61">
        <f t="shared" si="17"/>
        <v>0.7888942322643504</v>
      </c>
      <c r="J61">
        <f t="shared" si="17"/>
        <v>0.71117770542234815</v>
      </c>
      <c r="K61">
        <f t="shared" si="17"/>
        <v>0.51944607152614486</v>
      </c>
    </row>
    <row r="63" spans="1:12">
      <c r="A63" t="s">
        <v>5</v>
      </c>
    </row>
    <row r="64" spans="1:12">
      <c r="A64" t="s">
        <v>6</v>
      </c>
      <c r="B64">
        <v>1279</v>
      </c>
      <c r="C64">
        <v>4228</v>
      </c>
      <c r="D64">
        <v>9548</v>
      </c>
      <c r="E64">
        <v>18221</v>
      </c>
      <c r="F64">
        <v>17690</v>
      </c>
      <c r="G64">
        <v>36925</v>
      </c>
      <c r="H64">
        <v>52308</v>
      </c>
      <c r="I64">
        <v>86316</v>
      </c>
      <c r="J64">
        <v>112368</v>
      </c>
      <c r="K64">
        <v>98531</v>
      </c>
    </row>
    <row r="65" spans="1:12">
      <c r="A65" t="s">
        <v>7</v>
      </c>
      <c r="B65">
        <v>1357</v>
      </c>
      <c r="C65">
        <v>4556</v>
      </c>
      <c r="D65">
        <v>10171</v>
      </c>
      <c r="E65">
        <v>20249</v>
      </c>
      <c r="F65">
        <v>22448</v>
      </c>
      <c r="G65">
        <v>40545</v>
      </c>
      <c r="H65">
        <v>60185</v>
      </c>
      <c r="I65">
        <v>97502</v>
      </c>
      <c r="J65">
        <v>126128</v>
      </c>
      <c r="K65">
        <v>109919</v>
      </c>
    </row>
    <row r="66" spans="1:12">
      <c r="A66" t="s">
        <v>8</v>
      </c>
      <c r="B66">
        <v>1373</v>
      </c>
      <c r="C66">
        <v>4524</v>
      </c>
      <c r="D66">
        <v>10155</v>
      </c>
      <c r="E66">
        <v>20249</v>
      </c>
      <c r="F66">
        <v>22401</v>
      </c>
      <c r="G66">
        <v>40545</v>
      </c>
      <c r="H66">
        <v>52416</v>
      </c>
      <c r="I66">
        <v>93929</v>
      </c>
      <c r="J66">
        <v>122867</v>
      </c>
      <c r="K66">
        <v>108795</v>
      </c>
    </row>
    <row r="67" spans="1:12">
      <c r="A67" t="s">
        <v>9</v>
      </c>
      <c r="B67">
        <v>1373</v>
      </c>
      <c r="C67">
        <v>4524</v>
      </c>
      <c r="D67">
        <v>10156</v>
      </c>
      <c r="E67">
        <v>20764</v>
      </c>
      <c r="F67">
        <v>21872</v>
      </c>
      <c r="G67">
        <v>40950</v>
      </c>
      <c r="H67">
        <v>58680</v>
      </c>
      <c r="I67">
        <v>95021</v>
      </c>
      <c r="J67">
        <v>120106</v>
      </c>
      <c r="K67">
        <v>108811</v>
      </c>
    </row>
    <row r="68" spans="1:12">
      <c r="A68" t="s">
        <v>10</v>
      </c>
      <c r="B68">
        <v>1372</v>
      </c>
      <c r="C68">
        <v>4524</v>
      </c>
      <c r="D68">
        <v>10156</v>
      </c>
      <c r="E68">
        <v>19937</v>
      </c>
      <c r="F68">
        <v>22386</v>
      </c>
      <c r="G68">
        <v>40747</v>
      </c>
      <c r="H68">
        <v>55823</v>
      </c>
      <c r="I68">
        <v>93741</v>
      </c>
      <c r="J68">
        <v>123382</v>
      </c>
      <c r="K68">
        <v>105785</v>
      </c>
    </row>
    <row r="69" spans="1:12">
      <c r="A69" t="s">
        <v>11</v>
      </c>
      <c r="B69">
        <f t="shared" ref="B69:K69" si="18">(SUM(B64:B68) -MAX(B64:B68) -MIN(B64:B68))/((COUNT(B64:B68)-2)*1000)</f>
        <v>1.3673333333333333</v>
      </c>
      <c r="C69">
        <f t="shared" si="18"/>
        <v>4.524</v>
      </c>
      <c r="D69">
        <f t="shared" si="18"/>
        <v>10.155666666666667</v>
      </c>
      <c r="E69">
        <f t="shared" si="18"/>
        <v>20.145</v>
      </c>
      <c r="F69">
        <f t="shared" si="18"/>
        <v>22.219666666666665</v>
      </c>
      <c r="G69">
        <f t="shared" si="18"/>
        <v>40.612333333333332</v>
      </c>
      <c r="H69">
        <f t="shared" si="18"/>
        <v>55.639666666666663</v>
      </c>
      <c r="I69">
        <f>(SUM(I64:I68) -MAX(I64:I68) -MIN(I64:I68))/((COUNT(I64:I68)-2)*1000)</f>
        <v>94.230333333333334</v>
      </c>
      <c r="J69">
        <f>(SUM(J64:J68) -MAX(J64:J68) -MIN(J64:J68))/((COUNT(J64:J68)-2)*1000)</f>
        <v>122.11833333333334</v>
      </c>
      <c r="K69">
        <f t="shared" si="18"/>
        <v>107.797</v>
      </c>
      <c r="L69" t="s">
        <v>15</v>
      </c>
    </row>
    <row r="70" spans="1:12">
      <c r="A70" t="s">
        <v>13</v>
      </c>
      <c r="B70">
        <f t="shared" ref="B70:K70" si="19">STDEV(B64:B68)/1000</f>
        <v>4.070872142428679E-2</v>
      </c>
      <c r="C70">
        <f t="shared" si="19"/>
        <v>0.13665723544693584</v>
      </c>
      <c r="D70">
        <f t="shared" si="19"/>
        <v>0.27355200602445412</v>
      </c>
      <c r="E70">
        <f t="shared" si="19"/>
        <v>0.97586218289264592</v>
      </c>
      <c r="F70">
        <f t="shared" si="19"/>
        <v>2.0646514960157205</v>
      </c>
      <c r="G70">
        <f t="shared" si="19"/>
        <v>1.6951102619003735</v>
      </c>
      <c r="H70">
        <f t="shared" si="19"/>
        <v>3.5754274289936565</v>
      </c>
      <c r="I70">
        <f>STDEV(I64:I68)/1000</f>
        <v>4.1828521011387396</v>
      </c>
      <c r="J70">
        <f>STDEV(J64:J68)/1000</f>
        <v>5.2621815058016352</v>
      </c>
      <c r="K70">
        <f t="shared" si="19"/>
        <v>4.6429149464534412</v>
      </c>
    </row>
    <row r="71" spans="1:12">
      <c r="A71" t="s">
        <v>14</v>
      </c>
      <c r="B71">
        <f>CONFIDENCE(0.05,B70,5)/2</f>
        <v>1.7841055963220085E-2</v>
      </c>
      <c r="C71">
        <f t="shared" ref="C71:K71" si="20">CONFIDENCE(0.05,C70,5)/2</f>
        <v>5.9891573601060136E-2</v>
      </c>
      <c r="D71">
        <f t="shared" si="20"/>
        <v>0.11988724965018743</v>
      </c>
      <c r="E71">
        <f t="shared" si="20"/>
        <v>0.42768259990083529</v>
      </c>
      <c r="F71">
        <f t="shared" si="20"/>
        <v>0.90485678734646946</v>
      </c>
      <c r="G71">
        <f t="shared" si="20"/>
        <v>0.74290117665917488</v>
      </c>
      <c r="H71">
        <f t="shared" si="20"/>
        <v>1.5669713668543575</v>
      </c>
      <c r="I71">
        <f t="shared" si="20"/>
        <v>1.8331820752731101</v>
      </c>
      <c r="J71">
        <f t="shared" si="20"/>
        <v>2.3062103512201753</v>
      </c>
      <c r="K71">
        <f t="shared" si="20"/>
        <v>2.0348098022731769</v>
      </c>
    </row>
    <row r="73" spans="1:12">
      <c r="A73" s="1" t="s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G164"/>
  <sheetViews>
    <sheetView topLeftCell="A118" workbookViewId="0">
      <selection activeCell="F14" sqref="F14"/>
    </sheetView>
  </sheetViews>
  <sheetFormatPr defaultRowHeight="15"/>
  <cols>
    <col min="1" max="1" width="24.140625" customWidth="1"/>
    <col min="2" max="6" width="12.7109375" customWidth="1"/>
    <col min="7" max="7" width="10.7109375" customWidth="1"/>
  </cols>
  <sheetData>
    <row r="1" spans="1:7">
      <c r="A1" t="s">
        <v>19</v>
      </c>
      <c r="B1">
        <v>10</v>
      </c>
    </row>
    <row r="2" spans="1:7">
      <c r="A2" t="s">
        <v>18</v>
      </c>
      <c r="B2" t="str">
        <f>'int - 2k'!B1</f>
        <v>2k</v>
      </c>
      <c r="C2" t="s">
        <v>21</v>
      </c>
      <c r="D2" t="s">
        <v>22</v>
      </c>
      <c r="E2" t="s">
        <v>23</v>
      </c>
      <c r="F2" t="str">
        <f>'int - 10k'!B1</f>
        <v>10k</v>
      </c>
    </row>
    <row r="3" spans="1:7">
      <c r="A3" t="s">
        <v>56</v>
      </c>
    </row>
    <row r="4" spans="1:7">
      <c r="A4" t="s">
        <v>6</v>
      </c>
      <c r="B4">
        <f>'int - 2k'!B4:B11</f>
        <v>7753</v>
      </c>
      <c r="C4">
        <v>12496</v>
      </c>
      <c r="D4">
        <v>17504</v>
      </c>
      <c r="E4">
        <v>21841</v>
      </c>
      <c r="F4">
        <f>'int - 10k'!F4:F11</f>
        <v>27067</v>
      </c>
    </row>
    <row r="5" spans="1:7">
      <c r="A5" t="s">
        <v>7</v>
      </c>
      <c r="B5">
        <f>'int - 2k'!B5:B13</f>
        <v>5788</v>
      </c>
      <c r="C5">
        <v>11263</v>
      </c>
      <c r="D5">
        <v>17222</v>
      </c>
      <c r="E5">
        <v>22480</v>
      </c>
      <c r="F5">
        <f>'int - 10k'!F5:F12</f>
        <v>28533</v>
      </c>
    </row>
    <row r="6" spans="1:7">
      <c r="A6" t="s">
        <v>8</v>
      </c>
      <c r="B6">
        <f>'int - 2k'!B6:B14</f>
        <v>5803</v>
      </c>
      <c r="C6">
        <v>11264</v>
      </c>
      <c r="D6">
        <v>17160</v>
      </c>
      <c r="E6">
        <v>22449</v>
      </c>
      <c r="F6">
        <f>'int - 10k'!F6:F13</f>
        <v>28283</v>
      </c>
    </row>
    <row r="7" spans="1:7">
      <c r="A7" t="s">
        <v>9</v>
      </c>
      <c r="B7">
        <f>'int - 2k'!B7:B15</f>
        <v>5788</v>
      </c>
      <c r="C7">
        <v>11310</v>
      </c>
      <c r="D7">
        <v>17020</v>
      </c>
      <c r="E7">
        <v>22480</v>
      </c>
      <c r="F7">
        <f>'int - 10k'!F7:F14</f>
        <v>28205</v>
      </c>
    </row>
    <row r="8" spans="1:7">
      <c r="A8" t="s">
        <v>10</v>
      </c>
      <c r="B8">
        <f>'int - 2k'!B8:B16</f>
        <v>5804</v>
      </c>
      <c r="C8">
        <v>11326</v>
      </c>
      <c r="D8">
        <v>17036</v>
      </c>
      <c r="E8">
        <v>22449</v>
      </c>
      <c r="F8">
        <f>'int - 10k'!F8:F15</f>
        <v>28236</v>
      </c>
    </row>
    <row r="9" spans="1:7">
      <c r="A9" t="s">
        <v>11</v>
      </c>
      <c r="B9">
        <f>'int - 2k'!B9:B17</f>
        <v>5.79575</v>
      </c>
      <c r="C9">
        <f>(SUM(C4:C8) -MAX(C4:C8))/((COUNT(C4:C8)-1)*1000)</f>
        <v>11.290749999999999</v>
      </c>
      <c r="D9">
        <f>(SUM(D4:D8) -MAX(D4:D8))/((COUNT(D4:D8)-1)*1000)</f>
        <v>17.109500000000001</v>
      </c>
      <c r="E9">
        <f>(SUM(E4:E8) -MAX(E4:E8))/((COUNT(E4:E8)-1)*1000)</f>
        <v>22.304749999999999</v>
      </c>
      <c r="F9">
        <f>'int - 10k'!F9:F16</f>
        <v>28.241333333333333</v>
      </c>
      <c r="G9" t="s">
        <v>15</v>
      </c>
    </row>
    <row r="10" spans="1:7">
      <c r="A10" t="s">
        <v>13</v>
      </c>
      <c r="B10">
        <f>'int - 2k'!B10:B18</f>
        <v>0.87534318984042081</v>
      </c>
      <c r="C10">
        <f>STDEV(C4:C8)/1000</f>
        <v>0.53972233602102115</v>
      </c>
      <c r="D10">
        <f>STDEV(D4:D8)/1000</f>
        <v>0.19565479805006553</v>
      </c>
      <c r="E10">
        <f>STDEV(E4:E8)/1000</f>
        <v>0.27926815070832495</v>
      </c>
      <c r="F10">
        <f>'int - 10k'!F10:F17</f>
        <v>0.57258030004537153</v>
      </c>
    </row>
    <row r="11" spans="1:7">
      <c r="A11" t="s">
        <v>14</v>
      </c>
      <c r="B11">
        <f>'int - 2k'!B11:B19</f>
        <v>0.38362901831766727</v>
      </c>
      <c r="C11">
        <f>CONFIDENCE(0.05,C10,5)/2</f>
        <v>0.23653939658753645</v>
      </c>
      <c r="D11">
        <f t="shared" ref="D11:E11" si="0">CONFIDENCE(0.05,D10,5)/2</f>
        <v>8.5747920331420702E-2</v>
      </c>
      <c r="E11">
        <f t="shared" si="0"/>
        <v>0.12239241448049232</v>
      </c>
      <c r="F11">
        <f>'int - 10k'!F11:F18</f>
        <v>0.2509397696399352</v>
      </c>
    </row>
    <row r="13" spans="1:7">
      <c r="A13" t="s">
        <v>0</v>
      </c>
    </row>
    <row r="14" spans="1:7">
      <c r="A14" t="s">
        <v>6</v>
      </c>
      <c r="B14">
        <f>'int - 2k'!B15</f>
        <v>858</v>
      </c>
      <c r="C14">
        <v>1014</v>
      </c>
      <c r="D14">
        <v>1310</v>
      </c>
      <c r="E14">
        <v>1592</v>
      </c>
      <c r="F14">
        <f>'int - 10k'!F14:F21</f>
        <v>2028</v>
      </c>
    </row>
    <row r="15" spans="1:7">
      <c r="A15" t="s">
        <v>7</v>
      </c>
      <c r="B15">
        <f>'int - 2k'!B16</f>
        <v>858</v>
      </c>
      <c r="C15">
        <v>1014</v>
      </c>
      <c r="D15">
        <v>1310</v>
      </c>
      <c r="E15">
        <v>1592</v>
      </c>
      <c r="F15">
        <f>'int - 10k'!F15:F22</f>
        <v>2028</v>
      </c>
    </row>
    <row r="16" spans="1:7">
      <c r="A16" t="s">
        <v>8</v>
      </c>
      <c r="B16">
        <f>'int - 2k'!B17</f>
        <v>874</v>
      </c>
      <c r="C16">
        <v>1014</v>
      </c>
      <c r="D16">
        <v>1327</v>
      </c>
      <c r="E16">
        <v>1591</v>
      </c>
      <c r="F16">
        <f>'int - 10k'!F16:F23</f>
        <v>1950</v>
      </c>
    </row>
    <row r="17" spans="1:7">
      <c r="A17" t="s">
        <v>9</v>
      </c>
      <c r="B17">
        <f>'int - 2k'!B18</f>
        <v>920</v>
      </c>
      <c r="C17">
        <v>1060</v>
      </c>
      <c r="D17">
        <v>1310</v>
      </c>
      <c r="E17">
        <v>1576</v>
      </c>
      <c r="F17">
        <f>'int - 10k'!F17:F24</f>
        <v>1919</v>
      </c>
    </row>
    <row r="18" spans="1:7">
      <c r="A18" t="s">
        <v>10</v>
      </c>
      <c r="B18">
        <f>'int - 2k'!B19</f>
        <v>874</v>
      </c>
      <c r="C18">
        <v>1107</v>
      </c>
      <c r="D18">
        <v>1326</v>
      </c>
      <c r="E18">
        <v>1606</v>
      </c>
      <c r="F18">
        <f>'int - 10k'!F18:F25</f>
        <v>1934</v>
      </c>
    </row>
    <row r="19" spans="1:7">
      <c r="A19" t="s">
        <v>11</v>
      </c>
      <c r="B19">
        <f>'int - 2k'!B20</f>
        <v>0.86599999999999999</v>
      </c>
      <c r="C19">
        <f>(SUM(C14:C18) -MAX(C14:C18))/((COUNT(C14:C18)-1)*1000)</f>
        <v>1.0255000000000001</v>
      </c>
      <c r="D19">
        <f>(SUM(D14:D18) -MAX(D14:D18))/((COUNT(D14:D18)-1)*1000)</f>
        <v>1.3140000000000001</v>
      </c>
      <c r="E19">
        <f>(SUM(E14:E18) -MAX(E14:E18))/((COUNT(E14:E18)-1)*1000)</f>
        <v>1.58775</v>
      </c>
      <c r="F19">
        <f>'int - 10k'!F19:F26</f>
        <v>1.9706666666666666</v>
      </c>
      <c r="G19" t="s">
        <v>15</v>
      </c>
    </row>
    <row r="20" spans="1:7">
      <c r="A20" t="s">
        <v>13</v>
      </c>
      <c r="B20">
        <f>'int - 2k'!B21</f>
        <v>2.5440125785851638E-2</v>
      </c>
      <c r="C20">
        <f>STDEV(C14:C18)/1000</f>
        <v>4.1535526961866673E-2</v>
      </c>
      <c r="D20">
        <f>STDEV(D14:D18)/1000</f>
        <v>9.0443352436657132E-3</v>
      </c>
      <c r="E20">
        <f>STDEV(E14:E18)/1000</f>
        <v>1.0620734437872635E-2</v>
      </c>
      <c r="F20">
        <f>'int - 10k'!F20:F27</f>
        <v>5.2461414391914617E-2</v>
      </c>
    </row>
    <row r="21" spans="1:7">
      <c r="A21" t="s">
        <v>14</v>
      </c>
      <c r="B21">
        <f>'int - 2k'!B22</f>
        <v>1.1149421843201241E-2</v>
      </c>
      <c r="C21">
        <f>CONFIDENCE(0.05,C20,5)/2</f>
        <v>1.820341280840124E-2</v>
      </c>
      <c r="D21">
        <f t="shared" ref="D21:E21" si="1">CONFIDENCE(0.05,D20,5)/2</f>
        <v>3.9637818528020933E-3</v>
      </c>
      <c r="E21">
        <f t="shared" si="1"/>
        <v>4.6546565661366567E-3</v>
      </c>
      <c r="F21">
        <f>'int - 10k'!F21:F28</f>
        <v>2.2991806112520916E-2</v>
      </c>
    </row>
    <row r="23" spans="1:7">
      <c r="A23" t="s">
        <v>1</v>
      </c>
    </row>
    <row r="24" spans="1:7">
      <c r="A24" t="s">
        <v>6</v>
      </c>
      <c r="B24">
        <f>'int - 2k'!B25</f>
        <v>1357</v>
      </c>
      <c r="C24">
        <v>1919</v>
      </c>
      <c r="D24">
        <v>2714</v>
      </c>
      <c r="E24">
        <v>3401</v>
      </c>
      <c r="F24">
        <f>'int - 10k'!F24:F31</f>
        <v>4197</v>
      </c>
    </row>
    <row r="25" spans="1:7">
      <c r="A25" t="s">
        <v>7</v>
      </c>
      <c r="B25">
        <f>'int - 2k'!B26</f>
        <v>1388</v>
      </c>
      <c r="C25">
        <v>2075</v>
      </c>
      <c r="D25">
        <v>2839</v>
      </c>
      <c r="E25">
        <v>3573</v>
      </c>
      <c r="F25">
        <f>'int - 10k'!F25:F32</f>
        <v>4493</v>
      </c>
    </row>
    <row r="26" spans="1:7">
      <c r="A26" t="s">
        <v>8</v>
      </c>
      <c r="B26">
        <f>'int - 2k'!B27</f>
        <v>1342</v>
      </c>
      <c r="C26">
        <v>1981</v>
      </c>
      <c r="D26">
        <v>2808</v>
      </c>
      <c r="E26">
        <v>3557</v>
      </c>
      <c r="F26">
        <f>'int - 10k'!F26:F33</f>
        <v>4368</v>
      </c>
    </row>
    <row r="27" spans="1:7">
      <c r="A27" t="s">
        <v>9</v>
      </c>
      <c r="B27">
        <f>'int - 2k'!B28</f>
        <v>1326</v>
      </c>
      <c r="C27">
        <v>1997</v>
      </c>
      <c r="D27">
        <v>2823</v>
      </c>
      <c r="E27">
        <v>3557</v>
      </c>
      <c r="F27">
        <f>'int - 10k'!F27:F34</f>
        <v>4384</v>
      </c>
    </row>
    <row r="28" spans="1:7">
      <c r="A28" t="s">
        <v>10</v>
      </c>
      <c r="B28">
        <f>'int - 2k'!B29</f>
        <v>1342</v>
      </c>
      <c r="C28">
        <v>1981</v>
      </c>
      <c r="D28">
        <v>2964</v>
      </c>
      <c r="E28">
        <v>3557</v>
      </c>
      <c r="F28">
        <f>'int - 10k'!F28:F35</f>
        <v>4430</v>
      </c>
    </row>
    <row r="29" spans="1:7">
      <c r="A29" t="s">
        <v>11</v>
      </c>
      <c r="B29">
        <f>'int - 2k'!B30</f>
        <v>1.34175</v>
      </c>
      <c r="C29">
        <f>(SUM(C24:C28) -MAX(C24:C28))/((COUNT(C24:C28)-1)*1000)</f>
        <v>1.9695</v>
      </c>
      <c r="D29">
        <f>(SUM(D24:D28) -MAX(D24:D28))/((COUNT(D24:D28)-1)*1000)</f>
        <v>2.7959999999999998</v>
      </c>
      <c r="E29">
        <f>(SUM(E24:E28) -MAX(E24:E28))/((COUNT(E24:E28)-1)*1000)</f>
        <v>3.5179999999999998</v>
      </c>
      <c r="F29">
        <f>'int - 10k'!F29:F36</f>
        <v>4.3940000000000001</v>
      </c>
      <c r="G29" t="s">
        <v>15</v>
      </c>
    </row>
    <row r="30" spans="1:7">
      <c r="A30" t="s">
        <v>13</v>
      </c>
      <c r="B30">
        <f>'int - 2k'!B31</f>
        <v>2.3409399821439251E-2</v>
      </c>
      <c r="C30">
        <f>STDEV(C24:C28)/1000</f>
        <v>5.5846217418906836E-2</v>
      </c>
      <c r="D30">
        <f>STDEV(D24:D28)/1000</f>
        <v>8.9477930239812459E-2</v>
      </c>
      <c r="E30">
        <f>STDEV(E24:E28)/1000</f>
        <v>7.1888803022445713E-2</v>
      </c>
      <c r="F30">
        <f>'int - 10k'!F30:F37</f>
        <v>0.11040969160359404</v>
      </c>
    </row>
    <row r="31" spans="1:7">
      <c r="A31" t="s">
        <v>14</v>
      </c>
      <c r="B31">
        <f>'int - 2k'!B32</f>
        <v>1.0259433302430452E-2</v>
      </c>
      <c r="C31">
        <f>CONFIDENCE(0.05,C30,5)/2</f>
        <v>2.447523418680618E-2</v>
      </c>
      <c r="D31">
        <f t="shared" ref="D31:E31" si="2">CONFIDENCE(0.05,D30,5)/2</f>
        <v>3.9214711369667275E-2</v>
      </c>
      <c r="E31">
        <f t="shared" si="2"/>
        <v>3.1506078132121779E-2</v>
      </c>
      <c r="F31">
        <f>'int - 10k'!F31:F38</f>
        <v>4.8388291694329559E-2</v>
      </c>
    </row>
    <row r="33" spans="1:7">
      <c r="A33" t="s">
        <v>2</v>
      </c>
    </row>
    <row r="34" spans="1:7">
      <c r="A34" t="s">
        <v>6</v>
      </c>
      <c r="B34">
        <f>'int - 2k'!B35</f>
        <v>3494</v>
      </c>
      <c r="C34">
        <v>6615</v>
      </c>
      <c r="D34">
        <v>9797</v>
      </c>
      <c r="E34">
        <v>12246</v>
      </c>
      <c r="F34">
        <f>'int - 10k'!F34:F41</f>
        <v>16864</v>
      </c>
    </row>
    <row r="35" spans="1:7">
      <c r="A35" t="s">
        <v>7</v>
      </c>
      <c r="B35">
        <f>'int - 2k'!B36</f>
        <v>3681</v>
      </c>
      <c r="C35">
        <v>6942</v>
      </c>
      <c r="D35">
        <v>10405</v>
      </c>
      <c r="E35">
        <v>13026</v>
      </c>
      <c r="F35">
        <f>'int - 10k'!F35:F42</f>
        <v>16724</v>
      </c>
    </row>
    <row r="36" spans="1:7">
      <c r="A36" t="s">
        <v>8</v>
      </c>
      <c r="B36">
        <f>'int - 2k'!B37</f>
        <v>3666</v>
      </c>
      <c r="C36">
        <v>7020</v>
      </c>
      <c r="D36">
        <v>10406</v>
      </c>
      <c r="E36">
        <v>13057</v>
      </c>
      <c r="F36">
        <f>'int - 10k'!F36:F43</f>
        <v>16255</v>
      </c>
    </row>
    <row r="37" spans="1:7">
      <c r="A37" t="s">
        <v>9</v>
      </c>
      <c r="B37">
        <f>'int - 2k'!B38</f>
        <v>3666</v>
      </c>
      <c r="C37">
        <v>6989</v>
      </c>
      <c r="D37">
        <v>10390</v>
      </c>
      <c r="E37">
        <v>13073</v>
      </c>
      <c r="F37">
        <f>'int - 10k'!F37:F44</f>
        <v>16785</v>
      </c>
    </row>
    <row r="38" spans="1:7">
      <c r="A38" t="s">
        <v>10</v>
      </c>
      <c r="B38">
        <f>'int - 2k'!B39</f>
        <v>3681</v>
      </c>
      <c r="C38">
        <v>7005</v>
      </c>
      <c r="D38">
        <v>10390</v>
      </c>
      <c r="E38">
        <v>13073</v>
      </c>
      <c r="F38">
        <f>'int - 10k'!F38:F45</f>
        <v>16286</v>
      </c>
    </row>
    <row r="39" spans="1:7">
      <c r="A39" t="s">
        <v>11</v>
      </c>
      <c r="B39">
        <f>'int - 2k'!B40</f>
        <v>3.6267499999999999</v>
      </c>
      <c r="C39">
        <f>(SUM(C34:C38) -MAX(C34:C38))/((COUNT(C34:C38)-1)*1000)</f>
        <v>6.8877499999999996</v>
      </c>
      <c r="D39">
        <f>(SUM(D34:D38) -MAX(D34:D38))/((COUNT(D34:D38)-1)*1000)</f>
        <v>10.2455</v>
      </c>
      <c r="E39">
        <f>(SUM(E34:E38) -MAX(E34:E38))/((COUNT(E34:E38)-1)*1000)</f>
        <v>12.8505</v>
      </c>
      <c r="F39">
        <f>'int - 10k'!F39:F46</f>
        <v>16.598333333333333</v>
      </c>
      <c r="G39" t="s">
        <v>15</v>
      </c>
    </row>
    <row r="40" spans="1:7">
      <c r="A40" t="s">
        <v>13</v>
      </c>
      <c r="B40">
        <f>'int - 2k'!B41</f>
        <v>8.0624437982541902E-2</v>
      </c>
      <c r="C40">
        <f>STDEV(C34:C38)/1000</f>
        <v>0.16979899881920088</v>
      </c>
      <c r="D40">
        <f>STDEV(D34:D38)/1000</f>
        <v>0.26877555692435462</v>
      </c>
      <c r="E40">
        <f>STDEV(E34:E38)/1000</f>
        <v>0.36330909705098219</v>
      </c>
      <c r="F40">
        <f>'int - 10k'!F40:F47</f>
        <v>0.28958539327802441</v>
      </c>
    </row>
    <row r="41" spans="1:7">
      <c r="A41" t="s">
        <v>14</v>
      </c>
      <c r="B41">
        <f>'int - 2k'!B42</f>
        <v>3.5334568606508333E-2</v>
      </c>
      <c r="C41">
        <f>CONFIDENCE(0.05,C40,5)/2</f>
        <v>7.4416324916182955E-2</v>
      </c>
      <c r="D41">
        <f t="shared" ref="D41:E41" si="3">CONFIDENCE(0.05,D40,5)/2</f>
        <v>0.11779391700011047</v>
      </c>
      <c r="E41">
        <f t="shared" si="3"/>
        <v>0.15922430638085536</v>
      </c>
      <c r="F41">
        <f>'int - 10k'!F41:F48</f>
        <v>0.12691406231496122</v>
      </c>
    </row>
    <row r="43" spans="1:7">
      <c r="A43" t="s">
        <v>3</v>
      </c>
    </row>
    <row r="44" spans="1:7">
      <c r="A44" t="s">
        <v>6</v>
      </c>
      <c r="B44">
        <f>'int - 2k'!B45</f>
        <v>1357</v>
      </c>
      <c r="C44">
        <v>2855</v>
      </c>
      <c r="D44">
        <v>3011</v>
      </c>
      <c r="E44">
        <v>4820</v>
      </c>
      <c r="F44">
        <f>'int - 10k'!F44:F51</f>
        <v>6458</v>
      </c>
    </row>
    <row r="45" spans="1:7">
      <c r="A45" t="s">
        <v>7</v>
      </c>
      <c r="B45">
        <f>'int - 2k'!B46</f>
        <v>1295</v>
      </c>
      <c r="C45">
        <v>2091</v>
      </c>
      <c r="D45">
        <v>2948</v>
      </c>
      <c r="E45">
        <v>3666</v>
      </c>
      <c r="F45">
        <f>'int - 10k'!F45:F52</f>
        <v>4820</v>
      </c>
    </row>
    <row r="46" spans="1:7">
      <c r="A46" t="s">
        <v>8</v>
      </c>
      <c r="B46">
        <f>'int - 2k'!B47</f>
        <v>1326</v>
      </c>
      <c r="C46">
        <v>2060</v>
      </c>
      <c r="D46">
        <v>2917</v>
      </c>
      <c r="E46">
        <v>3650</v>
      </c>
      <c r="F46">
        <f>'int - 10k'!F46:F53</f>
        <v>4602</v>
      </c>
    </row>
    <row r="47" spans="1:7">
      <c r="A47" t="s">
        <v>9</v>
      </c>
      <c r="B47">
        <f>'int - 2k'!B48</f>
        <v>1310</v>
      </c>
      <c r="C47">
        <v>2074</v>
      </c>
      <c r="D47">
        <v>2917</v>
      </c>
      <c r="E47">
        <v>3650</v>
      </c>
      <c r="F47">
        <f>'int - 10k'!F47:F54</f>
        <v>4462</v>
      </c>
    </row>
    <row r="48" spans="1:7">
      <c r="A48" t="s">
        <v>10</v>
      </c>
      <c r="B48">
        <f>'int - 2k'!B49</f>
        <v>1295</v>
      </c>
      <c r="C48">
        <v>2075</v>
      </c>
      <c r="D48">
        <v>2933</v>
      </c>
      <c r="E48">
        <v>3650</v>
      </c>
      <c r="F48">
        <f>'int - 10k'!F48:F55</f>
        <v>4430</v>
      </c>
    </row>
    <row r="49" spans="1:7">
      <c r="A49" t="s">
        <v>11</v>
      </c>
      <c r="B49">
        <f>'int - 2k'!B50</f>
        <v>1.3065</v>
      </c>
      <c r="C49">
        <f>(SUM(C44:C48) -MAX(C44:C48))/((COUNT(C44:C48)-1)*1000)</f>
        <v>2.0750000000000002</v>
      </c>
      <c r="D49">
        <f>(SUM(D44:D48) -MAX(D44:D48))/((COUNT(D44:D48)-1)*1000)</f>
        <v>2.92875</v>
      </c>
      <c r="E49">
        <f>(SUM(E44:E48) -MAX(E44:E48))/((COUNT(E44:E48)-1)*1000)</f>
        <v>3.6539999999999999</v>
      </c>
      <c r="F49">
        <f>'int - 10k'!F49:F56</f>
        <v>4.6280000000000001</v>
      </c>
      <c r="G49" t="s">
        <v>15</v>
      </c>
    </row>
    <row r="50" spans="1:7">
      <c r="A50" t="s">
        <v>13</v>
      </c>
      <c r="B50">
        <f>'int - 2k'!B51</f>
        <v>2.5967287112823582E-2</v>
      </c>
      <c r="C50">
        <f>STDEV(C44:C48)/1000</f>
        <v>0.34899928366688665</v>
      </c>
      <c r="D50">
        <f>STDEV(D44:D48)/1000</f>
        <v>3.8976916245378558E-2</v>
      </c>
      <c r="E50">
        <f>STDEV(E44:E48)/1000</f>
        <v>0.52149707573484938</v>
      </c>
      <c r="F50">
        <f>'int - 10k'!F50:F57</f>
        <v>0.85447574570610296</v>
      </c>
    </row>
    <row r="51" spans="1:7">
      <c r="A51" t="s">
        <v>14</v>
      </c>
      <c r="B51">
        <f>'int - 2k'!B52</f>
        <v>1.1380456236006824E-2</v>
      </c>
      <c r="C51">
        <f>CONFIDENCE(0.05,C50,5)/2</f>
        <v>0.15295286938955327</v>
      </c>
      <c r="D51">
        <f t="shared" ref="D51:E51" si="4">CONFIDENCE(0.05,D50,5)/2</f>
        <v>1.7082072825619923E-2</v>
      </c>
      <c r="E51">
        <f t="shared" si="4"/>
        <v>0.22855197086318407</v>
      </c>
      <c r="F51">
        <f>'int - 10k'!F51:F58</f>
        <v>0.37448362574369121</v>
      </c>
    </row>
    <row r="53" spans="1:7">
      <c r="A53" t="s">
        <v>4</v>
      </c>
    </row>
    <row r="54" spans="1:7">
      <c r="A54" t="s">
        <v>6</v>
      </c>
      <c r="B54">
        <f>'int - 2k'!B55</f>
        <v>1778</v>
      </c>
      <c r="C54">
        <v>2995</v>
      </c>
      <c r="D54">
        <v>4275</v>
      </c>
      <c r="E54">
        <v>5522</v>
      </c>
      <c r="F54">
        <f>'int - 10k'!F54:F61</f>
        <v>6942</v>
      </c>
    </row>
    <row r="55" spans="1:7">
      <c r="A55" t="s">
        <v>7</v>
      </c>
      <c r="B55">
        <f>'int - 2k'!B56</f>
        <v>1747</v>
      </c>
      <c r="C55">
        <v>3011</v>
      </c>
      <c r="D55">
        <v>4353</v>
      </c>
      <c r="E55">
        <v>5569</v>
      </c>
      <c r="F55">
        <f>'int - 10k'!F55:F62</f>
        <v>6958</v>
      </c>
    </row>
    <row r="56" spans="1:7">
      <c r="A56" t="s">
        <v>8</v>
      </c>
      <c r="B56">
        <f>'int - 2k'!B57</f>
        <v>1763</v>
      </c>
      <c r="C56">
        <v>3011</v>
      </c>
      <c r="D56">
        <v>4353</v>
      </c>
      <c r="E56">
        <v>5553</v>
      </c>
      <c r="F56">
        <f>'int - 10k'!F56:F63</f>
        <v>6864</v>
      </c>
    </row>
    <row r="57" spans="1:7">
      <c r="A57" t="s">
        <v>9</v>
      </c>
      <c r="B57">
        <f>'int - 2k'!B58</f>
        <v>1763</v>
      </c>
      <c r="C57">
        <v>3010</v>
      </c>
      <c r="D57">
        <v>4353</v>
      </c>
      <c r="E57">
        <v>5569</v>
      </c>
      <c r="F57">
        <f>'int - 10k'!F57:F64</f>
        <v>6896</v>
      </c>
    </row>
    <row r="58" spans="1:7">
      <c r="A58" t="s">
        <v>10</v>
      </c>
      <c r="B58">
        <f>'int - 2k'!B59</f>
        <v>1747</v>
      </c>
      <c r="C58">
        <v>3026</v>
      </c>
      <c r="D58">
        <v>4353</v>
      </c>
      <c r="E58">
        <v>5569</v>
      </c>
      <c r="F58">
        <f>'int - 10k'!F58:F65</f>
        <v>6848</v>
      </c>
    </row>
    <row r="59" spans="1:7">
      <c r="A59" t="s">
        <v>11</v>
      </c>
      <c r="B59">
        <f>'int - 2k'!B60</f>
        <v>1.7549999999999999</v>
      </c>
      <c r="C59">
        <f>(SUM(C54:C58) -MAX(C54:C58))/((COUNT(C54:C58)-1)*1000)</f>
        <v>3.0067499999999998</v>
      </c>
      <c r="D59">
        <f>(SUM(D54:D58) -MAX(D54:D58))/((COUNT(D54:D58)-1)*1000)</f>
        <v>4.3334999999999999</v>
      </c>
      <c r="E59">
        <f>(SUM(E54:E58) -MAX(E54:E58))/((COUNT(E54:E58)-1)*1000)</f>
        <v>5.5532500000000002</v>
      </c>
      <c r="F59">
        <f>'int - 10k'!F59:F66</f>
        <v>6.9006666666666669</v>
      </c>
      <c r="G59" t="s">
        <v>15</v>
      </c>
    </row>
    <row r="60" spans="1:7">
      <c r="A60" t="s">
        <v>13</v>
      </c>
      <c r="B60">
        <f>'int - 2k'!B61</f>
        <v>1.3030732903402391E-2</v>
      </c>
      <c r="C60">
        <f>STDEV(C54:C58)/1000</f>
        <v>1.0968135666590974E-2</v>
      </c>
      <c r="D60">
        <f>STDEV(D54:D58)/1000</f>
        <v>3.4882660449007397E-2</v>
      </c>
      <c r="E60">
        <f>STDEV(E54:E58)/1000</f>
        <v>2.0440156555100543E-2</v>
      </c>
      <c r="F60">
        <f>'int - 10k'!F60:F67</f>
        <v>4.7778656322640757E-2</v>
      </c>
    </row>
    <row r="61" spans="1:7">
      <c r="A61" t="s">
        <v>14</v>
      </c>
      <c r="B61">
        <f>'int - 2k'!B62</f>
        <v>5.7108655550325588E-3</v>
      </c>
      <c r="C61">
        <f>CONFIDENCE(0.05,C60,5)/2</f>
        <v>4.8069090699344686E-3</v>
      </c>
      <c r="D61">
        <f t="shared" ref="D61:E61" si="5">CONFIDENCE(0.05,D60,5)/2</f>
        <v>1.5287719079417101E-2</v>
      </c>
      <c r="E61">
        <f t="shared" si="5"/>
        <v>8.9581289767298958E-3</v>
      </c>
      <c r="F61">
        <f>'int - 10k'!F61:F68</f>
        <v>2.0939534612628211E-2</v>
      </c>
    </row>
    <row r="63" spans="1:7">
      <c r="A63" t="s">
        <v>5</v>
      </c>
    </row>
    <row r="64" spans="1:7">
      <c r="A64" t="s">
        <v>6</v>
      </c>
      <c r="B64">
        <f>'int - 2k'!B65</f>
        <v>3728</v>
      </c>
      <c r="C64">
        <v>6989</v>
      </c>
      <c r="D64">
        <v>10421</v>
      </c>
      <c r="E64">
        <v>13760</v>
      </c>
      <c r="F64">
        <f>'int - 10k'!F64:F71</f>
        <v>17690</v>
      </c>
    </row>
    <row r="65" spans="1:7">
      <c r="A65" t="s">
        <v>7</v>
      </c>
      <c r="B65">
        <f>'int - 2k'!B66</f>
        <v>3900</v>
      </c>
      <c r="C65">
        <v>7332</v>
      </c>
      <c r="D65">
        <v>10936</v>
      </c>
      <c r="E65">
        <v>14352</v>
      </c>
      <c r="F65">
        <f>'int - 10k'!F65:F72</f>
        <v>22448</v>
      </c>
    </row>
    <row r="66" spans="1:7">
      <c r="A66" t="s">
        <v>8</v>
      </c>
      <c r="B66">
        <f>'int - 2k'!B67</f>
        <v>3901</v>
      </c>
      <c r="C66">
        <v>7332</v>
      </c>
      <c r="D66">
        <v>10920</v>
      </c>
      <c r="E66">
        <v>14352</v>
      </c>
      <c r="F66">
        <f>'int - 10k'!F66:F73</f>
        <v>22401</v>
      </c>
    </row>
    <row r="67" spans="1:7">
      <c r="A67" t="s">
        <v>9</v>
      </c>
      <c r="B67">
        <f>'int - 2k'!B68</f>
        <v>3884</v>
      </c>
      <c r="C67">
        <v>7317</v>
      </c>
      <c r="D67">
        <v>10999</v>
      </c>
      <c r="E67">
        <v>14352</v>
      </c>
      <c r="F67">
        <f>'int - 10k'!F67:F73</f>
        <v>21872</v>
      </c>
    </row>
    <row r="68" spans="1:7">
      <c r="A68" t="s">
        <v>10</v>
      </c>
      <c r="B68">
        <f>'int - 2k'!B69</f>
        <v>3900</v>
      </c>
      <c r="C68">
        <v>7379</v>
      </c>
      <c r="D68">
        <v>10936</v>
      </c>
      <c r="E68">
        <v>14383</v>
      </c>
      <c r="F68">
        <f>'int - 10k'!F68:F73</f>
        <v>22386</v>
      </c>
    </row>
    <row r="69" spans="1:7">
      <c r="A69" t="s">
        <v>11</v>
      </c>
      <c r="B69">
        <f>'int - 2k'!B70</f>
        <v>3.8530000000000002</v>
      </c>
      <c r="C69">
        <f>(SUM(C64:C68) -MAX(C64:C68))/((COUNT(C64:C68)-1)*1000)</f>
        <v>7.2424999999999997</v>
      </c>
      <c r="D69">
        <f>(SUM(D64:D68) -MAX(D64:D68))/((COUNT(D64:D68)-1)*1000)</f>
        <v>10.80325</v>
      </c>
      <c r="E69">
        <f>(SUM(E64:E68) -MAX(E64:E68))/((COUNT(E64:E68)-1)*1000)</f>
        <v>14.204000000000001</v>
      </c>
      <c r="F69">
        <f>'int - 10k'!F69:F73</f>
        <v>22.219666666666665</v>
      </c>
      <c r="G69" t="s">
        <v>15</v>
      </c>
    </row>
    <row r="70" spans="1:7">
      <c r="A70" t="s">
        <v>13</v>
      </c>
      <c r="B70">
        <f>'int - 2k'!B71</f>
        <v>7.5576451358877292E-2</v>
      </c>
      <c r="C70">
        <f>STDEV(C64:C68)/1000</f>
        <v>0.15869688087672984</v>
      </c>
      <c r="D70">
        <f>STDEV(D64:D68)/1000</f>
        <v>0.23751063134102424</v>
      </c>
      <c r="E70">
        <f>STDEV(E64:E68)/1000</f>
        <v>0.26855204337332467</v>
      </c>
      <c r="F70">
        <f>'int - 10k'!F70:F73</f>
        <v>2.0646514960157205</v>
      </c>
    </row>
    <row r="71" spans="1:7">
      <c r="A71" t="s">
        <v>14</v>
      </c>
      <c r="B71">
        <f>'int - 2k'!B72</f>
        <v>3.312223157642278E-2</v>
      </c>
      <c r="C71">
        <f>CONFIDENCE(0.05,C70,5)/2</f>
        <v>6.9550696603825179E-2</v>
      </c>
      <c r="D71">
        <f t="shared" ref="D71:E71" si="6">CONFIDENCE(0.05,D70,5)/2</f>
        <v>0.10409171099849121</v>
      </c>
      <c r="E71">
        <f t="shared" si="6"/>
        <v>0.11769595966730943</v>
      </c>
      <c r="F71">
        <f>'int - 10k'!F71:F73</f>
        <v>0.90485678734646946</v>
      </c>
    </row>
    <row r="74" spans="1:7">
      <c r="A74" s="1" t="s">
        <v>35</v>
      </c>
    </row>
    <row r="75" spans="1:7">
      <c r="A75" t="s">
        <v>25</v>
      </c>
    </row>
    <row r="76" spans="1:7">
      <c r="A76" t="s">
        <v>6</v>
      </c>
      <c r="B76">
        <f>'int - 2k'!B76</f>
        <v>7738</v>
      </c>
      <c r="C76">
        <v>12464</v>
      </c>
      <c r="D76">
        <v>17082</v>
      </c>
      <c r="E76">
        <v>21860</v>
      </c>
      <c r="F76">
        <v>26739</v>
      </c>
    </row>
    <row r="77" spans="1:7">
      <c r="A77" t="s">
        <v>7</v>
      </c>
      <c r="B77">
        <f>'int - 2k'!B77</f>
        <v>5772</v>
      </c>
      <c r="C77">
        <v>11825</v>
      </c>
      <c r="D77">
        <v>16755</v>
      </c>
      <c r="E77">
        <v>22374</v>
      </c>
      <c r="F77">
        <v>28142</v>
      </c>
    </row>
    <row r="78" spans="1:7">
      <c r="A78" t="s">
        <v>8</v>
      </c>
      <c r="B78">
        <f>'int - 2k'!B78</f>
        <v>5787</v>
      </c>
      <c r="C78">
        <v>11263</v>
      </c>
      <c r="D78">
        <v>16723</v>
      </c>
      <c r="E78">
        <v>22359</v>
      </c>
      <c r="F78">
        <v>28112</v>
      </c>
    </row>
    <row r="79" spans="1:7">
      <c r="A79" t="s">
        <v>9</v>
      </c>
      <c r="B79">
        <f>'int - 2k'!B79</f>
        <v>5773</v>
      </c>
      <c r="C79">
        <v>11217</v>
      </c>
      <c r="D79">
        <v>16723</v>
      </c>
      <c r="E79">
        <v>22312</v>
      </c>
      <c r="F79">
        <v>28096</v>
      </c>
    </row>
    <row r="80" spans="1:7">
      <c r="A80" t="s">
        <v>10</v>
      </c>
      <c r="B80">
        <f>'int - 2k'!B80</f>
        <v>5772</v>
      </c>
      <c r="C80">
        <v>11731</v>
      </c>
      <c r="D80">
        <v>16723</v>
      </c>
      <c r="E80">
        <v>22297</v>
      </c>
      <c r="F80">
        <v>28174</v>
      </c>
    </row>
    <row r="81" spans="1:6">
      <c r="A81" t="s">
        <v>11</v>
      </c>
      <c r="B81">
        <f>'int - 2k'!B81</f>
        <v>5.7759999999999998</v>
      </c>
      <c r="C81">
        <f>(SUM(C76:C80) -MAX(C76:C80) -MIN(C76:C80))/((COUNT(C76:C80)-2)*1000)</f>
        <v>11.606333333333334</v>
      </c>
      <c r="D81">
        <f>(SUM(D76:D80) -MAX(D76:D80) -MIN(D76:D80))/((COUNT(D76:D80)-2)*1000)</f>
        <v>16.733666666666668</v>
      </c>
      <c r="E81">
        <f>(SUM(E76:E80) -MAX(E76:E80) -MIN(E76:E80))/((COUNT(E76:E80)-2)*1000)</f>
        <v>22.322666666666667</v>
      </c>
      <c r="F81">
        <f>(SUM(F76:F80) -MAX(F76:F80) -MIN(F76:F80))/((COUNT(F76:F80)-2)*1000)</f>
        <v>28.116666666666667</v>
      </c>
    </row>
    <row r="82" spans="1:6">
      <c r="A82" t="s">
        <v>13</v>
      </c>
      <c r="B82">
        <f>'int - 2k'!B82</f>
        <v>0.87745615275066424</v>
      </c>
      <c r="C82">
        <f>STDEV(C76:C80)/1000</f>
        <v>0.50609781663231856</v>
      </c>
      <c r="D82">
        <f>STDEV(D76:D80)/1000</f>
        <v>0.1575823594187753</v>
      </c>
      <c r="E82">
        <f>STDEV(E76:E80)/1000</f>
        <v>0.21502860274845373</v>
      </c>
      <c r="F82">
        <f>STDEV(F76:F80)/1000</f>
        <v>0.62323494767218601</v>
      </c>
    </row>
    <row r="83" spans="1:6">
      <c r="A83" t="s">
        <v>14</v>
      </c>
      <c r="B83">
        <f>'int - 2k'!B83</f>
        <v>0.38455504812678259</v>
      </c>
      <c r="C83">
        <f>CONFIDENCE(0.05,C82,5)/2</f>
        <v>0.22180307200741037</v>
      </c>
      <c r="D83">
        <f t="shared" ref="D83:E83" si="7">CONFIDENCE(0.05,D82,5)/2</f>
        <v>6.906224501389846E-2</v>
      </c>
      <c r="E83">
        <f t="shared" si="7"/>
        <v>9.4238708588853581E-2</v>
      </c>
      <c r="F83">
        <f>CONFIDENCE(0.05,F82,5)</f>
        <v>0.54627947970973723</v>
      </c>
    </row>
    <row r="85" spans="1:6">
      <c r="A85" t="s">
        <v>26</v>
      </c>
    </row>
    <row r="86" spans="1:6">
      <c r="A86" t="s">
        <v>6</v>
      </c>
      <c r="B86">
        <f>'int - 2k'!B86</f>
        <v>5273</v>
      </c>
      <c r="C86">
        <v>10421</v>
      </c>
      <c r="D86">
        <v>15413</v>
      </c>
      <c r="E86">
        <v>20500</v>
      </c>
      <c r="F86">
        <v>25506</v>
      </c>
    </row>
    <row r="87" spans="1:6">
      <c r="A87" t="s">
        <v>7</v>
      </c>
      <c r="B87">
        <f>'int - 2k'!B87</f>
        <v>5258</v>
      </c>
      <c r="C87">
        <v>10437</v>
      </c>
      <c r="D87">
        <v>15460</v>
      </c>
      <c r="E87">
        <v>20578</v>
      </c>
      <c r="F87">
        <v>25522</v>
      </c>
    </row>
    <row r="88" spans="1:6">
      <c r="A88" t="s">
        <v>8</v>
      </c>
      <c r="B88">
        <f>'int - 2k'!B88</f>
        <v>5335</v>
      </c>
      <c r="C88">
        <v>10421</v>
      </c>
      <c r="D88">
        <v>15460</v>
      </c>
      <c r="E88">
        <v>20516</v>
      </c>
      <c r="F88">
        <v>25553</v>
      </c>
    </row>
    <row r="89" spans="1:6">
      <c r="A89" t="s">
        <v>9</v>
      </c>
      <c r="B89">
        <f>'int - 2k'!B89</f>
        <v>5319</v>
      </c>
      <c r="C89">
        <v>10390</v>
      </c>
      <c r="D89">
        <v>15475</v>
      </c>
      <c r="E89">
        <v>20546</v>
      </c>
      <c r="F89">
        <v>25537</v>
      </c>
    </row>
    <row r="90" spans="1:6">
      <c r="A90" t="s">
        <v>10</v>
      </c>
      <c r="B90">
        <f>'int - 2k'!B90</f>
        <v>5304</v>
      </c>
      <c r="C90">
        <v>10453</v>
      </c>
      <c r="D90">
        <v>15460</v>
      </c>
      <c r="E90">
        <v>20546</v>
      </c>
      <c r="F90">
        <v>25506</v>
      </c>
    </row>
    <row r="91" spans="1:6">
      <c r="A91" t="s">
        <v>11</v>
      </c>
      <c r="B91">
        <f>'int - 2k'!B91</f>
        <v>5.2885</v>
      </c>
      <c r="C91">
        <f>(SUM(C86:C90) -MAX(C86:C90) -MIN(C86:C90))/((COUNT(C86:C90)-2)*1000)</f>
        <v>10.426333333333334</v>
      </c>
      <c r="D91">
        <f>(SUM(D86:D90) -MAX(D86:D90) -MIN(D86:D90))/((COUNT(D86:D90)-2)*1000)</f>
        <v>15.46</v>
      </c>
      <c r="E91">
        <f>(SUM(E86:E90) -MAX(E86:E90) -MIN(E86:E90))/((COUNT(E86:E90)-2)*1000)</f>
        <v>20.536000000000001</v>
      </c>
      <c r="F91">
        <f>(SUM(F86:F90) -MAX(F86:F90) -MIN(F86:F90))/((COUNT(F86:F90)-2)*1000)</f>
        <v>25.521666666666668</v>
      </c>
    </row>
    <row r="92" spans="1:6">
      <c r="A92" t="s">
        <v>13</v>
      </c>
      <c r="B92">
        <f>'int - 2k'!B92</f>
        <v>3.1901410627164756E-2</v>
      </c>
      <c r="C92">
        <f>STDEV(C86:C90)/1000</f>
        <v>2.336236289444886E-2</v>
      </c>
      <c r="D92">
        <f>STDEV(D86:D90)/1000</f>
        <v>2.3607202291078901E-2</v>
      </c>
      <c r="E92">
        <f>STDEV(E86:E90)/1000</f>
        <v>3.0219199195016387E-2</v>
      </c>
      <c r="F92">
        <f>STDEV(F86:F90)/1000</f>
        <v>2.0364184247047161E-2</v>
      </c>
    </row>
    <row r="93" spans="1:6">
      <c r="A93" t="s">
        <v>14</v>
      </c>
      <c r="B93">
        <f>'int - 2k'!B93</f>
        <v>1.3981152745449605E-2</v>
      </c>
      <c r="C93">
        <f>CONFIDENCE(0.05,C92,5)/2</f>
        <v>1.0238818839057187E-2</v>
      </c>
      <c r="D93">
        <f t="shared" ref="D93:E93" si="8">CONFIDENCE(0.05,D92,5)/2</f>
        <v>1.0346122464040887E-2</v>
      </c>
      <c r="E93">
        <f t="shared" si="8"/>
        <v>1.3243904626302774E-2</v>
      </c>
      <c r="F93">
        <f>CONFIDENCE(0.05,F92,5)</f>
        <v>1.7849666512991379E-2</v>
      </c>
    </row>
    <row r="95" spans="1:6">
      <c r="A95" t="s">
        <v>27</v>
      </c>
    </row>
    <row r="96" spans="1:6">
      <c r="A96" t="s">
        <v>6</v>
      </c>
      <c r="B96">
        <f>'int - 2k'!B96</f>
        <v>3136</v>
      </c>
      <c r="C96">
        <v>5928</v>
      </c>
      <c r="D96">
        <v>8518</v>
      </c>
      <c r="E96">
        <v>11248</v>
      </c>
      <c r="F96">
        <v>14102</v>
      </c>
    </row>
    <row r="97" spans="1:6">
      <c r="A97" t="s">
        <v>7</v>
      </c>
      <c r="B97">
        <f>'int - 2k'!B97</f>
        <v>3151</v>
      </c>
      <c r="C97">
        <v>5881</v>
      </c>
      <c r="D97">
        <v>8533</v>
      </c>
      <c r="E97">
        <v>11264</v>
      </c>
      <c r="F97">
        <v>14102</v>
      </c>
    </row>
    <row r="98" spans="1:6">
      <c r="A98" t="s">
        <v>8</v>
      </c>
      <c r="B98">
        <f>'int - 2k'!B98</f>
        <v>3166</v>
      </c>
      <c r="C98">
        <v>5850</v>
      </c>
      <c r="D98">
        <v>8534</v>
      </c>
      <c r="E98">
        <v>11279</v>
      </c>
      <c r="F98">
        <v>14103</v>
      </c>
    </row>
    <row r="99" spans="1:6">
      <c r="A99" t="s">
        <v>9</v>
      </c>
      <c r="B99">
        <f>'int - 2k'!B99</f>
        <v>3151</v>
      </c>
      <c r="C99">
        <v>5882</v>
      </c>
      <c r="D99">
        <v>8534</v>
      </c>
      <c r="E99">
        <v>11311</v>
      </c>
      <c r="F99">
        <v>14087</v>
      </c>
    </row>
    <row r="100" spans="1:6">
      <c r="A100" t="s">
        <v>10</v>
      </c>
      <c r="B100">
        <f>'int - 2k'!B100</f>
        <v>3307</v>
      </c>
      <c r="C100">
        <v>5851</v>
      </c>
      <c r="D100">
        <v>8549</v>
      </c>
      <c r="E100">
        <v>11279</v>
      </c>
      <c r="F100">
        <v>14072</v>
      </c>
    </row>
    <row r="101" spans="1:6">
      <c r="A101" t="s">
        <v>11</v>
      </c>
      <c r="B101">
        <f>'int - 2k'!B101</f>
        <v>3.1509999999999998</v>
      </c>
      <c r="C101">
        <f>(SUM(C96:C100) -MAX(C96:C100) -MIN(C96:C100))/((COUNT(C96:C100)-2)*1000)</f>
        <v>5.8713333333333333</v>
      </c>
      <c r="D101">
        <f>(SUM(D96:D100) -MAX(D96:D100) -MIN(D96:D100))/((COUNT(D96:D100)-2)*1000)</f>
        <v>8.533666666666667</v>
      </c>
      <c r="E101">
        <f>(SUM(E96:E100) -MAX(E96:E100) -MIN(E96:E100))/((COUNT(E96:E100)-2)*1000)</f>
        <v>11.273999999999999</v>
      </c>
      <c r="F101">
        <f>(SUM(F96:F100) -MAX(F96:F100) -MIN(F96:F100))/((COUNT(F96:F100)-2)*1000)</f>
        <v>14.097</v>
      </c>
    </row>
    <row r="102" spans="1:6">
      <c r="A102" t="s">
        <v>13</v>
      </c>
      <c r="B102">
        <f>'int - 2k'!B102</f>
        <v>7.0566989449736731E-2</v>
      </c>
      <c r="C102">
        <f>STDEV(C96:C100)/1000</f>
        <v>3.1769482211660607E-2</v>
      </c>
      <c r="D102">
        <f>STDEV(D96:D100)/1000</f>
        <v>1.0968135666421151E-2</v>
      </c>
      <c r="E102">
        <f>STDEV(E96:E100)/1000</f>
        <v>2.3295922389724756E-2</v>
      </c>
      <c r="F102">
        <f>STDEV(F96:F100)/1000</f>
        <v>1.3590437814436997E-2</v>
      </c>
    </row>
    <row r="103" spans="1:6">
      <c r="A103" t="s">
        <v>14</v>
      </c>
      <c r="B103">
        <f>'int - 2k'!B103</f>
        <v>3.0926778436662035E-2</v>
      </c>
      <c r="C103">
        <f>CONFIDENCE(0.05,C102,5)/2</f>
        <v>1.3923333630483634E-2</v>
      </c>
      <c r="D103">
        <f t="shared" ref="D103:E103" si="9">CONFIDENCE(0.05,D102,5)/2</f>
        <v>4.8069090698600429E-3</v>
      </c>
      <c r="E103">
        <f t="shared" si="9"/>
        <v>1.0209700539058205E-2</v>
      </c>
      <c r="F103">
        <f>CONFIDENCE(0.05,F102,5)</f>
        <v>1.191232508065836E-2</v>
      </c>
    </row>
    <row r="105" spans="1:6">
      <c r="A105" t="s">
        <v>28</v>
      </c>
    </row>
    <row r="106" spans="1:6">
      <c r="A106" t="s">
        <v>6</v>
      </c>
      <c r="B106">
        <f>'int - 2k'!B106</f>
        <v>5865</v>
      </c>
      <c r="C106">
        <v>11435</v>
      </c>
      <c r="D106">
        <v>16989</v>
      </c>
      <c r="E106">
        <v>22730</v>
      </c>
      <c r="F106">
        <v>28657</v>
      </c>
    </row>
    <row r="107" spans="1:6">
      <c r="A107" t="s">
        <v>7</v>
      </c>
      <c r="B107">
        <f>'int - 2k'!B107</f>
        <v>5866</v>
      </c>
      <c r="C107">
        <v>11497</v>
      </c>
      <c r="D107">
        <v>17082</v>
      </c>
      <c r="E107">
        <v>22839</v>
      </c>
      <c r="F107">
        <v>28798</v>
      </c>
    </row>
    <row r="108" spans="1:6">
      <c r="A108" t="s">
        <v>8</v>
      </c>
      <c r="B108">
        <f>'int - 2k'!B108</f>
        <v>5866</v>
      </c>
      <c r="C108">
        <v>11513</v>
      </c>
      <c r="D108">
        <v>17067</v>
      </c>
      <c r="E108">
        <v>22807</v>
      </c>
      <c r="F108">
        <v>28798</v>
      </c>
    </row>
    <row r="109" spans="1:6">
      <c r="A109" t="s">
        <v>9</v>
      </c>
      <c r="B109">
        <f>'int - 2k'!B109</f>
        <v>5850</v>
      </c>
      <c r="C109">
        <v>11498</v>
      </c>
      <c r="D109">
        <v>17067</v>
      </c>
      <c r="E109">
        <v>22807</v>
      </c>
      <c r="F109">
        <v>28814</v>
      </c>
    </row>
    <row r="110" spans="1:6">
      <c r="A110" t="s">
        <v>10</v>
      </c>
      <c r="B110">
        <f>'int - 2k'!B110</f>
        <v>5850</v>
      </c>
      <c r="C110">
        <v>11497</v>
      </c>
      <c r="D110">
        <v>17098</v>
      </c>
      <c r="E110">
        <v>22854</v>
      </c>
      <c r="F110">
        <v>28783</v>
      </c>
    </row>
    <row r="111" spans="1:6">
      <c r="A111" t="s">
        <v>11</v>
      </c>
      <c r="B111">
        <f>'int - 2k'!B111</f>
        <v>5.8577500000000002</v>
      </c>
      <c r="C111">
        <f>(SUM(C106:C110) -MAX(C106:C110) -MIN(C106:C110))/((COUNT(C106:C110)-2)*1000)</f>
        <v>11.497333333333334</v>
      </c>
      <c r="D111">
        <f>(SUM(D106:D110) -MAX(D106:D110) -MIN(D106:D110))/((COUNT(D106:D110)-2)*1000)</f>
        <v>17.071999999999999</v>
      </c>
      <c r="E111">
        <f>(SUM(E106:E110) -MAX(E106:E110) -MIN(E106:E110))/((COUNT(E106:E110)-2)*1000)</f>
        <v>22.817666666666668</v>
      </c>
      <c r="F111">
        <f>(SUM(F106:F110) -MAX(F106:F110) -MIN(F106:F110))/((COUNT(F106:F110)-2)*1000)</f>
        <v>28.792999999999999</v>
      </c>
    </row>
    <row r="112" spans="1:6">
      <c r="A112" t="s">
        <v>13</v>
      </c>
      <c r="B112">
        <f>'int - 2k'!B112</f>
        <v>8.5906926377923541E-3</v>
      </c>
      <c r="C112">
        <f>STDEV(C106:C110)/1000</f>
        <v>3.0397368307141327E-2</v>
      </c>
      <c r="D112">
        <f>STDEV(D106:D110)/1000</f>
        <v>4.2027372033139554E-2</v>
      </c>
      <c r="E112">
        <f>STDEV(E106:E110)/1000</f>
        <v>4.7857078890717053E-2</v>
      </c>
      <c r="F112">
        <f>STDEV(F106:F110)/1000</f>
        <v>6.4113181172049172E-2</v>
      </c>
    </row>
    <row r="113" spans="1:6">
      <c r="A113" t="s">
        <v>14</v>
      </c>
      <c r="B113">
        <f>'int - 2k'!B113</f>
        <v>3.7649678680951445E-3</v>
      </c>
      <c r="C113">
        <f>CONFIDENCE(0.05,C112,5)/2</f>
        <v>1.3321989247708789E-2</v>
      </c>
      <c r="D113">
        <f t="shared" ref="D113:E113" si="10">CONFIDENCE(0.05,D112,5)/2</f>
        <v>1.8418969454122327E-2</v>
      </c>
      <c r="E113">
        <f t="shared" si="10"/>
        <v>2.0973904186932599E-2</v>
      </c>
      <c r="F113">
        <f>CONFIDENCE(0.05,F112,5)</f>
        <v>5.6196648445371193E-2</v>
      </c>
    </row>
    <row r="115" spans="1:6">
      <c r="A115" t="s">
        <v>29</v>
      </c>
    </row>
    <row r="116" spans="1:6">
      <c r="A116" t="s">
        <v>6</v>
      </c>
      <c r="B116">
        <f>'int - 2k'!B116</f>
        <v>6287</v>
      </c>
      <c r="C116">
        <v>12324</v>
      </c>
      <c r="D116">
        <v>18314</v>
      </c>
      <c r="E116">
        <v>24493</v>
      </c>
      <c r="F116">
        <v>30873</v>
      </c>
    </row>
    <row r="117" spans="1:6">
      <c r="A117" t="s">
        <v>7</v>
      </c>
      <c r="B117">
        <f>'int - 2k'!B117</f>
        <v>6365</v>
      </c>
      <c r="C117">
        <v>12448</v>
      </c>
      <c r="D117">
        <v>18642</v>
      </c>
      <c r="E117">
        <v>24883</v>
      </c>
      <c r="F117">
        <v>31403</v>
      </c>
    </row>
    <row r="118" spans="1:6">
      <c r="A118" t="s">
        <v>8</v>
      </c>
      <c r="B118">
        <f>'int - 2k'!B118</f>
        <v>6365</v>
      </c>
      <c r="C118">
        <v>12512</v>
      </c>
      <c r="D118">
        <v>18654</v>
      </c>
      <c r="E118">
        <v>24914</v>
      </c>
      <c r="F118">
        <v>31450</v>
      </c>
    </row>
    <row r="119" spans="1:6">
      <c r="A119" t="s">
        <v>9</v>
      </c>
      <c r="B119">
        <f>'int - 2k'!B119</f>
        <v>6365</v>
      </c>
      <c r="C119">
        <v>12480</v>
      </c>
      <c r="D119">
        <v>18651</v>
      </c>
      <c r="E119">
        <v>24852</v>
      </c>
      <c r="F119">
        <v>31387</v>
      </c>
    </row>
    <row r="120" spans="1:6">
      <c r="A120" t="s">
        <v>10</v>
      </c>
      <c r="B120">
        <f>'int - 2k'!B120</f>
        <v>6381</v>
      </c>
      <c r="C120">
        <v>12465</v>
      </c>
      <c r="D120">
        <v>18682</v>
      </c>
      <c r="E120">
        <v>24882</v>
      </c>
      <c r="F120">
        <v>31341</v>
      </c>
    </row>
    <row r="121" spans="1:6">
      <c r="A121" t="s">
        <v>11</v>
      </c>
      <c r="B121">
        <f>'int - 2k'!B121</f>
        <v>6.3455000000000004</v>
      </c>
      <c r="C121">
        <f>(SUM(C116:C120) -MAX(C116:C120) -MIN(C116:C120))/((COUNT(C116:C120)-2)*1000)</f>
        <v>12.464333333333334</v>
      </c>
      <c r="D121">
        <f>(SUM(D116:D120) -MAX(D116:D120) -MIN(D116:D120))/((COUNT(D116:D120)-2)*1000)</f>
        <v>18.649000000000001</v>
      </c>
      <c r="E121">
        <f>(SUM(E116:E120) -MAX(E116:E120) -MIN(E116:E120))/((COUNT(E116:E120)-2)*1000)</f>
        <v>24.872333333333334</v>
      </c>
      <c r="F121">
        <f>(SUM(F116:F120) -MAX(F116:F120) -MIN(F116:F120))/((COUNT(F116:F120)-2)*1000)</f>
        <v>31.376999999999999</v>
      </c>
    </row>
    <row r="122" spans="1:6">
      <c r="A122" t="s">
        <v>13</v>
      </c>
      <c r="B122">
        <f>'int - 2k'!B122</f>
        <v>3.7320235797714617E-2</v>
      </c>
      <c r="C122">
        <f>STDEV(C116:C120)/1000</f>
        <v>7.2043042689687115E-2</v>
      </c>
      <c r="D122">
        <f>STDEV(D116:D120)/1000</f>
        <v>0.15423294070986235</v>
      </c>
      <c r="E122">
        <f>STDEV(E116:E120)/1000</f>
        <v>0.17567498399045803</v>
      </c>
      <c r="F122">
        <f>STDEV(F116:F120)/1000</f>
        <v>0.23678302304018267</v>
      </c>
    </row>
    <row r="123" spans="1:6">
      <c r="A123" t="s">
        <v>14</v>
      </c>
      <c r="B123">
        <f>'int - 2k'!B123</f>
        <v>1.6356013948164948E-2</v>
      </c>
      <c r="C123">
        <f>CONFIDENCE(0.05,C122,5)/2</f>
        <v>3.1573675404615836E-2</v>
      </c>
      <c r="D123">
        <f t="shared" ref="D123:E123" si="11">CONFIDENCE(0.05,D122,5)/2</f>
        <v>6.7594324515802912E-2</v>
      </c>
      <c r="E123">
        <f t="shared" si="11"/>
        <v>7.6991541641533282E-2</v>
      </c>
      <c r="F123">
        <f>CONFIDENCE(0.05,F122,5)</f>
        <v>0.20754565692058413</v>
      </c>
    </row>
    <row r="125" spans="1:6">
      <c r="A125" t="s">
        <v>30</v>
      </c>
    </row>
    <row r="126" spans="1:6">
      <c r="A126" t="s">
        <v>6</v>
      </c>
      <c r="B126">
        <f>'int - 2k'!B126</f>
        <v>8206</v>
      </c>
      <c r="C126">
        <v>16084</v>
      </c>
      <c r="D126">
        <v>24228</v>
      </c>
      <c r="E126">
        <v>32604</v>
      </c>
      <c r="F126">
        <v>41746</v>
      </c>
    </row>
    <row r="127" spans="1:6">
      <c r="A127" t="s">
        <v>7</v>
      </c>
      <c r="B127">
        <f>'int - 2k'!B127</f>
        <v>8627</v>
      </c>
      <c r="C127">
        <v>16848</v>
      </c>
      <c r="D127">
        <v>25555</v>
      </c>
      <c r="E127">
        <v>34320</v>
      </c>
      <c r="F127">
        <v>44133</v>
      </c>
    </row>
    <row r="128" spans="1:6">
      <c r="A128" t="s">
        <v>8</v>
      </c>
      <c r="B128">
        <f>'int - 2k'!B128</f>
        <v>8596</v>
      </c>
      <c r="C128">
        <v>16911</v>
      </c>
      <c r="D128">
        <v>25484</v>
      </c>
      <c r="E128">
        <v>34289</v>
      </c>
      <c r="F128">
        <v>44101</v>
      </c>
    </row>
    <row r="129" spans="1:6">
      <c r="A129" t="s">
        <v>9</v>
      </c>
      <c r="B129">
        <f>'int - 2k'!B129</f>
        <v>8580</v>
      </c>
      <c r="C129">
        <v>16880</v>
      </c>
      <c r="D129">
        <v>25518</v>
      </c>
      <c r="E129">
        <v>34398</v>
      </c>
      <c r="F129">
        <v>44071</v>
      </c>
    </row>
    <row r="130" spans="1:6">
      <c r="A130" t="s">
        <v>10</v>
      </c>
      <c r="B130">
        <f>'int - 2k'!B130</f>
        <v>8580</v>
      </c>
      <c r="C130">
        <v>16911</v>
      </c>
      <c r="D130">
        <v>25472</v>
      </c>
      <c r="E130">
        <v>34368</v>
      </c>
      <c r="F130">
        <v>44023</v>
      </c>
    </row>
    <row r="131" spans="1:6">
      <c r="A131" t="s">
        <v>11</v>
      </c>
      <c r="B131">
        <f>'int - 2k'!B131</f>
        <v>8.4905000000000008</v>
      </c>
      <c r="C131">
        <f>(SUM(C126:C130) -MAX(C126:C130) -MIN(C126:C130))/((COUNT(C126:C130)-2)*1000)</f>
        <v>16.879666666666665</v>
      </c>
      <c r="D131">
        <f>(SUM(D126:D130) -MAX(D126:D130) -MIN(D126:D130))/((COUNT(D126:D130)-2)*1000)</f>
        <v>25.491333333333333</v>
      </c>
      <c r="E131">
        <f>(SUM(E126:E130) -MAX(E126:E130) -MIN(E126:E130))/((COUNT(E126:E130)-2)*1000)</f>
        <v>34.325666666666663</v>
      </c>
      <c r="F131">
        <f>(SUM(F126:F130) -MAX(F126:F130) -MIN(F126:F130))/((COUNT(F126:F130)-2)*1000)</f>
        <v>44.064999999999998</v>
      </c>
    </row>
    <row r="132" spans="1:6">
      <c r="A132" t="s">
        <v>13</v>
      </c>
      <c r="B132">
        <f>'int - 2k'!B132</f>
        <v>0.1753544980888799</v>
      </c>
      <c r="C132">
        <f>STDEV(C126:C130)/1000</f>
        <v>0.36028141778336009</v>
      </c>
      <c r="D132">
        <f>STDEV(D126:D130)/1000</f>
        <v>0.57301029659156411</v>
      </c>
      <c r="E132">
        <f>STDEV(E126:E130)/1000</f>
        <v>0.77917854179902035</v>
      </c>
      <c r="F132">
        <f>STDEV(F126:F130)/1000</f>
        <v>1.0454760638100757</v>
      </c>
    </row>
    <row r="133" spans="1:6">
      <c r="A133" t="s">
        <v>14</v>
      </c>
      <c r="B133">
        <f>'int - 2k'!B133</f>
        <v>7.6851085083198156E-2</v>
      </c>
      <c r="C133">
        <f>CONFIDENCE(0.05,C132,5)/2</f>
        <v>0.15789739181900178</v>
      </c>
      <c r="D133">
        <f t="shared" ref="D133:E133" si="12">CONFIDENCE(0.05,D132,5)/2</f>
        <v>0.25112822047248917</v>
      </c>
      <c r="E133">
        <f t="shared" si="12"/>
        <v>0.34148377751021669</v>
      </c>
      <c r="F133">
        <f>CONFIDENCE(0.05,F132,5)</f>
        <v>0.91638333556281182</v>
      </c>
    </row>
    <row r="135" spans="1:6">
      <c r="A135" s="1" t="s">
        <v>35</v>
      </c>
    </row>
    <row r="136" spans="1:6">
      <c r="A136" t="s">
        <v>32</v>
      </c>
    </row>
    <row r="137" spans="1:6">
      <c r="A137" t="s">
        <v>6</v>
      </c>
      <c r="B137">
        <f>'int - 2k'!B138</f>
        <v>9516</v>
      </c>
      <c r="C137">
        <v>10186</v>
      </c>
      <c r="D137">
        <v>10624</v>
      </c>
      <c r="E137">
        <v>11091</v>
      </c>
      <c r="F137">
        <v>11513</v>
      </c>
    </row>
    <row r="138" spans="1:6">
      <c r="A138" t="s">
        <v>7</v>
      </c>
      <c r="B138">
        <f>'int - 2k'!B139</f>
        <v>702</v>
      </c>
      <c r="C138">
        <v>1607</v>
      </c>
      <c r="D138">
        <v>2075</v>
      </c>
      <c r="E138">
        <v>2793</v>
      </c>
      <c r="F138">
        <v>3260</v>
      </c>
    </row>
    <row r="139" spans="1:6">
      <c r="A139" t="s">
        <v>8</v>
      </c>
      <c r="B139">
        <f>'int - 2k'!B140</f>
        <v>609</v>
      </c>
      <c r="C139">
        <v>1498</v>
      </c>
      <c r="D139">
        <v>1888</v>
      </c>
      <c r="E139">
        <v>2449</v>
      </c>
      <c r="F139">
        <v>2449</v>
      </c>
    </row>
    <row r="140" spans="1:6">
      <c r="A140" t="s">
        <v>9</v>
      </c>
      <c r="B140">
        <f>'int - 2k'!B141</f>
        <v>577</v>
      </c>
      <c r="C140">
        <v>1482</v>
      </c>
      <c r="D140">
        <v>1982</v>
      </c>
      <c r="E140">
        <v>1233</v>
      </c>
      <c r="F140">
        <v>1529</v>
      </c>
    </row>
    <row r="141" spans="1:6">
      <c r="A141" t="s">
        <v>10</v>
      </c>
      <c r="B141">
        <f>'int - 2k'!B142</f>
        <v>577</v>
      </c>
      <c r="C141">
        <v>1466</v>
      </c>
      <c r="D141">
        <v>1888</v>
      </c>
      <c r="E141">
        <v>1248</v>
      </c>
      <c r="F141">
        <v>1529</v>
      </c>
    </row>
    <row r="142" spans="1:6">
      <c r="A142" t="s">
        <v>11</v>
      </c>
      <c r="B142">
        <f>'int - 2k'!B143</f>
        <v>0.61624999999999996</v>
      </c>
      <c r="C142">
        <f>(SUM(C137:C141) -MAX(C137:C141) -MIN(C137:C141))/((COUNT(C137:C141)-2)*1000)</f>
        <v>1.5289999999999999</v>
      </c>
      <c r="D142">
        <f>(SUM(D137:D141) -MAX(D137:D141) -MIN(D137:D141))/((COUNT(D137:D141)-2)*1000)</f>
        <v>1.9816666666666667</v>
      </c>
      <c r="E142">
        <f>(SUM(E137:E141) -MAX(E137:E141) -MIN(E137:E141))/((COUNT(E137:E141)-2)*1000)</f>
        <v>2.1633333333333336</v>
      </c>
      <c r="F142">
        <f>(SUM(F137:F141) -MAX(F137:F141) -MIN(F137:F141))/((COUNT(F137:F141)-2)*1000)</f>
        <v>2.4126666666666665</v>
      </c>
    </row>
    <row r="143" spans="1:6">
      <c r="A143" t="s">
        <v>13</v>
      </c>
      <c r="B143">
        <f>'int - 2k'!B144</f>
        <v>3.9804185332700883</v>
      </c>
      <c r="C143">
        <f>STDEV(C137:C141)/1000</f>
        <v>3.8789658673414489</v>
      </c>
      <c r="D143">
        <f>STDEV(D137:D141)/1000</f>
        <v>3.8762173313683022</v>
      </c>
      <c r="E143">
        <f>STDEV(E137:E141)/1000</f>
        <v>4.1561161196482468</v>
      </c>
      <c r="F143">
        <f>STDEV(F137:F141)/1000</f>
        <v>4.2306728779237943</v>
      </c>
    </row>
    <row r="144" spans="1:6">
      <c r="A144" t="s">
        <v>14</v>
      </c>
      <c r="B144">
        <f>'int - 2k'!B145</f>
        <v>1.7444632826700039</v>
      </c>
      <c r="C144">
        <f>CONFIDENCE(0.05,C143,5)/2</f>
        <v>1.700000508425985</v>
      </c>
      <c r="D144">
        <f t="shared" ref="D144:E144" si="13">CONFIDENCE(0.05,D143,5)/2</f>
        <v>1.6987959315589605</v>
      </c>
      <c r="E144">
        <f t="shared" si="13"/>
        <v>1.8214647300626825</v>
      </c>
      <c r="F144">
        <f>CONFIDENCE(0.05,F143,5)</f>
        <v>3.7082801393062019</v>
      </c>
    </row>
    <row r="146" spans="1:6">
      <c r="A146" t="s">
        <v>33</v>
      </c>
    </row>
    <row r="147" spans="1:6">
      <c r="A147" t="s">
        <v>6</v>
      </c>
      <c r="B147">
        <f>'int - 2k'!B148</f>
        <v>1092</v>
      </c>
      <c r="C147">
        <v>2480</v>
      </c>
      <c r="D147">
        <v>3354</v>
      </c>
      <c r="E147">
        <v>2964</v>
      </c>
      <c r="F147">
        <v>3510</v>
      </c>
    </row>
    <row r="148" spans="1:6">
      <c r="A148" t="s">
        <v>7</v>
      </c>
      <c r="B148">
        <f>'int - 2k'!B149</f>
        <v>1124</v>
      </c>
      <c r="C148">
        <v>2402</v>
      </c>
      <c r="D148">
        <v>3697</v>
      </c>
      <c r="E148">
        <v>2917</v>
      </c>
      <c r="F148">
        <v>3635</v>
      </c>
    </row>
    <row r="149" spans="1:6">
      <c r="A149" t="s">
        <v>8</v>
      </c>
      <c r="B149">
        <f>'int - 2k'!B150</f>
        <v>1030</v>
      </c>
      <c r="C149">
        <v>2356</v>
      </c>
      <c r="D149">
        <v>2839</v>
      </c>
      <c r="E149">
        <v>3542</v>
      </c>
      <c r="F149">
        <v>3557</v>
      </c>
    </row>
    <row r="150" spans="1:6">
      <c r="A150" t="s">
        <v>9</v>
      </c>
      <c r="B150">
        <f>'int - 2k'!B151</f>
        <v>1014</v>
      </c>
      <c r="C150">
        <v>2294</v>
      </c>
      <c r="D150">
        <v>2823</v>
      </c>
      <c r="E150">
        <v>3479</v>
      </c>
      <c r="F150">
        <v>3557</v>
      </c>
    </row>
    <row r="151" spans="1:6">
      <c r="A151" t="s">
        <v>10</v>
      </c>
      <c r="B151">
        <f>'int - 2k'!B152</f>
        <v>983</v>
      </c>
      <c r="C151">
        <v>2231</v>
      </c>
      <c r="D151">
        <v>2824</v>
      </c>
      <c r="E151">
        <v>3323</v>
      </c>
      <c r="F151">
        <v>3541</v>
      </c>
    </row>
    <row r="152" spans="1:6">
      <c r="A152" t="s">
        <v>11</v>
      </c>
      <c r="B152">
        <f>'int - 2k'!B153</f>
        <v>1.0297499999999999</v>
      </c>
      <c r="C152">
        <f>(SUM(C147:C151) -MAX(C147:C151) -MIN(C147:C151))/((COUNT(C147:C151)-2)*1000)</f>
        <v>2.3506666666666667</v>
      </c>
      <c r="D152">
        <f>(SUM(D147:D151) -MAX(D147:D151) -MIN(D147:D151))/((COUNT(D147:D151)-2)*1000)</f>
        <v>3.0056666666666665</v>
      </c>
      <c r="E152">
        <f>(SUM(E147:E151) -MAX(E147:E151) -MIN(E147:E151))/((COUNT(E147:E151)-2)*1000)</f>
        <v>3.2553333333333332</v>
      </c>
      <c r="F152">
        <f>(SUM(F147:F151) -MAX(F147:F151) -MIN(F147:F151))/((COUNT(F147:F151)-2)*1000)</f>
        <v>3.5516666666666667</v>
      </c>
    </row>
    <row r="153" spans="1:6">
      <c r="A153" t="s">
        <v>13</v>
      </c>
      <c r="B153">
        <f>'int - 2k'!B154</f>
        <v>5.7912002210250391E-2</v>
      </c>
      <c r="C153">
        <f>STDEV(C147:C151)/1000</f>
        <v>9.6051028104855871E-2</v>
      </c>
      <c r="D153">
        <f>STDEV(D147:D151)/1000</f>
        <v>0.40052378206543587</v>
      </c>
      <c r="E153">
        <f>STDEV(E147:E151)/1000</f>
        <v>0.28965237786008247</v>
      </c>
      <c r="F153">
        <f>STDEV(F147:F151)/1000</f>
        <v>4.6108567533594012E-2</v>
      </c>
    </row>
    <row r="154" spans="1:6">
      <c r="A154" t="s">
        <v>14</v>
      </c>
      <c r="B154">
        <f>'int - 2k'!B155</f>
        <v>2.538058765360264E-2</v>
      </c>
      <c r="C154">
        <f>CONFIDENCE(0.05,C153,5)/2</f>
        <v>4.2095445589730454E-2</v>
      </c>
      <c r="D154">
        <f t="shared" ref="D154:E154" si="14">CONFIDENCE(0.05,D153,5)/2</f>
        <v>0.17553406150866846</v>
      </c>
      <c r="E154">
        <f t="shared" si="14"/>
        <v>0.12694341906298373</v>
      </c>
      <c r="F154">
        <f>CONFIDENCE(0.05,F153,5)</f>
        <v>4.0415198756892708E-2</v>
      </c>
    </row>
    <row r="156" spans="1:6">
      <c r="A156" t="s">
        <v>34</v>
      </c>
    </row>
    <row r="157" spans="1:6">
      <c r="A157" t="s">
        <v>6</v>
      </c>
      <c r="B157">
        <f>'int - 2k'!B158</f>
        <v>3136</v>
      </c>
      <c r="C157">
        <v>7769</v>
      </c>
      <c r="D157">
        <v>10577</v>
      </c>
      <c r="E157">
        <v>10031</v>
      </c>
      <c r="F157">
        <v>12527</v>
      </c>
    </row>
    <row r="158" spans="1:6">
      <c r="A158" t="s">
        <v>7</v>
      </c>
      <c r="B158">
        <f>'int - 2k'!B159</f>
        <v>3244</v>
      </c>
      <c r="C158">
        <v>9048</v>
      </c>
      <c r="D158">
        <v>9344</v>
      </c>
      <c r="E158">
        <v>10608</v>
      </c>
      <c r="F158">
        <v>13260</v>
      </c>
    </row>
    <row r="159" spans="1:6">
      <c r="A159" t="s">
        <v>8</v>
      </c>
      <c r="B159">
        <f>'int - 2k'!B160</f>
        <v>3120</v>
      </c>
      <c r="C159">
        <v>8767</v>
      </c>
      <c r="D159">
        <v>8736</v>
      </c>
      <c r="E159">
        <v>10623</v>
      </c>
      <c r="F159">
        <v>13073</v>
      </c>
    </row>
    <row r="160" spans="1:6">
      <c r="A160" t="s">
        <v>9</v>
      </c>
      <c r="B160">
        <f>'int - 2k'!B161</f>
        <v>3229</v>
      </c>
      <c r="C160">
        <v>6272</v>
      </c>
      <c r="D160">
        <v>10016</v>
      </c>
      <c r="E160">
        <v>10624</v>
      </c>
      <c r="F160">
        <v>13088</v>
      </c>
    </row>
    <row r="161" spans="1:6">
      <c r="A161" t="s">
        <v>10</v>
      </c>
      <c r="B161">
        <f>'int - 2k'!B162</f>
        <v>3089</v>
      </c>
      <c r="C161">
        <v>6178</v>
      </c>
      <c r="D161">
        <v>9422</v>
      </c>
      <c r="E161">
        <v>10624</v>
      </c>
      <c r="F161">
        <v>13057</v>
      </c>
    </row>
    <row r="162" spans="1:6">
      <c r="A162" t="s">
        <v>11</v>
      </c>
      <c r="B162">
        <f>'int - 2k'!B163</f>
        <v>3.1435</v>
      </c>
      <c r="C162">
        <f>(SUM(C157:C161) -MAX(C157:C161) -MIN(C157:C161))/((COUNT(C157:C161)-2)*1000)</f>
        <v>7.6026666666666669</v>
      </c>
      <c r="D162">
        <f>(SUM(D157:D161) -MAX(D157:D161) -MIN(D157:D161))/((COUNT(D157:D161)-2)*1000)</f>
        <v>9.5939999999999994</v>
      </c>
      <c r="E162">
        <f>(SUM(E157:E161) -MAX(E157:E161) -MIN(E157:E161))/((COUNT(E157:E161)-2)*1000)</f>
        <v>10.618333333333334</v>
      </c>
      <c r="F162">
        <f>(SUM(F157:F161) -MAX(F157:F161) -MIN(F157:F161))/((COUNT(F157:F161)-2)*1000)</f>
        <v>13.072666666666667</v>
      </c>
    </row>
    <row r="163" spans="1:6">
      <c r="A163" t="s">
        <v>13</v>
      </c>
      <c r="B163">
        <f>'int - 2k'!B164</f>
        <v>6.8864359432152897E-2</v>
      </c>
      <c r="C163">
        <f>STDEV(C157:C161)/1000</f>
        <v>1.3483870735067149</v>
      </c>
      <c r="D163">
        <f>STDEV(D157:D161)/1000</f>
        <v>0.70169366535547406</v>
      </c>
      <c r="E163">
        <f>STDEV(E157:E161)/1000</f>
        <v>0.26338469963154654</v>
      </c>
      <c r="F163">
        <f>STDEV(F157:F161)/1000</f>
        <v>0.27732922673241639</v>
      </c>
    </row>
    <row r="164" spans="1:6">
      <c r="A164" t="s">
        <v>14</v>
      </c>
      <c r="B164">
        <f>'int - 2k'!B165</f>
        <v>3.0180581642324764E-2</v>
      </c>
      <c r="C164">
        <f>CONFIDENCE(0.05,C163,5)/2</f>
        <v>0.59094583167536374</v>
      </c>
      <c r="D164">
        <f t="shared" ref="D164:E164" si="15">CONFIDENCE(0.05,D163,5)/2</f>
        <v>0.30752515713193684</v>
      </c>
      <c r="E164">
        <f t="shared" si="15"/>
        <v>0.11543131303502149</v>
      </c>
      <c r="F164">
        <f>CONFIDENCE(0.05,F163,5)</f>
        <v>0.24308531839163641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K35"/>
  <sheetViews>
    <sheetView workbookViewId="0">
      <selection activeCell="J11" sqref="J11"/>
    </sheetView>
  </sheetViews>
  <sheetFormatPr defaultRowHeight="15"/>
  <cols>
    <col min="1" max="1" width="25.42578125" customWidth="1"/>
    <col min="2" max="11" width="12.7109375" customWidth="1"/>
  </cols>
  <sheetData>
    <row r="1" spans="1:11">
      <c r="A1" t="s">
        <v>16</v>
      </c>
      <c r="B1" t="s">
        <v>24</v>
      </c>
      <c r="C1" t="s">
        <v>38</v>
      </c>
      <c r="D1">
        <v>10</v>
      </c>
    </row>
    <row r="3" spans="1:11">
      <c r="A3" t="s">
        <v>37</v>
      </c>
      <c r="B3" s="2">
        <v>0.1</v>
      </c>
      <c r="C3" s="2">
        <v>0.2</v>
      </c>
      <c r="D3" s="2">
        <v>0.3</v>
      </c>
      <c r="E3" s="2">
        <v>0.4</v>
      </c>
      <c r="F3" s="2">
        <v>0.5</v>
      </c>
      <c r="G3" s="2">
        <v>0.6</v>
      </c>
      <c r="H3" s="2">
        <v>0.7</v>
      </c>
      <c r="I3" s="2">
        <v>0.8</v>
      </c>
      <c r="J3" s="2">
        <v>0.9</v>
      </c>
      <c r="K3" s="2">
        <v>1</v>
      </c>
    </row>
    <row r="4" spans="1:11">
      <c r="A4" t="s">
        <v>6</v>
      </c>
      <c r="B4">
        <v>14305</v>
      </c>
      <c r="C4">
        <v>10421</v>
      </c>
      <c r="D4">
        <v>15678</v>
      </c>
      <c r="E4">
        <v>20919</v>
      </c>
      <c r="F4">
        <v>22245</v>
      </c>
      <c r="G4">
        <v>26162</v>
      </c>
      <c r="H4">
        <v>30779</v>
      </c>
      <c r="I4">
        <v>34414</v>
      </c>
      <c r="J4">
        <v>38376</v>
      </c>
      <c r="K4">
        <v>42120</v>
      </c>
    </row>
    <row r="5" spans="1:11">
      <c r="A5" t="s">
        <v>7</v>
      </c>
      <c r="B5">
        <v>6958</v>
      </c>
      <c r="C5">
        <v>12262</v>
      </c>
      <c r="D5">
        <v>16598</v>
      </c>
      <c r="E5">
        <v>21606</v>
      </c>
      <c r="F5">
        <v>22449</v>
      </c>
      <c r="G5">
        <v>26396</v>
      </c>
      <c r="H5">
        <v>32885</v>
      </c>
      <c r="I5">
        <v>34570</v>
      </c>
      <c r="J5">
        <v>42183</v>
      </c>
      <c r="K5">
        <v>42339</v>
      </c>
    </row>
    <row r="6" spans="1:11">
      <c r="A6" t="s">
        <v>8</v>
      </c>
      <c r="B6">
        <v>6693</v>
      </c>
      <c r="C6">
        <v>11747</v>
      </c>
      <c r="D6">
        <v>16801</v>
      </c>
      <c r="E6">
        <v>21544</v>
      </c>
      <c r="F6">
        <v>22449</v>
      </c>
      <c r="G6">
        <v>27675</v>
      </c>
      <c r="H6">
        <v>32043</v>
      </c>
      <c r="I6">
        <v>34507</v>
      </c>
      <c r="J6">
        <v>40732</v>
      </c>
      <c r="K6">
        <v>42324</v>
      </c>
    </row>
    <row r="7" spans="1:11">
      <c r="A7" t="s">
        <v>9</v>
      </c>
      <c r="B7">
        <v>6724</v>
      </c>
      <c r="C7">
        <v>11169</v>
      </c>
      <c r="D7">
        <v>17223</v>
      </c>
      <c r="E7">
        <v>21295</v>
      </c>
      <c r="F7">
        <v>22433</v>
      </c>
      <c r="G7">
        <v>27097</v>
      </c>
      <c r="H7">
        <v>30483</v>
      </c>
      <c r="I7">
        <v>34414</v>
      </c>
      <c r="J7">
        <v>41871</v>
      </c>
      <c r="K7">
        <v>43072</v>
      </c>
    </row>
    <row r="8" spans="1:11">
      <c r="A8" t="s">
        <v>10</v>
      </c>
      <c r="B8">
        <v>6724</v>
      </c>
      <c r="C8">
        <v>11591</v>
      </c>
      <c r="D8">
        <v>16801</v>
      </c>
      <c r="E8">
        <v>21154</v>
      </c>
      <c r="F8">
        <v>22417</v>
      </c>
      <c r="G8">
        <v>27191</v>
      </c>
      <c r="H8">
        <v>30451</v>
      </c>
      <c r="I8">
        <v>34507</v>
      </c>
      <c r="J8">
        <v>38626</v>
      </c>
      <c r="K8">
        <v>47689</v>
      </c>
    </row>
    <row r="9" spans="1:11">
      <c r="A9" t="s">
        <v>11</v>
      </c>
      <c r="B9">
        <f t="shared" ref="B9:H9" si="0">(SUM(B4:B8) -MAX(B4:B8) -MIN(B4:B8))/((COUNT(B4:B8)-2)*1000)</f>
        <v>6.8019999999999996</v>
      </c>
      <c r="C9">
        <f t="shared" si="0"/>
        <v>11.502333333333333</v>
      </c>
      <c r="D9">
        <f t="shared" si="0"/>
        <v>16.733333333333334</v>
      </c>
      <c r="E9">
        <f t="shared" si="0"/>
        <v>21.331</v>
      </c>
      <c r="F9">
        <f t="shared" si="0"/>
        <v>22.433</v>
      </c>
      <c r="G9">
        <f t="shared" si="0"/>
        <v>26.894666666666666</v>
      </c>
      <c r="H9">
        <f t="shared" si="0"/>
        <v>31.101666666666667</v>
      </c>
      <c r="I9">
        <f>(SUM(I4:I8) -MAX(I4:I8) -MIN(I4:I8))/((COUNT(I4:I8)-2)*1000)</f>
        <v>34.475999999999999</v>
      </c>
      <c r="J9">
        <f>(SUM(J4:J8) -MAX(J4:J8) -MIN(J4:J8))/((COUNT(J4:J8)-2)*1000)</f>
        <v>40.409666666666666</v>
      </c>
      <c r="K9">
        <f>(SUM(K4:K8) -MAX(K4:K8) -MIN(K4:K8))/((COUNT(K4:K8)-2)*1000)</f>
        <v>42.578333333333333</v>
      </c>
    </row>
    <row r="10" spans="1:11">
      <c r="A10" t="s">
        <v>13</v>
      </c>
      <c r="B10">
        <f t="shared" ref="B10:K10" si="1">STDEV(B4:B8)/1000</f>
        <v>3.3693154646010814</v>
      </c>
      <c r="C10">
        <f t="shared" si="1"/>
        <v>0.69002101417275696</v>
      </c>
      <c r="D10">
        <f t="shared" si="1"/>
        <v>0.57379848379024845</v>
      </c>
      <c r="E10">
        <f t="shared" si="1"/>
        <v>0.28266994888023084</v>
      </c>
      <c r="F10">
        <f t="shared" si="1"/>
        <v>8.6883830486186073E-2</v>
      </c>
      <c r="G10">
        <f t="shared" si="1"/>
        <v>0.61698598039181385</v>
      </c>
      <c r="H10">
        <f t="shared" si="1"/>
        <v>1.0862813631836128</v>
      </c>
      <c r="I10">
        <f t="shared" si="1"/>
        <v>6.752999333594159E-2</v>
      </c>
      <c r="J10">
        <f t="shared" si="1"/>
        <v>1.7809981190332438</v>
      </c>
      <c r="K10">
        <f t="shared" si="1"/>
        <v>2.3646254883172957</v>
      </c>
    </row>
    <row r="11" spans="1:11">
      <c r="A11" t="s">
        <v>14</v>
      </c>
      <c r="B11">
        <f>CONFIDENCE(0.05,B10,5)/2</f>
        <v>1.4766404755180524</v>
      </c>
      <c r="C11">
        <f t="shared" ref="C11:K11" si="2">CONFIDENCE(0.05,C10,5)/2</f>
        <v>0.30240948619696717</v>
      </c>
      <c r="D11">
        <f t="shared" si="2"/>
        <v>0.25147365239540953</v>
      </c>
      <c r="E11">
        <f t="shared" si="2"/>
        <v>0.12388329086857618</v>
      </c>
      <c r="F11">
        <f t="shared" si="2"/>
        <v>3.807781791638843E-2</v>
      </c>
      <c r="G11">
        <f t="shared" si="2"/>
        <v>0.27040105951658283</v>
      </c>
      <c r="H11">
        <f t="shared" si="2"/>
        <v>0.47607505011934625</v>
      </c>
      <c r="I11">
        <f t="shared" si="2"/>
        <v>2.9595780661969568E-2</v>
      </c>
      <c r="J11">
        <f t="shared" si="2"/>
        <v>0.7805424980285659</v>
      </c>
      <c r="K11">
        <f t="shared" si="2"/>
        <v>1.0363237702660077</v>
      </c>
    </row>
    <row r="13" spans="1:11">
      <c r="A13" s="1" t="s">
        <v>31</v>
      </c>
    </row>
    <row r="14" spans="1:11">
      <c r="A14" t="s">
        <v>39</v>
      </c>
    </row>
    <row r="15" spans="1:11">
      <c r="A15" t="s">
        <v>6</v>
      </c>
      <c r="B15">
        <v>35522</v>
      </c>
      <c r="C15">
        <v>29921</v>
      </c>
      <c r="D15">
        <v>30810</v>
      </c>
      <c r="E15">
        <v>28205</v>
      </c>
      <c r="F15">
        <v>22730</v>
      </c>
      <c r="G15">
        <v>20452</v>
      </c>
      <c r="H15">
        <v>18128</v>
      </c>
      <c r="I15">
        <v>15850</v>
      </c>
      <c r="J15">
        <v>13588</v>
      </c>
      <c r="K15">
        <v>11185</v>
      </c>
    </row>
    <row r="16" spans="1:11">
      <c r="A16" t="s">
        <v>7</v>
      </c>
      <c r="B16">
        <v>32745</v>
      </c>
      <c r="C16">
        <v>31684</v>
      </c>
      <c r="D16">
        <v>30811</v>
      </c>
      <c r="E16">
        <v>25475</v>
      </c>
      <c r="F16">
        <v>22808</v>
      </c>
      <c r="G16">
        <v>20452</v>
      </c>
      <c r="H16">
        <v>18143</v>
      </c>
      <c r="I16">
        <v>15850</v>
      </c>
      <c r="J16">
        <v>13588</v>
      </c>
      <c r="K16">
        <v>11232</v>
      </c>
    </row>
    <row r="17" spans="1:11">
      <c r="A17" t="s">
        <v>8</v>
      </c>
      <c r="B17">
        <v>32417</v>
      </c>
      <c r="C17">
        <v>31404</v>
      </c>
      <c r="D17">
        <v>31372</v>
      </c>
      <c r="E17">
        <v>25117</v>
      </c>
      <c r="F17">
        <v>22792</v>
      </c>
      <c r="G17">
        <v>20405</v>
      </c>
      <c r="H17">
        <v>18143</v>
      </c>
      <c r="I17">
        <v>17675</v>
      </c>
      <c r="J17">
        <v>13572</v>
      </c>
      <c r="K17">
        <v>11201</v>
      </c>
    </row>
    <row r="18" spans="1:11">
      <c r="A18" t="s">
        <v>9</v>
      </c>
      <c r="B18">
        <v>32449</v>
      </c>
      <c r="C18">
        <v>34445</v>
      </c>
      <c r="D18">
        <v>31528</v>
      </c>
      <c r="E18">
        <v>25148</v>
      </c>
      <c r="F18">
        <v>22777</v>
      </c>
      <c r="G18">
        <v>20467</v>
      </c>
      <c r="H18">
        <v>18564</v>
      </c>
      <c r="I18">
        <v>16333</v>
      </c>
      <c r="J18">
        <v>13604</v>
      </c>
      <c r="K18">
        <v>11170</v>
      </c>
    </row>
    <row r="19" spans="1:11">
      <c r="A19" t="s">
        <v>10</v>
      </c>
      <c r="B19">
        <v>32683</v>
      </c>
      <c r="C19">
        <v>35538</v>
      </c>
      <c r="D19">
        <v>31980</v>
      </c>
      <c r="E19">
        <v>25069</v>
      </c>
      <c r="F19">
        <v>22792</v>
      </c>
      <c r="G19">
        <v>20420</v>
      </c>
      <c r="H19">
        <v>18174</v>
      </c>
      <c r="I19">
        <v>15834</v>
      </c>
      <c r="J19">
        <v>13603</v>
      </c>
      <c r="K19">
        <v>11201</v>
      </c>
    </row>
    <row r="20" spans="1:11">
      <c r="A20" t="s">
        <v>11</v>
      </c>
      <c r="B20">
        <f t="shared" ref="B20:H20" si="3">(SUM(B15:B19) -MAX(B15:B19) -MIN(B15:B19))/((COUNT(B15:B19)-2)*1000)</f>
        <v>32.625666666666667</v>
      </c>
      <c r="C20">
        <f t="shared" si="3"/>
        <v>32.511000000000003</v>
      </c>
      <c r="D20">
        <f t="shared" si="3"/>
        <v>31.236999999999998</v>
      </c>
      <c r="E20">
        <f t="shared" si="3"/>
        <v>25.246666666666666</v>
      </c>
      <c r="F20">
        <f t="shared" si="3"/>
        <v>22.786999999999999</v>
      </c>
      <c r="G20">
        <f t="shared" si="3"/>
        <v>20.441333333333333</v>
      </c>
      <c r="H20">
        <f t="shared" si="3"/>
        <v>18.153333333333332</v>
      </c>
      <c r="I20">
        <f>(SUM(I15:I19) -MAX(I15:I19) -MIN(I15:I19))/((COUNT(I15:I19)-2)*1000)</f>
        <v>16.010999999999999</v>
      </c>
      <c r="J20">
        <f>(SUM(J15:J19) -MAX(J15:J19) -MIN(J15:J19))/((COUNT(J15:J19)-2)*1000)</f>
        <v>13.593</v>
      </c>
      <c r="K20">
        <f>(SUM(K15:K19) -MAX(K15:K19) -MIN(K15:K19))/((COUNT(K15:K19)-2)*1000)</f>
        <v>11.195666666666666</v>
      </c>
    </row>
    <row r="21" spans="1:11">
      <c r="A21" t="s">
        <v>13</v>
      </c>
      <c r="B21">
        <f>STDEV(B15:B19)/1000</f>
        <v>1.3263028311814944</v>
      </c>
      <c r="C21">
        <f t="shared" ref="C21:H21" si="4">STDEV(C15:C19)/1000</f>
        <v>2.3174538398854794</v>
      </c>
      <c r="D21">
        <f t="shared" si="4"/>
        <v>0.49969710825663949</v>
      </c>
      <c r="E21">
        <f t="shared" si="4"/>
        <v>1.3523650394771554</v>
      </c>
      <c r="F21">
        <f t="shared" si="4"/>
        <v>2.9919893048734044E-2</v>
      </c>
      <c r="G21">
        <f t="shared" si="4"/>
        <v>2.5684625751372727E-2</v>
      </c>
      <c r="H21">
        <f t="shared" si="4"/>
        <v>0.18723861781163606</v>
      </c>
      <c r="I21">
        <f>STDEV(I15:I19)/1000</f>
        <v>0.7927037908323713</v>
      </c>
      <c r="J21">
        <f>STDEV(J15:J19)/1000</f>
        <v>1.3152946437965905E-2</v>
      </c>
      <c r="K21">
        <f>STDEV(K15:K19)/1000</f>
        <v>2.3058620947230973E-2</v>
      </c>
    </row>
    <row r="22" spans="1:11">
      <c r="A22" t="s">
        <v>14</v>
      </c>
      <c r="B22">
        <f>CONFIDENCE(0.05,B21,5)/2</f>
        <v>0.58126716358055819</v>
      </c>
      <c r="C22">
        <f t="shared" ref="C22:K22" si="5">CONFIDENCE(0.05,C21,5)/2</f>
        <v>1.0156502637026872</v>
      </c>
      <c r="D22">
        <f t="shared" si="5"/>
        <v>0.21899788942394038</v>
      </c>
      <c r="E22">
        <f t="shared" si="5"/>
        <v>0.59268922009473257</v>
      </c>
      <c r="F22">
        <f t="shared" si="5"/>
        <v>1.3112730334427981E-2</v>
      </c>
      <c r="G22">
        <f t="shared" si="5"/>
        <v>1.1256576708675956E-2</v>
      </c>
      <c r="H22">
        <f t="shared" si="5"/>
        <v>8.20594344891514E-2</v>
      </c>
      <c r="I22">
        <f t="shared" si="5"/>
        <v>0.34741137033253855</v>
      </c>
      <c r="J22">
        <f t="shared" si="5"/>
        <v>5.7644270139367865E-3</v>
      </c>
      <c r="K22">
        <f t="shared" si="5"/>
        <v>1.0105700507429637E-2</v>
      </c>
    </row>
    <row r="24" spans="1:11">
      <c r="A24" s="1" t="s">
        <v>31</v>
      </c>
    </row>
    <row r="25" spans="1:11">
      <c r="A25" t="s">
        <v>40</v>
      </c>
    </row>
    <row r="26" spans="1:11">
      <c r="A26" t="s">
        <v>6</v>
      </c>
      <c r="B26">
        <v>28845</v>
      </c>
      <c r="C26">
        <v>23853</v>
      </c>
      <c r="D26">
        <v>28735</v>
      </c>
      <c r="E26">
        <v>34242</v>
      </c>
      <c r="F26">
        <v>40357</v>
      </c>
      <c r="G26">
        <v>42277</v>
      </c>
      <c r="H26">
        <v>46785</v>
      </c>
      <c r="I26">
        <v>53571</v>
      </c>
      <c r="J26">
        <v>62807</v>
      </c>
      <c r="K26">
        <v>63227</v>
      </c>
    </row>
    <row r="27" spans="1:11">
      <c r="A27" t="s">
        <v>7</v>
      </c>
      <c r="B27">
        <v>19250</v>
      </c>
      <c r="C27">
        <v>24414</v>
      </c>
      <c r="D27">
        <v>29390</v>
      </c>
      <c r="E27">
        <v>35553</v>
      </c>
      <c r="F27">
        <v>40686</v>
      </c>
      <c r="G27">
        <v>42448</v>
      </c>
      <c r="H27">
        <v>46909</v>
      </c>
      <c r="I27">
        <v>56660</v>
      </c>
      <c r="J27">
        <v>58189</v>
      </c>
      <c r="K27">
        <v>66379</v>
      </c>
    </row>
    <row r="28" spans="1:11">
      <c r="A28" t="s">
        <v>8</v>
      </c>
      <c r="B28">
        <v>19110</v>
      </c>
      <c r="C28">
        <v>24149</v>
      </c>
      <c r="D28">
        <v>30077</v>
      </c>
      <c r="E28">
        <v>35927</v>
      </c>
      <c r="F28">
        <v>37378</v>
      </c>
      <c r="G28">
        <v>42385</v>
      </c>
      <c r="H28">
        <v>46879</v>
      </c>
      <c r="I28">
        <v>57768</v>
      </c>
      <c r="J28">
        <v>57954</v>
      </c>
      <c r="K28">
        <v>66140</v>
      </c>
    </row>
    <row r="29" spans="1:11">
      <c r="A29" t="s">
        <v>9</v>
      </c>
      <c r="B29">
        <v>19125</v>
      </c>
      <c r="C29">
        <v>24165</v>
      </c>
      <c r="D29">
        <v>30389</v>
      </c>
      <c r="E29">
        <v>36177</v>
      </c>
      <c r="F29">
        <v>37472</v>
      </c>
      <c r="G29">
        <v>42448</v>
      </c>
      <c r="H29">
        <v>46895</v>
      </c>
      <c r="I29">
        <v>57300</v>
      </c>
      <c r="J29">
        <v>59219</v>
      </c>
      <c r="K29">
        <v>66484</v>
      </c>
    </row>
    <row r="30" spans="1:11">
      <c r="A30" t="s">
        <v>10</v>
      </c>
      <c r="B30">
        <v>19110</v>
      </c>
      <c r="C30">
        <v>24274</v>
      </c>
      <c r="D30">
        <v>29702</v>
      </c>
      <c r="E30">
        <v>36224</v>
      </c>
      <c r="F30">
        <v>37409</v>
      </c>
      <c r="G30">
        <v>42074</v>
      </c>
      <c r="H30">
        <v>46956</v>
      </c>
      <c r="I30">
        <v>58781</v>
      </c>
      <c r="J30">
        <v>59016</v>
      </c>
      <c r="K30">
        <v>64939</v>
      </c>
    </row>
    <row r="31" spans="1:11">
      <c r="A31" t="s">
        <v>11</v>
      </c>
      <c r="B31">
        <f t="shared" ref="B31:H31" si="6">(SUM(B26:B30) -MAX(B26:B30) -MIN(B26:B30))/((COUNT(B26:B30)-2)*1000)</f>
        <v>19.161666666666665</v>
      </c>
      <c r="C31">
        <f t="shared" si="6"/>
        <v>24.196000000000002</v>
      </c>
      <c r="D31">
        <f t="shared" si="6"/>
        <v>29.722999999999999</v>
      </c>
      <c r="E31">
        <f t="shared" si="6"/>
        <v>35.885666666666665</v>
      </c>
      <c r="F31">
        <f t="shared" si="6"/>
        <v>38.412666666666667</v>
      </c>
      <c r="G31">
        <f t="shared" si="6"/>
        <v>42.37</v>
      </c>
      <c r="H31">
        <f t="shared" si="6"/>
        <v>46.894333333333336</v>
      </c>
      <c r="I31">
        <f>(SUM(I26:I30) -MAX(I26:I30) -MIN(I26:I30))/((COUNT(I26:I30)-2)*1000)</f>
        <v>57.242666666666665</v>
      </c>
      <c r="J31">
        <f>(SUM(J26:J30) -MAX(J26:J30) -MIN(J26:J30))/((COUNT(J26:J30)-2)*1000)</f>
        <v>58.808</v>
      </c>
      <c r="K31">
        <f>(SUM(K26:K30) -MAX(K26:K30) -MIN(K26:K30))/((COUNT(K26:K30)-2)*1000)</f>
        <v>65.819333333333333</v>
      </c>
    </row>
    <row r="32" spans="1:11">
      <c r="A32" t="s">
        <v>13</v>
      </c>
      <c r="B32">
        <f>STDEV(B26:B30)/1000</f>
        <v>4.3366931526221677</v>
      </c>
      <c r="C32">
        <f t="shared" ref="C32:H32" si="7">STDEV(C26:C30)/1000</f>
        <v>0.20694322893006187</v>
      </c>
      <c r="D32">
        <f t="shared" si="7"/>
        <v>0.63945468955974694</v>
      </c>
      <c r="E32">
        <f t="shared" si="7"/>
        <v>0.81740155370536971</v>
      </c>
      <c r="F32">
        <f t="shared" si="7"/>
        <v>1.7032581425021729</v>
      </c>
      <c r="G32">
        <f t="shared" si="7"/>
        <v>0.15744300556134827</v>
      </c>
      <c r="H32">
        <f t="shared" si="7"/>
        <v>6.2755079474168973E-2</v>
      </c>
      <c r="I32">
        <f>STDEV(I26:I30)/1000</f>
        <v>1.9720640202589772</v>
      </c>
      <c r="J32">
        <f>STDEV(J26:J30)/1000</f>
        <v>1.9582171738599372</v>
      </c>
      <c r="K32">
        <f>STDEV(K26:K30)/1000</f>
        <v>1.3792964510937484</v>
      </c>
    </row>
    <row r="33" spans="1:11">
      <c r="A33" t="s">
        <v>14</v>
      </c>
      <c r="B33">
        <f>CONFIDENCE(0.05,B32,5)/2</f>
        <v>1.9006046499187235</v>
      </c>
      <c r="C33">
        <f t="shared" ref="C33:K33" si="8">CONFIDENCE(0.05,C32,5)/2</f>
        <v>9.069520238844947E-2</v>
      </c>
      <c r="D33">
        <f t="shared" si="8"/>
        <v>0.28024822453825932</v>
      </c>
      <c r="E33">
        <f t="shared" si="8"/>
        <v>0.35823544326253781</v>
      </c>
      <c r="F33">
        <f t="shared" si="8"/>
        <v>0.7464720771618768</v>
      </c>
      <c r="G33">
        <f t="shared" si="8"/>
        <v>6.9001171615322932E-2</v>
      </c>
      <c r="H33">
        <f t="shared" si="8"/>
        <v>2.7503120847391937E-2</v>
      </c>
      <c r="I33">
        <f t="shared" si="8"/>
        <v>0.86427928260853293</v>
      </c>
      <c r="J33">
        <f t="shared" si="8"/>
        <v>0.85821074611620274</v>
      </c>
      <c r="K33">
        <f t="shared" si="8"/>
        <v>0.60449221476047754</v>
      </c>
    </row>
    <row r="35" spans="1:11">
      <c r="A35" s="1" t="s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J73"/>
  <sheetViews>
    <sheetView topLeftCell="A28" workbookViewId="0">
      <selection activeCell="B71" sqref="B71"/>
    </sheetView>
  </sheetViews>
  <sheetFormatPr defaultRowHeight="15"/>
  <cols>
    <col min="1" max="1" width="24.140625" customWidth="1"/>
    <col min="2" max="9" width="12.7109375" customWidth="1"/>
    <col min="10" max="10" width="6.140625" customWidth="1"/>
  </cols>
  <sheetData>
    <row r="1" spans="1:10">
      <c r="A1" t="s">
        <v>17</v>
      </c>
      <c r="B1" t="s">
        <v>20</v>
      </c>
      <c r="C1" t="s">
        <v>20</v>
      </c>
    </row>
    <row r="2" spans="1:10">
      <c r="A2" t="s">
        <v>12</v>
      </c>
      <c r="B2">
        <v>5</v>
      </c>
      <c r="C2">
        <v>10</v>
      </c>
      <c r="D2">
        <v>15</v>
      </c>
      <c r="E2">
        <v>20</v>
      </c>
      <c r="F2">
        <v>25</v>
      </c>
      <c r="G2">
        <v>30</v>
      </c>
      <c r="H2">
        <v>35</v>
      </c>
      <c r="I2">
        <v>40</v>
      </c>
    </row>
    <row r="3" spans="1:10">
      <c r="A3" t="s">
        <v>56</v>
      </c>
    </row>
    <row r="4" spans="1:10">
      <c r="A4" t="s">
        <v>6</v>
      </c>
      <c r="B4">
        <v>7005</v>
      </c>
      <c r="C4">
        <v>19313</v>
      </c>
      <c r="D4">
        <v>67362</v>
      </c>
      <c r="E4">
        <v>104160</v>
      </c>
      <c r="F4">
        <v>99219</v>
      </c>
      <c r="G4">
        <v>208188</v>
      </c>
      <c r="H4">
        <v>175799</v>
      </c>
      <c r="I4">
        <v>398350</v>
      </c>
    </row>
    <row r="5" spans="1:10">
      <c r="A5" t="s">
        <v>7</v>
      </c>
      <c r="B5">
        <v>7237</v>
      </c>
      <c r="C5">
        <v>20188</v>
      </c>
      <c r="D5">
        <v>106706</v>
      </c>
      <c r="E5">
        <v>240618</v>
      </c>
      <c r="F5">
        <v>197368</v>
      </c>
      <c r="G5">
        <v>399519</v>
      </c>
      <c r="H5">
        <v>313144</v>
      </c>
      <c r="I5">
        <v>958057</v>
      </c>
    </row>
    <row r="6" spans="1:10">
      <c r="A6" t="s">
        <v>8</v>
      </c>
      <c r="B6">
        <v>7270</v>
      </c>
      <c r="C6">
        <v>20074</v>
      </c>
      <c r="D6">
        <v>94134</v>
      </c>
      <c r="E6">
        <v>254722</v>
      </c>
      <c r="F6">
        <v>169937</v>
      </c>
      <c r="G6">
        <v>381453</v>
      </c>
      <c r="H6">
        <v>310793</v>
      </c>
      <c r="I6">
        <v>935876</v>
      </c>
    </row>
    <row r="7" spans="1:10">
      <c r="A7" t="s">
        <v>9</v>
      </c>
      <c r="B7">
        <v>7240</v>
      </c>
      <c r="C7">
        <v>23848</v>
      </c>
      <c r="D7">
        <v>91636</v>
      </c>
      <c r="E7">
        <v>240216</v>
      </c>
      <c r="F7">
        <v>159215</v>
      </c>
      <c r="G7">
        <v>380525</v>
      </c>
      <c r="H7">
        <v>304629</v>
      </c>
      <c r="I7">
        <v>974296</v>
      </c>
    </row>
    <row r="8" spans="1:10">
      <c r="A8" t="s">
        <v>10</v>
      </c>
      <c r="B8">
        <v>7253</v>
      </c>
      <c r="C8">
        <v>21436</v>
      </c>
      <c r="D8">
        <v>86549</v>
      </c>
      <c r="E8">
        <v>244236</v>
      </c>
      <c r="F8">
        <v>165895</v>
      </c>
      <c r="G8">
        <v>373965</v>
      </c>
      <c r="H8">
        <v>306995</v>
      </c>
      <c r="I8">
        <v>944810</v>
      </c>
    </row>
    <row r="9" spans="1:10">
      <c r="A9" t="s">
        <v>11</v>
      </c>
      <c r="B9">
        <f t="shared" ref="B9:I9" si="0">(SUM(B4:B8) -MAX(B4:B8) -MIN(B4:B8))/((COUNT(B4:B8)-2)*1000)</f>
        <v>7.2433333333333332</v>
      </c>
      <c r="C9">
        <f t="shared" si="0"/>
        <v>20.565999999999999</v>
      </c>
      <c r="D9">
        <f t="shared" si="0"/>
        <v>90.772999999999996</v>
      </c>
      <c r="E9">
        <f t="shared" si="0"/>
        <v>241.69</v>
      </c>
      <c r="F9">
        <f t="shared" si="0"/>
        <v>165.01566666666668</v>
      </c>
      <c r="G9">
        <f t="shared" si="0"/>
        <v>378.64766666666668</v>
      </c>
      <c r="H9">
        <f t="shared" si="0"/>
        <v>307.47233333333332</v>
      </c>
      <c r="I9">
        <f t="shared" si="0"/>
        <v>946.24766666666665</v>
      </c>
      <c r="J9" t="s">
        <v>15</v>
      </c>
    </row>
    <row r="10" spans="1:10">
      <c r="A10" t="s">
        <v>13</v>
      </c>
      <c r="B10">
        <f t="shared" ref="B10:I10" si="1">STDEV(B4:B8)/1000</f>
        <v>0.11033811671403496</v>
      </c>
      <c r="C10">
        <f t="shared" si="1"/>
        <v>1.7790455868245894</v>
      </c>
      <c r="D10">
        <f t="shared" si="1"/>
        <v>14.323360108577848</v>
      </c>
      <c r="E10">
        <f t="shared" si="1"/>
        <v>63.234064196444017</v>
      </c>
      <c r="F10">
        <f t="shared" si="1"/>
        <v>36.092972351969031</v>
      </c>
      <c r="G10">
        <f t="shared" si="1"/>
        <v>79.136114170459493</v>
      </c>
      <c r="H10">
        <f t="shared" si="1"/>
        <v>59.611428711279856</v>
      </c>
      <c r="I10">
        <f t="shared" si="1"/>
        <v>248.58549584438742</v>
      </c>
    </row>
    <row r="11" spans="1:10">
      <c r="A11" t="s">
        <v>14</v>
      </c>
      <c r="B11">
        <f>CONFIDENCE(0.05,B10,5)/2</f>
        <v>4.8356923192310643E-2</v>
      </c>
      <c r="C11">
        <f t="shared" ref="C11:I11" si="2">CONFIDENCE(0.05,C10,5)/2</f>
        <v>0.77968677878252224</v>
      </c>
      <c r="D11">
        <f t="shared" si="2"/>
        <v>6.2773739959819572</v>
      </c>
      <c r="E11">
        <f t="shared" si="2"/>
        <v>27.71304130022488</v>
      </c>
      <c r="F11">
        <f t="shared" si="2"/>
        <v>15.818151911454104</v>
      </c>
      <c r="G11">
        <f t="shared" si="2"/>
        <v>34.682293922024783</v>
      </c>
      <c r="H11">
        <f t="shared" si="2"/>
        <v>26.125380470705394</v>
      </c>
      <c r="I11">
        <f t="shared" si="2"/>
        <v>108.94539518400585</v>
      </c>
    </row>
    <row r="13" spans="1:10">
      <c r="A13" t="s">
        <v>0</v>
      </c>
    </row>
    <row r="14" spans="1:10">
      <c r="A14" t="s">
        <v>6</v>
      </c>
      <c r="B14">
        <v>4739</v>
      </c>
      <c r="C14">
        <v>13606</v>
      </c>
      <c r="D14">
        <v>29625</v>
      </c>
      <c r="E14">
        <v>48033</v>
      </c>
      <c r="F14">
        <v>47891</v>
      </c>
      <c r="G14">
        <v>86429</v>
      </c>
      <c r="H14">
        <v>76875</v>
      </c>
      <c r="I14">
        <v>113883</v>
      </c>
    </row>
    <row r="15" spans="1:10">
      <c r="A15" t="s">
        <v>7</v>
      </c>
      <c r="B15">
        <v>4648</v>
      </c>
      <c r="C15">
        <v>13529</v>
      </c>
      <c r="D15">
        <v>29544</v>
      </c>
      <c r="E15">
        <v>48518</v>
      </c>
      <c r="F15">
        <v>49659</v>
      </c>
      <c r="G15">
        <v>89163</v>
      </c>
      <c r="H15">
        <v>78596</v>
      </c>
      <c r="I15">
        <v>110121</v>
      </c>
    </row>
    <row r="16" spans="1:10">
      <c r="A16" t="s">
        <v>8</v>
      </c>
      <c r="B16">
        <v>4633</v>
      </c>
      <c r="C16">
        <v>13684</v>
      </c>
      <c r="D16">
        <v>29204</v>
      </c>
      <c r="E16">
        <v>46879</v>
      </c>
      <c r="F16">
        <v>48655</v>
      </c>
      <c r="G16">
        <v>89840</v>
      </c>
      <c r="H16">
        <v>77225</v>
      </c>
      <c r="I16">
        <v>111591</v>
      </c>
    </row>
    <row r="17" spans="1:10">
      <c r="A17" t="s">
        <v>9</v>
      </c>
      <c r="B17">
        <v>4682</v>
      </c>
      <c r="C17">
        <v>13748</v>
      </c>
      <c r="D17">
        <v>29994</v>
      </c>
      <c r="E17">
        <v>48999</v>
      </c>
      <c r="F17">
        <v>47700</v>
      </c>
      <c r="G17">
        <v>89644</v>
      </c>
      <c r="H17">
        <v>78602</v>
      </c>
      <c r="I17">
        <v>112009</v>
      </c>
    </row>
    <row r="18" spans="1:10">
      <c r="A18" t="s">
        <v>10</v>
      </c>
      <c r="B18">
        <v>4647</v>
      </c>
      <c r="C18">
        <v>13491</v>
      </c>
      <c r="D18">
        <v>29329</v>
      </c>
      <c r="E18">
        <v>48781</v>
      </c>
      <c r="F18">
        <v>49547</v>
      </c>
      <c r="G18">
        <v>88247</v>
      </c>
      <c r="H18">
        <v>80078</v>
      </c>
      <c r="I18">
        <v>110509</v>
      </c>
    </row>
    <row r="19" spans="1:10">
      <c r="A19" t="s">
        <v>11</v>
      </c>
      <c r="B19">
        <f t="shared" ref="B19:I19" si="3">(SUM(B14:B18) -MAX(B14:B18) -MIN(B14:B18))/((COUNT(B14:B18)-2)*1000)</f>
        <v>4.6589999999999998</v>
      </c>
      <c r="C19">
        <f t="shared" si="3"/>
        <v>13.606333333333334</v>
      </c>
      <c r="D19">
        <f t="shared" si="3"/>
        <v>29.499333333333333</v>
      </c>
      <c r="E19">
        <f t="shared" si="3"/>
        <v>48.444000000000003</v>
      </c>
      <c r="F19">
        <f t="shared" si="3"/>
        <v>48.69766666666667</v>
      </c>
      <c r="G19">
        <f t="shared" si="3"/>
        <v>89.018000000000001</v>
      </c>
      <c r="H19">
        <f t="shared" si="3"/>
        <v>78.141000000000005</v>
      </c>
      <c r="I19">
        <f t="shared" si="3"/>
        <v>111.36966666666666</v>
      </c>
      <c r="J19" t="s">
        <v>15</v>
      </c>
    </row>
    <row r="20" spans="1:10">
      <c r="A20" t="s">
        <v>13</v>
      </c>
      <c r="B20">
        <f t="shared" ref="B20:I20" si="4">STDEV(B14:B18)/1000</f>
        <v>4.2681377672226739E-2</v>
      </c>
      <c r="C20">
        <f t="shared" si="4"/>
        <v>0.10635459557542364</v>
      </c>
      <c r="D20">
        <f t="shared" si="4"/>
        <v>0.30445475854393816</v>
      </c>
      <c r="E20">
        <f t="shared" si="4"/>
        <v>0.84279238249998434</v>
      </c>
      <c r="F20">
        <f t="shared" si="4"/>
        <v>0.90734987739029904</v>
      </c>
      <c r="G20">
        <f t="shared" si="4"/>
        <v>1.3929724692179801</v>
      </c>
      <c r="H20">
        <f t="shared" si="4"/>
        <v>1.2770355124270465</v>
      </c>
      <c r="I20">
        <f t="shared" si="4"/>
        <v>1.4794102879185467</v>
      </c>
    </row>
    <row r="21" spans="1:10">
      <c r="A21" t="s">
        <v>14</v>
      </c>
      <c r="B21">
        <f>CONFIDENCE(0.05,B20,5)/2</f>
        <v>1.8705594796284381E-2</v>
      </c>
      <c r="C21">
        <f t="shared" ref="C21:I21" si="5">CONFIDENCE(0.05,C20,5)/2</f>
        <v>4.6611100157882591E-2</v>
      </c>
      <c r="D21">
        <f t="shared" si="5"/>
        <v>0.13343072922478119</v>
      </c>
      <c r="E21">
        <f t="shared" si="5"/>
        <v>0.36936326014373816</v>
      </c>
      <c r="F21">
        <f t="shared" si="5"/>
        <v>0.39765630986099731</v>
      </c>
      <c r="G21">
        <f t="shared" si="5"/>
        <v>0.61048588383608893</v>
      </c>
      <c r="H21">
        <f t="shared" si="5"/>
        <v>0.55967520587953568</v>
      </c>
      <c r="I21">
        <f t="shared" si="5"/>
        <v>0.64836823206074823</v>
      </c>
    </row>
    <row r="23" spans="1:10">
      <c r="A23" t="s">
        <v>1</v>
      </c>
    </row>
    <row r="24" spans="1:10">
      <c r="A24" t="s">
        <v>6</v>
      </c>
      <c r="B24">
        <v>4894</v>
      </c>
      <c r="C24">
        <v>15239</v>
      </c>
      <c r="D24">
        <v>34983</v>
      </c>
      <c r="E24">
        <v>54934</v>
      </c>
      <c r="F24">
        <v>56534</v>
      </c>
      <c r="G24">
        <v>104596</v>
      </c>
      <c r="H24">
        <v>93850</v>
      </c>
      <c r="I24">
        <v>144442</v>
      </c>
    </row>
    <row r="25" spans="1:10">
      <c r="A25" t="s">
        <v>7</v>
      </c>
      <c r="B25">
        <v>4835</v>
      </c>
      <c r="C25">
        <v>15584</v>
      </c>
      <c r="D25">
        <v>32934</v>
      </c>
      <c r="E25">
        <v>52651</v>
      </c>
      <c r="F25">
        <v>54881</v>
      </c>
      <c r="G25">
        <v>104842</v>
      </c>
      <c r="H25">
        <v>94969</v>
      </c>
      <c r="I25">
        <v>140138</v>
      </c>
    </row>
    <row r="26" spans="1:10">
      <c r="A26" t="s">
        <v>8</v>
      </c>
      <c r="B26">
        <v>4819</v>
      </c>
      <c r="C26">
        <v>15583</v>
      </c>
      <c r="D26">
        <v>33306</v>
      </c>
      <c r="E26">
        <v>53777</v>
      </c>
      <c r="F26">
        <v>55615</v>
      </c>
      <c r="G26">
        <v>105243</v>
      </c>
      <c r="H26">
        <v>96223</v>
      </c>
      <c r="I26">
        <v>147748</v>
      </c>
    </row>
    <row r="27" spans="1:10">
      <c r="A27" t="s">
        <v>9</v>
      </c>
      <c r="B27">
        <v>4883</v>
      </c>
      <c r="C27">
        <v>13264</v>
      </c>
      <c r="D27">
        <v>33879</v>
      </c>
      <c r="E27">
        <v>52870</v>
      </c>
      <c r="F27">
        <v>53929</v>
      </c>
      <c r="G27">
        <v>107299</v>
      </c>
      <c r="H27">
        <v>98411</v>
      </c>
      <c r="I27">
        <v>140967</v>
      </c>
    </row>
    <row r="28" spans="1:10">
      <c r="A28" t="s">
        <v>10</v>
      </c>
      <c r="B28">
        <v>4870</v>
      </c>
      <c r="C28">
        <v>13136</v>
      </c>
      <c r="D28">
        <v>33372</v>
      </c>
      <c r="E28">
        <v>53982</v>
      </c>
      <c r="F28">
        <v>54768</v>
      </c>
      <c r="G28">
        <v>99577</v>
      </c>
      <c r="H28">
        <v>98799</v>
      </c>
      <c r="I28">
        <v>137300</v>
      </c>
    </row>
    <row r="29" spans="1:10">
      <c r="A29" t="s">
        <v>11</v>
      </c>
      <c r="B29">
        <f t="shared" ref="B29:I29" si="6">(SUM(B24:B28) -MAX(B24:B28) -MIN(B24:B28))/((COUNT(B24:B28)-2)*1000)</f>
        <v>4.8626666666666667</v>
      </c>
      <c r="C29">
        <f t="shared" si="6"/>
        <v>14.695333333333334</v>
      </c>
      <c r="D29">
        <f t="shared" si="6"/>
        <v>33.518999999999998</v>
      </c>
      <c r="E29">
        <f t="shared" si="6"/>
        <v>53.542999999999999</v>
      </c>
      <c r="F29">
        <f t="shared" si="6"/>
        <v>55.088000000000001</v>
      </c>
      <c r="G29">
        <f t="shared" si="6"/>
        <v>104.89366666666666</v>
      </c>
      <c r="H29">
        <f t="shared" si="6"/>
        <v>96.534333333333336</v>
      </c>
      <c r="I29">
        <f t="shared" si="6"/>
        <v>141.84899999999999</v>
      </c>
      <c r="J29" t="s">
        <v>15</v>
      </c>
    </row>
    <row r="30" spans="1:10">
      <c r="A30" t="s">
        <v>13</v>
      </c>
      <c r="B30">
        <f t="shared" ref="B30:I30" si="7">STDEV(B24:B28)/1000</f>
        <v>3.1979681049054492E-2</v>
      </c>
      <c r="C30">
        <f t="shared" si="7"/>
        <v>1.2513523484614506</v>
      </c>
      <c r="D30">
        <f t="shared" si="7"/>
        <v>0.79491678809800437</v>
      </c>
      <c r="E30">
        <f t="shared" si="7"/>
        <v>0.91939529039462098</v>
      </c>
      <c r="F30">
        <f t="shared" si="7"/>
        <v>0.97988535043656544</v>
      </c>
      <c r="G30">
        <f t="shared" si="7"/>
        <v>2.8535376815453546</v>
      </c>
      <c r="H30">
        <f t="shared" si="7"/>
        <v>2.1429075575020113</v>
      </c>
      <c r="I30">
        <f t="shared" si="7"/>
        <v>4.0483390421257948</v>
      </c>
    </row>
    <row r="31" spans="1:10">
      <c r="A31" t="s">
        <v>14</v>
      </c>
      <c r="B31">
        <f>CONFIDENCE(0.05,B30,5)/2</f>
        <v>1.4015455639973E-2</v>
      </c>
      <c r="C31">
        <f t="shared" ref="C31:I31" si="8">CONFIDENCE(0.05,C30,5)/2</f>
        <v>0.54841926981495115</v>
      </c>
      <c r="D31">
        <f t="shared" si="8"/>
        <v>0.34838124132531945</v>
      </c>
      <c r="E31">
        <f t="shared" si="8"/>
        <v>0.40293534786541851</v>
      </c>
      <c r="F31">
        <f t="shared" si="8"/>
        <v>0.4294457984192161</v>
      </c>
      <c r="G31">
        <f t="shared" si="8"/>
        <v>1.2505950491295712</v>
      </c>
      <c r="H31">
        <f t="shared" si="8"/>
        <v>0.93915338826120998</v>
      </c>
      <c r="I31">
        <f t="shared" si="8"/>
        <v>1.774230211159733</v>
      </c>
    </row>
    <row r="33" spans="1:10">
      <c r="A33" t="s">
        <v>2</v>
      </c>
    </row>
    <row r="34" spans="1:10">
      <c r="A34" t="s">
        <v>6</v>
      </c>
      <c r="B34">
        <v>6035</v>
      </c>
      <c r="C34">
        <v>16442</v>
      </c>
      <c r="D34">
        <v>51212</v>
      </c>
      <c r="E34">
        <v>75304</v>
      </c>
      <c r="F34">
        <v>73742</v>
      </c>
      <c r="G34">
        <v>139033</v>
      </c>
      <c r="H34">
        <v>138842</v>
      </c>
      <c r="I34">
        <v>250925</v>
      </c>
    </row>
    <row r="35" spans="1:10">
      <c r="A35" t="s">
        <v>7</v>
      </c>
      <c r="B35">
        <v>6397</v>
      </c>
      <c r="C35">
        <v>18123</v>
      </c>
      <c r="D35">
        <v>58951</v>
      </c>
      <c r="E35">
        <v>84099</v>
      </c>
      <c r="F35">
        <v>79314</v>
      </c>
      <c r="G35">
        <v>151728</v>
      </c>
      <c r="H35">
        <v>138652</v>
      </c>
      <c r="I35">
        <v>283184</v>
      </c>
    </row>
    <row r="36" spans="1:10">
      <c r="A36" t="s">
        <v>8</v>
      </c>
      <c r="B36">
        <v>6417</v>
      </c>
      <c r="C36">
        <v>18096</v>
      </c>
      <c r="D36">
        <v>59281</v>
      </c>
      <c r="E36">
        <v>82474</v>
      </c>
      <c r="F36">
        <v>82121</v>
      </c>
      <c r="G36">
        <v>136359</v>
      </c>
      <c r="H36">
        <v>138637</v>
      </c>
      <c r="I36">
        <v>277214</v>
      </c>
    </row>
    <row r="37" spans="1:10">
      <c r="A37" t="s">
        <v>9</v>
      </c>
      <c r="B37">
        <v>6288</v>
      </c>
      <c r="C37">
        <v>18066</v>
      </c>
      <c r="D37">
        <v>61137</v>
      </c>
      <c r="E37">
        <v>82056</v>
      </c>
      <c r="F37">
        <v>81313</v>
      </c>
      <c r="G37">
        <v>168684</v>
      </c>
      <c r="H37">
        <v>149094</v>
      </c>
      <c r="I37">
        <v>278782</v>
      </c>
    </row>
    <row r="38" spans="1:10">
      <c r="A38" t="s">
        <v>10</v>
      </c>
      <c r="B38">
        <v>6350</v>
      </c>
      <c r="C38">
        <v>18191</v>
      </c>
      <c r="D38">
        <v>59031</v>
      </c>
      <c r="E38">
        <v>81854</v>
      </c>
      <c r="F38">
        <v>78719</v>
      </c>
      <c r="G38">
        <v>162234</v>
      </c>
      <c r="H38">
        <v>152148</v>
      </c>
      <c r="I38">
        <v>290661</v>
      </c>
    </row>
    <row r="39" spans="1:10">
      <c r="A39" t="s">
        <v>11</v>
      </c>
      <c r="B39">
        <f t="shared" ref="B39:I39" si="9">(SUM(B34:B38) -MAX(B34:B38) -MIN(B34:B38))/((COUNT(B34:B38)-2)*1000)</f>
        <v>6.3449999999999998</v>
      </c>
      <c r="C39">
        <f t="shared" si="9"/>
        <v>18.094999999999999</v>
      </c>
      <c r="D39">
        <f t="shared" si="9"/>
        <v>59.087666666666664</v>
      </c>
      <c r="E39">
        <f t="shared" si="9"/>
        <v>82.128</v>
      </c>
      <c r="F39">
        <f t="shared" si="9"/>
        <v>79.781999999999996</v>
      </c>
      <c r="G39">
        <f t="shared" si="9"/>
        <v>150.99833333333333</v>
      </c>
      <c r="H39">
        <f t="shared" si="9"/>
        <v>142.196</v>
      </c>
      <c r="I39">
        <f t="shared" si="9"/>
        <v>279.72666666666669</v>
      </c>
      <c r="J39" t="s">
        <v>15</v>
      </c>
    </row>
    <row r="40" spans="1:10">
      <c r="A40" t="s">
        <v>13</v>
      </c>
      <c r="B40">
        <f t="shared" ref="B40:I40" si="10">STDEV(B34:B38)/1000</f>
        <v>0.15486542545060542</v>
      </c>
      <c r="C40">
        <f t="shared" si="10"/>
        <v>0.75139889539445825</v>
      </c>
      <c r="D40">
        <f t="shared" si="10"/>
        <v>3.8566801526701937</v>
      </c>
      <c r="E40">
        <f t="shared" si="10"/>
        <v>3.3890069046846438</v>
      </c>
      <c r="F40">
        <f t="shared" si="10"/>
        <v>3.2751333865966146</v>
      </c>
      <c r="G40">
        <f t="shared" si="10"/>
        <v>14.099456347675227</v>
      </c>
      <c r="H40">
        <f t="shared" si="10"/>
        <v>6.6129862996984379</v>
      </c>
      <c r="I40">
        <f t="shared" si="10"/>
        <v>15.03667492167058</v>
      </c>
    </row>
    <row r="41" spans="1:10">
      <c r="A41" t="s">
        <v>14</v>
      </c>
      <c r="B41">
        <f>CONFIDENCE(0.05,B40,5)/2</f>
        <v>6.7871518081718915E-2</v>
      </c>
      <c r="C41">
        <f t="shared" ref="C41:I41" si="11">CONFIDENCE(0.05,C40,5)/2</f>
        <v>0.32930903438879378</v>
      </c>
      <c r="D41">
        <f t="shared" si="11"/>
        <v>1.6902335428048783</v>
      </c>
      <c r="E41">
        <f t="shared" si="11"/>
        <v>1.4852704710628803</v>
      </c>
      <c r="F41">
        <f t="shared" si="11"/>
        <v>1.435364118373424</v>
      </c>
      <c r="G41">
        <f t="shared" si="11"/>
        <v>6.1792456493064494</v>
      </c>
      <c r="H41">
        <f t="shared" si="11"/>
        <v>2.8982157761049008</v>
      </c>
      <c r="I41">
        <f t="shared" si="11"/>
        <v>6.5899922520834329</v>
      </c>
    </row>
    <row r="43" spans="1:10">
      <c r="A43" t="s">
        <v>3</v>
      </c>
    </row>
    <row r="44" spans="1:10">
      <c r="A44" t="s">
        <v>6</v>
      </c>
      <c r="B44">
        <v>5241</v>
      </c>
      <c r="C44">
        <v>14975</v>
      </c>
      <c r="D44">
        <v>29686</v>
      </c>
      <c r="E44">
        <v>52341</v>
      </c>
      <c r="F44">
        <v>54678</v>
      </c>
      <c r="G44">
        <v>103152</v>
      </c>
      <c r="H44">
        <v>89391</v>
      </c>
      <c r="I44">
        <v>126953</v>
      </c>
    </row>
    <row r="45" spans="1:10">
      <c r="A45" t="s">
        <v>7</v>
      </c>
      <c r="B45">
        <v>5259</v>
      </c>
      <c r="C45">
        <v>14665</v>
      </c>
      <c r="D45">
        <v>31448</v>
      </c>
      <c r="E45">
        <v>50827</v>
      </c>
      <c r="F45">
        <v>55053</v>
      </c>
      <c r="G45">
        <v>93728</v>
      </c>
      <c r="H45">
        <v>89259</v>
      </c>
      <c r="I45">
        <v>132007</v>
      </c>
    </row>
    <row r="46" spans="1:10">
      <c r="A46" t="s">
        <v>8</v>
      </c>
      <c r="B46">
        <v>5165</v>
      </c>
      <c r="C46">
        <v>14663</v>
      </c>
      <c r="D46">
        <v>29796</v>
      </c>
      <c r="E46">
        <v>50621</v>
      </c>
      <c r="F46">
        <v>52371</v>
      </c>
      <c r="G46">
        <v>91557</v>
      </c>
      <c r="H46">
        <v>88012</v>
      </c>
      <c r="I46">
        <v>124584</v>
      </c>
    </row>
    <row r="47" spans="1:10">
      <c r="A47" t="s">
        <v>9</v>
      </c>
      <c r="B47">
        <v>5259</v>
      </c>
      <c r="C47">
        <v>14636</v>
      </c>
      <c r="D47">
        <v>29751</v>
      </c>
      <c r="E47">
        <v>51184</v>
      </c>
      <c r="F47">
        <v>52702</v>
      </c>
      <c r="G47">
        <v>91793</v>
      </c>
      <c r="H47">
        <v>86847</v>
      </c>
      <c r="I47">
        <v>130503</v>
      </c>
    </row>
    <row r="48" spans="1:10">
      <c r="A48" t="s">
        <v>10</v>
      </c>
      <c r="B48">
        <v>5307</v>
      </c>
      <c r="C48">
        <v>14647</v>
      </c>
      <c r="D48">
        <v>29608</v>
      </c>
      <c r="E48">
        <v>50482</v>
      </c>
      <c r="F48">
        <v>52231</v>
      </c>
      <c r="G48">
        <v>98111</v>
      </c>
      <c r="H48">
        <v>86316</v>
      </c>
      <c r="I48">
        <v>123573</v>
      </c>
    </row>
    <row r="49" spans="1:10">
      <c r="A49" t="s">
        <v>11</v>
      </c>
      <c r="B49">
        <f t="shared" ref="B49:I49" si="12">(SUM(B44:B48) -MAX(B44:B48) -MIN(B44:B48))/((COUNT(B44:B48)-2)*1000)</f>
        <v>5.2530000000000001</v>
      </c>
      <c r="C49">
        <f t="shared" si="12"/>
        <v>14.658333333333333</v>
      </c>
      <c r="D49">
        <f t="shared" si="12"/>
        <v>29.744333333333334</v>
      </c>
      <c r="E49">
        <f t="shared" si="12"/>
        <v>50.877333333333333</v>
      </c>
      <c r="F49">
        <f t="shared" si="12"/>
        <v>53.25033333333333</v>
      </c>
      <c r="G49">
        <f t="shared" si="12"/>
        <v>94.543999999999997</v>
      </c>
      <c r="H49">
        <f t="shared" si="12"/>
        <v>88.039333333333332</v>
      </c>
      <c r="I49">
        <f t="shared" si="12"/>
        <v>127.34666666666666</v>
      </c>
      <c r="J49" t="s">
        <v>15</v>
      </c>
    </row>
    <row r="50" spans="1:10">
      <c r="A50" t="s">
        <v>13</v>
      </c>
      <c r="B50">
        <f t="shared" ref="B50:I50" si="13">STDEV(B44:B48)/1000</f>
        <v>5.1586820022201219E-2</v>
      </c>
      <c r="C50">
        <f t="shared" si="13"/>
        <v>0.14460705376982161</v>
      </c>
      <c r="D50">
        <f t="shared" si="13"/>
        <v>0.78036478649414187</v>
      </c>
      <c r="E50">
        <f t="shared" si="13"/>
        <v>0.74709872172290592</v>
      </c>
      <c r="F50">
        <f t="shared" si="13"/>
        <v>1.3488934353758268</v>
      </c>
      <c r="G50">
        <f t="shared" si="13"/>
        <v>4.9411044008400351</v>
      </c>
      <c r="H50">
        <f t="shared" si="13"/>
        <v>1.3855726253069522</v>
      </c>
      <c r="I50">
        <f t="shared" si="13"/>
        <v>3.6589538122255658</v>
      </c>
    </row>
    <row r="51" spans="1:10">
      <c r="A51" t="s">
        <v>14</v>
      </c>
      <c r="B51">
        <f>CONFIDENCE(0.05,B50,5)/2</f>
        <v>2.2608505273063337E-2</v>
      </c>
      <c r="C51">
        <f t="shared" ref="C51:I51" si="14">CONFIDENCE(0.05,C50,5)/2</f>
        <v>6.3375671077809184E-2</v>
      </c>
      <c r="D51">
        <f t="shared" si="14"/>
        <v>0.34200366261717341</v>
      </c>
      <c r="E51">
        <f t="shared" si="14"/>
        <v>0.32742443481303901</v>
      </c>
      <c r="F51">
        <f t="shared" si="14"/>
        <v>0.59116775047134629</v>
      </c>
      <c r="G51">
        <f t="shared" si="14"/>
        <v>2.1654946913392177</v>
      </c>
      <c r="H51">
        <f t="shared" si="14"/>
        <v>0.60724281884370679</v>
      </c>
      <c r="I51">
        <f t="shared" si="14"/>
        <v>1.6035777456721607</v>
      </c>
    </row>
    <row r="53" spans="1:10">
      <c r="A53" t="s">
        <v>4</v>
      </c>
    </row>
    <row r="54" spans="1:10">
      <c r="A54" t="s">
        <v>6</v>
      </c>
      <c r="B54">
        <v>5349</v>
      </c>
      <c r="C54">
        <v>15351</v>
      </c>
      <c r="D54">
        <v>38097</v>
      </c>
      <c r="E54">
        <v>76179</v>
      </c>
      <c r="F54">
        <v>72851</v>
      </c>
      <c r="G54">
        <v>127360</v>
      </c>
      <c r="H54">
        <v>125892</v>
      </c>
      <c r="I54">
        <v>208664</v>
      </c>
    </row>
    <row r="55" spans="1:10">
      <c r="A55" t="s">
        <v>7</v>
      </c>
      <c r="B55">
        <v>5381</v>
      </c>
      <c r="C55">
        <v>15135</v>
      </c>
      <c r="D55">
        <v>37817</v>
      </c>
      <c r="E55">
        <v>73135</v>
      </c>
      <c r="F55">
        <v>73244</v>
      </c>
      <c r="G55">
        <v>126613</v>
      </c>
      <c r="H55">
        <v>122100</v>
      </c>
      <c r="I55">
        <v>205768</v>
      </c>
    </row>
    <row r="56" spans="1:10">
      <c r="A56" t="s">
        <v>8</v>
      </c>
      <c r="B56">
        <v>5413</v>
      </c>
      <c r="C56">
        <v>15022</v>
      </c>
      <c r="D56">
        <v>37484</v>
      </c>
      <c r="E56">
        <v>67078</v>
      </c>
      <c r="F56">
        <v>72165</v>
      </c>
      <c r="G56">
        <v>142419</v>
      </c>
      <c r="H56">
        <v>122742</v>
      </c>
      <c r="I56">
        <v>194067</v>
      </c>
    </row>
    <row r="57" spans="1:10">
      <c r="A57" t="s">
        <v>9</v>
      </c>
      <c r="B57">
        <v>5306</v>
      </c>
      <c r="C57">
        <v>15070</v>
      </c>
      <c r="D57">
        <v>36755</v>
      </c>
      <c r="E57">
        <v>65864</v>
      </c>
      <c r="F57">
        <v>72068</v>
      </c>
      <c r="G57">
        <v>143602</v>
      </c>
      <c r="H57">
        <v>117157</v>
      </c>
      <c r="I57">
        <v>210604</v>
      </c>
    </row>
    <row r="58" spans="1:10">
      <c r="A58" t="s">
        <v>10</v>
      </c>
      <c r="B58">
        <v>5336</v>
      </c>
      <c r="C58">
        <v>15100</v>
      </c>
      <c r="D58">
        <v>38175</v>
      </c>
      <c r="E58">
        <v>67798</v>
      </c>
      <c r="F58">
        <v>72757</v>
      </c>
      <c r="G58">
        <v>146536</v>
      </c>
      <c r="H58">
        <v>116545</v>
      </c>
      <c r="I58">
        <v>198295</v>
      </c>
    </row>
    <row r="59" spans="1:10">
      <c r="A59" t="s">
        <v>11</v>
      </c>
      <c r="B59">
        <f t="shared" ref="B59:I59" si="15">(SUM(B54:B58) -MAX(B54:B58) -MIN(B54:B58))/((COUNT(B54:B58)-2)*1000)</f>
        <v>5.3553333333333333</v>
      </c>
      <c r="C59">
        <f t="shared" si="15"/>
        <v>15.101666666666667</v>
      </c>
      <c r="D59">
        <f t="shared" si="15"/>
        <v>37.799333333333337</v>
      </c>
      <c r="E59">
        <f t="shared" si="15"/>
        <v>69.337000000000003</v>
      </c>
      <c r="F59">
        <f t="shared" si="15"/>
        <v>72.590999999999994</v>
      </c>
      <c r="G59">
        <f t="shared" si="15"/>
        <v>137.79366666666667</v>
      </c>
      <c r="H59">
        <f t="shared" si="15"/>
        <v>120.66633333333333</v>
      </c>
      <c r="I59">
        <f t="shared" si="15"/>
        <v>204.24233333333333</v>
      </c>
      <c r="J59" t="s">
        <v>15</v>
      </c>
    </row>
    <row r="60" spans="1:10">
      <c r="A60" t="s">
        <v>13</v>
      </c>
      <c r="B60">
        <f t="shared" ref="B60:I60" si="16">STDEV(B54:B58)/1000</f>
        <v>4.1285590706686033E-2</v>
      </c>
      <c r="C60">
        <f t="shared" si="16"/>
        <v>0.12735108951246518</v>
      </c>
      <c r="D60">
        <f t="shared" si="16"/>
        <v>0.57677707998840622</v>
      </c>
      <c r="E60">
        <f t="shared" si="16"/>
        <v>4.4300413880684921</v>
      </c>
      <c r="F60">
        <f t="shared" si="16"/>
        <v>0.49325196401028149</v>
      </c>
      <c r="G60">
        <f t="shared" si="16"/>
        <v>9.5425160466199905</v>
      </c>
      <c r="H60">
        <f t="shared" si="16"/>
        <v>3.9600594313723074</v>
      </c>
      <c r="I60">
        <f t="shared" si="16"/>
        <v>7.0418209505782698</v>
      </c>
    </row>
    <row r="61" spans="1:10">
      <c r="A61" t="s">
        <v>14</v>
      </c>
      <c r="B61">
        <f>CONFIDENCE(0.05,B60,5)/2</f>
        <v>1.8093875427714672E-2</v>
      </c>
      <c r="C61">
        <f t="shared" ref="C61:I61" si="17">CONFIDENCE(0.05,C60,5)/2</f>
        <v>5.5813050262330813E-2</v>
      </c>
      <c r="D61">
        <f t="shared" si="17"/>
        <v>0.25277905574889004</v>
      </c>
      <c r="E61">
        <f t="shared" si="17"/>
        <v>1.9415155661646002</v>
      </c>
      <c r="F61">
        <f t="shared" si="17"/>
        <v>0.21617323231934024</v>
      </c>
      <c r="G61">
        <f t="shared" si="17"/>
        <v>4.1821152043380749</v>
      </c>
      <c r="H61">
        <f t="shared" si="17"/>
        <v>1.7355406768103538</v>
      </c>
      <c r="I61">
        <f t="shared" si="17"/>
        <v>3.0861573949431316</v>
      </c>
    </row>
    <row r="63" spans="1:10">
      <c r="A63" t="s">
        <v>5</v>
      </c>
    </row>
    <row r="64" spans="1:10">
      <c r="A64" t="s">
        <v>6</v>
      </c>
      <c r="B64">
        <v>6957</v>
      </c>
      <c r="C64">
        <v>20218</v>
      </c>
      <c r="D64">
        <v>77582</v>
      </c>
      <c r="E64">
        <v>172338</v>
      </c>
      <c r="F64">
        <v>139466</v>
      </c>
      <c r="G64">
        <v>314205</v>
      </c>
      <c r="H64">
        <v>230802</v>
      </c>
      <c r="I64">
        <v>617067</v>
      </c>
    </row>
    <row r="65" spans="1:10">
      <c r="A65" t="s">
        <v>7</v>
      </c>
      <c r="B65">
        <v>6957</v>
      </c>
      <c r="C65">
        <v>21858</v>
      </c>
      <c r="D65">
        <v>90231</v>
      </c>
      <c r="E65">
        <v>193069</v>
      </c>
      <c r="F65">
        <v>147735</v>
      </c>
      <c r="G65">
        <v>319491</v>
      </c>
      <c r="H65">
        <v>264518</v>
      </c>
      <c r="I65">
        <v>677532</v>
      </c>
    </row>
    <row r="66" spans="1:10">
      <c r="A66" t="s">
        <v>8</v>
      </c>
      <c r="B66">
        <v>7006</v>
      </c>
      <c r="C66">
        <v>21183</v>
      </c>
      <c r="D66">
        <v>89402</v>
      </c>
      <c r="E66">
        <v>184351</v>
      </c>
      <c r="F66">
        <v>147625</v>
      </c>
      <c r="G66">
        <v>328056</v>
      </c>
      <c r="H66">
        <v>251455</v>
      </c>
      <c r="I66">
        <v>697206</v>
      </c>
    </row>
    <row r="67" spans="1:10">
      <c r="A67" t="s">
        <v>9</v>
      </c>
      <c r="B67">
        <v>6950</v>
      </c>
      <c r="C67">
        <v>21046</v>
      </c>
      <c r="D67">
        <v>86315</v>
      </c>
      <c r="E67">
        <v>192300</v>
      </c>
      <c r="F67">
        <v>148404</v>
      </c>
      <c r="G67">
        <v>313782</v>
      </c>
      <c r="H67">
        <v>250010</v>
      </c>
      <c r="I67">
        <v>677935</v>
      </c>
    </row>
    <row r="68" spans="1:10">
      <c r="A68" t="s">
        <v>10</v>
      </c>
      <c r="B68">
        <v>7005</v>
      </c>
      <c r="C68">
        <v>21043</v>
      </c>
      <c r="D68">
        <v>85757</v>
      </c>
      <c r="E68">
        <v>189012</v>
      </c>
      <c r="F68">
        <v>141928</v>
      </c>
      <c r="G68">
        <v>297308</v>
      </c>
      <c r="H68">
        <v>248651</v>
      </c>
      <c r="I68">
        <v>737764</v>
      </c>
    </row>
    <row r="69" spans="1:10">
      <c r="A69" t="s">
        <v>11</v>
      </c>
      <c r="B69">
        <f t="shared" ref="B69:I69" si="18">(SUM(B64:B68) -MAX(B64:B68) -MIN(B64:B68))/((COUNT(B64:B68)-2)*1000)</f>
        <v>6.9729999999999999</v>
      </c>
      <c r="C69">
        <f t="shared" si="18"/>
        <v>21.090666666666667</v>
      </c>
      <c r="D69">
        <f t="shared" si="18"/>
        <v>87.158000000000001</v>
      </c>
      <c r="E69">
        <f t="shared" si="18"/>
        <v>188.55433333333335</v>
      </c>
      <c r="F69">
        <f t="shared" si="18"/>
        <v>145.76266666666666</v>
      </c>
      <c r="G69">
        <f t="shared" si="18"/>
        <v>315.82600000000002</v>
      </c>
      <c r="H69">
        <f t="shared" si="18"/>
        <v>250.03866666666667</v>
      </c>
      <c r="I69">
        <f t="shared" si="18"/>
        <v>684.22433333333333</v>
      </c>
      <c r="J69" t="s">
        <v>15</v>
      </c>
    </row>
    <row r="70" spans="1:10">
      <c r="A70" t="s">
        <v>13</v>
      </c>
      <c r="B70">
        <f t="shared" ref="B70:I70" si="19">STDEV(B64:B68)/1000</f>
        <v>2.799107000455681E-2</v>
      </c>
      <c r="C70">
        <f t="shared" si="19"/>
        <v>0.58329263667558184</v>
      </c>
      <c r="D70">
        <f t="shared" si="19"/>
        <v>5.0098475326100731</v>
      </c>
      <c r="E70">
        <f t="shared" si="19"/>
        <v>8.4834157330641293</v>
      </c>
      <c r="F70">
        <f t="shared" si="19"/>
        <v>4.0624934830716022</v>
      </c>
      <c r="G70">
        <f t="shared" si="19"/>
        <v>11.234091387379891</v>
      </c>
      <c r="H70">
        <f t="shared" si="19"/>
        <v>12.032315184535225</v>
      </c>
      <c r="I70">
        <f t="shared" si="19"/>
        <v>43.567137462770617</v>
      </c>
    </row>
    <row r="71" spans="1:10">
      <c r="A71" t="s">
        <v>14</v>
      </c>
      <c r="B71">
        <f>CONFIDENCE(0.05,B70,5)/2</f>
        <v>1.226740189692554E-2</v>
      </c>
      <c r="C71">
        <f t="shared" ref="C71:I71" si="20">CONFIDENCE(0.05,C70,5)/2</f>
        <v>0.25563457189924693</v>
      </c>
      <c r="D71">
        <f t="shared" si="20"/>
        <v>2.1956221435923498</v>
      </c>
      <c r="E71">
        <f t="shared" si="20"/>
        <v>3.7179525555563568</v>
      </c>
      <c r="F71">
        <f t="shared" si="20"/>
        <v>1.7804335544288632</v>
      </c>
      <c r="G71">
        <f t="shared" si="20"/>
        <v>4.9234671619678574</v>
      </c>
      <c r="H71">
        <f t="shared" si="20"/>
        <v>5.2732977372834968</v>
      </c>
      <c r="I71">
        <f t="shared" si="20"/>
        <v>19.09378900725843</v>
      </c>
    </row>
    <row r="73" spans="1:10">
      <c r="A73" s="1" t="s">
        <v>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F71"/>
  <sheetViews>
    <sheetView topLeftCell="A19" workbookViewId="0">
      <selection activeCell="B71" sqref="B71"/>
    </sheetView>
  </sheetViews>
  <sheetFormatPr defaultRowHeight="15"/>
  <cols>
    <col min="1" max="1" width="24.140625" customWidth="1"/>
    <col min="2" max="5" width="12.7109375" customWidth="1"/>
    <col min="6" max="6" width="10.7109375" customWidth="1"/>
  </cols>
  <sheetData>
    <row r="1" spans="1:6">
      <c r="A1" t="s">
        <v>19</v>
      </c>
      <c r="B1">
        <v>10</v>
      </c>
    </row>
    <row r="2" spans="1:6">
      <c r="A2" t="s">
        <v>18</v>
      </c>
      <c r="B2" t="str">
        <f>'str - 2k'!C1</f>
        <v>2k</v>
      </c>
      <c r="C2" t="s">
        <v>21</v>
      </c>
      <c r="D2" t="s">
        <v>22</v>
      </c>
      <c r="E2" t="s">
        <v>23</v>
      </c>
    </row>
    <row r="3" spans="1:6">
      <c r="A3" t="s">
        <v>56</v>
      </c>
    </row>
    <row r="4" spans="1:6">
      <c r="A4" t="s">
        <v>6</v>
      </c>
      <c r="B4">
        <v>20480</v>
      </c>
      <c r="C4">
        <v>41327</v>
      </c>
      <c r="D4">
        <v>60167</v>
      </c>
      <c r="E4">
        <v>79484</v>
      </c>
    </row>
    <row r="5" spans="1:6">
      <c r="A5" t="s">
        <v>7</v>
      </c>
      <c r="B5">
        <v>26550</v>
      </c>
      <c r="C5">
        <v>55646</v>
      </c>
      <c r="D5">
        <v>129714</v>
      </c>
      <c r="E5">
        <v>198297</v>
      </c>
    </row>
    <row r="6" spans="1:6">
      <c r="A6" t="s">
        <v>8</v>
      </c>
      <c r="B6">
        <v>24598</v>
      </c>
      <c r="C6">
        <v>44946</v>
      </c>
      <c r="D6">
        <v>120714</v>
      </c>
      <c r="E6">
        <v>205909</v>
      </c>
    </row>
    <row r="7" spans="1:6">
      <c r="A7" t="s">
        <v>9</v>
      </c>
      <c r="B7">
        <v>23930</v>
      </c>
      <c r="C7">
        <v>33275</v>
      </c>
      <c r="D7">
        <v>115330</v>
      </c>
      <c r="E7">
        <v>185159</v>
      </c>
    </row>
    <row r="8" spans="1:6">
      <c r="A8" t="s">
        <v>10</v>
      </c>
      <c r="B8">
        <v>24200</v>
      </c>
      <c r="C8">
        <v>36082</v>
      </c>
      <c r="D8">
        <v>113945</v>
      </c>
      <c r="E8">
        <v>184237</v>
      </c>
    </row>
    <row r="9" spans="1:6">
      <c r="A9" t="s">
        <v>11</v>
      </c>
      <c r="B9">
        <f>(SUM(B4:B8) -MAX(B4:B8))/((COUNT(B4:B8)-1)*1000)</f>
        <v>23.302</v>
      </c>
      <c r="C9">
        <f>(SUM(C4:C8) -MAX(C4:C8))/((COUNT(C4:C8)-1)*1000)</f>
        <v>38.907499999999999</v>
      </c>
      <c r="D9">
        <f t="shared" ref="D9:E9" si="0">(SUM(D4:D8) -MAX(D4:D8))/((COUNT(D4:D8)-1)*1000)</f>
        <v>102.539</v>
      </c>
      <c r="E9">
        <f t="shared" si="0"/>
        <v>161.79425000000001</v>
      </c>
      <c r="F9" t="s">
        <v>15</v>
      </c>
    </row>
    <row r="10" spans="1:6">
      <c r="A10" t="s">
        <v>13</v>
      </c>
      <c r="B10">
        <f t="shared" ref="B10" si="1">STDEV(B4:B8)/1000</f>
        <v>2.1956599918930872</v>
      </c>
      <c r="C10">
        <f t="shared" ref="C10:E10" si="2">STDEV(C4:C8)/1000</f>
        <v>8.7488267041929575</v>
      </c>
      <c r="D10">
        <f t="shared" si="2"/>
        <v>27.432681358190273</v>
      </c>
      <c r="E10">
        <f t="shared" si="2"/>
        <v>51.753998678362976</v>
      </c>
    </row>
    <row r="11" spans="1:6">
      <c r="A11" t="s">
        <v>14</v>
      </c>
      <c r="B11">
        <f>CONFIDENCE(0.05,B10,5)/2</f>
        <v>0.96227273716824258</v>
      </c>
      <c r="C11">
        <f t="shared" ref="C11:E11" si="3">CONFIDENCE(0.05,C10,5)/2</f>
        <v>3.8342719049117258</v>
      </c>
      <c r="D11">
        <f t="shared" si="3"/>
        <v>12.022681779454382</v>
      </c>
      <c r="E11">
        <f t="shared" si="3"/>
        <v>22.681773203277878</v>
      </c>
    </row>
    <row r="13" spans="1:6">
      <c r="A13" t="s">
        <v>0</v>
      </c>
    </row>
    <row r="14" spans="1:6">
      <c r="A14" t="s">
        <v>6</v>
      </c>
      <c r="B14">
        <v>13290</v>
      </c>
      <c r="C14">
        <v>13615</v>
      </c>
      <c r="D14">
        <v>14225</v>
      </c>
      <c r="E14">
        <v>14824</v>
      </c>
    </row>
    <row r="15" spans="1:6">
      <c r="A15" t="s">
        <v>7</v>
      </c>
      <c r="B15">
        <v>12798</v>
      </c>
      <c r="C15">
        <v>13025</v>
      </c>
      <c r="D15">
        <v>13509</v>
      </c>
      <c r="E15">
        <v>13857</v>
      </c>
    </row>
    <row r="16" spans="1:6">
      <c r="A16" t="s">
        <v>8</v>
      </c>
      <c r="B16">
        <v>12648</v>
      </c>
      <c r="C16">
        <v>12899</v>
      </c>
      <c r="D16">
        <v>13337</v>
      </c>
      <c r="E16">
        <v>13619</v>
      </c>
    </row>
    <row r="17" spans="1:6">
      <c r="A17" t="s">
        <v>9</v>
      </c>
      <c r="B17">
        <v>12777</v>
      </c>
      <c r="C17">
        <v>13073</v>
      </c>
      <c r="D17">
        <v>13589</v>
      </c>
      <c r="E17">
        <v>13698</v>
      </c>
    </row>
    <row r="18" spans="1:6">
      <c r="A18" t="s">
        <v>10</v>
      </c>
      <c r="B18">
        <v>12714</v>
      </c>
      <c r="C18">
        <v>13850</v>
      </c>
      <c r="D18">
        <v>13353</v>
      </c>
      <c r="E18">
        <v>13478</v>
      </c>
    </row>
    <row r="19" spans="1:6">
      <c r="A19" t="s">
        <v>11</v>
      </c>
      <c r="B19">
        <f>(SUM(B14:B18) -MAX(B14:B18))/((COUNT(B14:B18)-1)*1000)</f>
        <v>12.734249999999999</v>
      </c>
      <c r="C19">
        <f>(SUM(C14:C18) -MAX(C14:C18))/((COUNT(C14:C18)-1)*1000)</f>
        <v>13.153</v>
      </c>
      <c r="D19">
        <f t="shared" ref="D19" si="4">(SUM(D14:D18) -MAX(D14:D18))/((COUNT(D14:D18)-1)*1000)</f>
        <v>13.446999999999999</v>
      </c>
      <c r="E19">
        <f t="shared" ref="E19" si="5">(SUM(E14:E18) -MAX(E14:E18))/((COUNT(E14:E18)-1)*1000)</f>
        <v>13.663</v>
      </c>
      <c r="F19" t="s">
        <v>15</v>
      </c>
    </row>
    <row r="20" spans="1:6">
      <c r="A20" t="s">
        <v>13</v>
      </c>
      <c r="B20">
        <f t="shared" ref="B20" si="6">STDEV(B14:B18)/1000</f>
        <v>0.25535622177658396</v>
      </c>
      <c r="C20">
        <f t="shared" ref="C20:E20" si="7">STDEV(C14:C18)/1000</f>
        <v>0.41514792544346396</v>
      </c>
      <c r="D20">
        <f t="shared" si="7"/>
        <v>0.36372077202163189</v>
      </c>
      <c r="E20">
        <f t="shared" si="7"/>
        <v>0.53697271811516467</v>
      </c>
    </row>
    <row r="21" spans="1:6">
      <c r="A21" t="s">
        <v>14</v>
      </c>
      <c r="B21">
        <f>CONFIDENCE(0.05,B20,5)/2</f>
        <v>0.11191274213182417</v>
      </c>
      <c r="C21">
        <f t="shared" ref="C21:E21" si="8">CONFIDENCE(0.05,C20,5)/2</f>
        <v>0.18194325716240115</v>
      </c>
      <c r="D21">
        <f t="shared" si="8"/>
        <v>0.1594047275764382</v>
      </c>
      <c r="E21">
        <f t="shared" si="8"/>
        <v>0.23533434555130833</v>
      </c>
    </row>
    <row r="23" spans="1:6">
      <c r="A23" t="s">
        <v>1</v>
      </c>
    </row>
    <row r="24" spans="1:6">
      <c r="A24" t="s">
        <v>6</v>
      </c>
      <c r="B24">
        <v>13416</v>
      </c>
      <c r="C24">
        <v>14648</v>
      </c>
      <c r="D24">
        <v>15258</v>
      </c>
      <c r="E24">
        <v>16897</v>
      </c>
    </row>
    <row r="25" spans="1:6">
      <c r="A25" t="s">
        <v>7</v>
      </c>
      <c r="B25">
        <v>13427</v>
      </c>
      <c r="C25">
        <v>15327</v>
      </c>
      <c r="D25">
        <v>16567</v>
      </c>
      <c r="E25">
        <v>18655</v>
      </c>
    </row>
    <row r="26" spans="1:6">
      <c r="A26" t="s">
        <v>8</v>
      </c>
      <c r="B26">
        <v>13402</v>
      </c>
      <c r="C26">
        <v>14927</v>
      </c>
      <c r="D26">
        <v>16282</v>
      </c>
      <c r="E26">
        <v>18344</v>
      </c>
    </row>
    <row r="27" spans="1:6">
      <c r="A27" t="s">
        <v>9</v>
      </c>
      <c r="B27">
        <v>13327</v>
      </c>
      <c r="C27">
        <v>14652</v>
      </c>
      <c r="D27">
        <v>16159</v>
      </c>
      <c r="E27">
        <v>18659</v>
      </c>
    </row>
    <row r="28" spans="1:6">
      <c r="A28" t="s">
        <v>10</v>
      </c>
      <c r="B28">
        <v>13335</v>
      </c>
      <c r="C28">
        <v>14697</v>
      </c>
      <c r="D28">
        <v>16021</v>
      </c>
      <c r="E28">
        <v>18124</v>
      </c>
    </row>
    <row r="29" spans="1:6">
      <c r="A29" t="s">
        <v>11</v>
      </c>
      <c r="B29">
        <f>(SUM(B24:B28) -MAX(B24:B28))/((COUNT(B24:B28)-1)*1000)</f>
        <v>13.37</v>
      </c>
      <c r="C29">
        <f>(SUM(C24:C28) -MAX(C24:C28))/((COUNT(C24:C28)-1)*1000)</f>
        <v>14.731</v>
      </c>
      <c r="D29">
        <f t="shared" ref="D29" si="9">(SUM(D24:D28) -MAX(D24:D28))/((COUNT(D24:D28)-1)*1000)</f>
        <v>15.93</v>
      </c>
      <c r="E29">
        <f t="shared" ref="E29" si="10">(SUM(E24:E28) -MAX(E24:E28))/((COUNT(E24:E28)-1)*1000)</f>
        <v>18.004999999999999</v>
      </c>
      <c r="F29" t="s">
        <v>15</v>
      </c>
    </row>
    <row r="30" spans="1:6">
      <c r="A30" t="s">
        <v>13</v>
      </c>
      <c r="B30">
        <f t="shared" ref="B30" si="11">STDEV(B24:B28)/1000</f>
        <v>4.6939322534650212E-2</v>
      </c>
      <c r="C30">
        <f t="shared" ref="C30:E30" si="12">STDEV(C24:C28)/1000</f>
        <v>0.29020458300996571</v>
      </c>
      <c r="D30">
        <f t="shared" si="12"/>
        <v>0.49010845738470166</v>
      </c>
      <c r="E30">
        <f t="shared" si="12"/>
        <v>0.72825455714330278</v>
      </c>
    </row>
    <row r="31" spans="1:6">
      <c r="A31" t="s">
        <v>14</v>
      </c>
      <c r="B31">
        <f>CONFIDENCE(0.05,B30,5)/2</f>
        <v>2.0571687120507592E-2</v>
      </c>
      <c r="C31">
        <f t="shared" ref="C31:E31" si="13">CONFIDENCE(0.05,C30,5)/2</f>
        <v>0.12718542919343129</v>
      </c>
      <c r="D31">
        <f t="shared" si="13"/>
        <v>0.21479555511245396</v>
      </c>
      <c r="E31">
        <f t="shared" si="13"/>
        <v>0.31916576730686047</v>
      </c>
    </row>
    <row r="33" spans="1:6">
      <c r="A33" t="s">
        <v>2</v>
      </c>
    </row>
    <row r="34" spans="1:6">
      <c r="A34" t="s">
        <v>6</v>
      </c>
      <c r="B34">
        <v>16893</v>
      </c>
      <c r="C34">
        <v>22355</v>
      </c>
      <c r="D34">
        <v>30167</v>
      </c>
      <c r="E34">
        <v>41259</v>
      </c>
    </row>
    <row r="35" spans="1:6">
      <c r="A35" t="s">
        <v>7</v>
      </c>
      <c r="B35">
        <v>18936</v>
      </c>
      <c r="C35">
        <v>31249</v>
      </c>
      <c r="D35">
        <v>51294</v>
      </c>
      <c r="E35">
        <v>78796</v>
      </c>
    </row>
    <row r="36" spans="1:6">
      <c r="A36" t="s">
        <v>8</v>
      </c>
      <c r="B36">
        <v>18476</v>
      </c>
      <c r="C36">
        <v>30787</v>
      </c>
      <c r="D36">
        <v>50906</v>
      </c>
      <c r="E36">
        <v>78356</v>
      </c>
    </row>
    <row r="37" spans="1:6">
      <c r="A37" t="s">
        <v>9</v>
      </c>
      <c r="B37">
        <v>18332</v>
      </c>
      <c r="C37">
        <v>30219</v>
      </c>
      <c r="D37">
        <v>51325</v>
      </c>
      <c r="E37">
        <v>77967</v>
      </c>
    </row>
    <row r="38" spans="1:6">
      <c r="A38" t="s">
        <v>10</v>
      </c>
      <c r="B38">
        <v>18327</v>
      </c>
      <c r="C38">
        <v>30343</v>
      </c>
      <c r="D38">
        <v>56133</v>
      </c>
      <c r="E38">
        <v>76753</v>
      </c>
    </row>
    <row r="39" spans="1:6">
      <c r="A39" t="s">
        <v>11</v>
      </c>
      <c r="B39">
        <f>(SUM(B34:B38) -MAX(B34:B38))/((COUNT(B34:B38)-1)*1000)</f>
        <v>18.007000000000001</v>
      </c>
      <c r="C39">
        <f>(SUM(C34:C38) -MAX(C34:C38))/((COUNT(C34:C38)-1)*1000)</f>
        <v>28.425999999999998</v>
      </c>
      <c r="D39">
        <f t="shared" ref="D39" si="14">(SUM(D34:D38) -MAX(D34:D38))/((COUNT(D34:D38)-1)*1000)</f>
        <v>45.923000000000002</v>
      </c>
      <c r="E39">
        <f t="shared" ref="E39" si="15">(SUM(E34:E38) -MAX(E34:E38))/((COUNT(E34:E38)-1)*1000)</f>
        <v>68.583749999999995</v>
      </c>
      <c r="F39" t="s">
        <v>15</v>
      </c>
    </row>
    <row r="40" spans="1:6">
      <c r="A40" t="s">
        <v>13</v>
      </c>
      <c r="B40">
        <f t="shared" ref="B40" si="16">STDEV(B34:B38)/1000</f>
        <v>0.76801933569408787</v>
      </c>
      <c r="C40">
        <f t="shared" ref="C40:E40" si="17">STDEV(C34:C38)/1000</f>
        <v>3.7315065054210952</v>
      </c>
      <c r="D40">
        <f t="shared" si="17"/>
        <v>10.17971450974928</v>
      </c>
      <c r="E40">
        <f t="shared" si="17"/>
        <v>16.434361098016549</v>
      </c>
    </row>
    <row r="41" spans="1:6">
      <c r="A41" t="s">
        <v>14</v>
      </c>
      <c r="B41">
        <f>CONFIDENCE(0.05,B40,5)/2</f>
        <v>0.33659312966726018</v>
      </c>
      <c r="C41">
        <f t="shared" ref="C41:E41" si="18">CONFIDENCE(0.05,C40,5)/2</f>
        <v>1.6353747811548698</v>
      </c>
      <c r="D41">
        <f t="shared" si="18"/>
        <v>4.4613746122148648</v>
      </c>
      <c r="E41">
        <f t="shared" si="18"/>
        <v>7.2025439711932018</v>
      </c>
    </row>
    <row r="43" spans="1:6">
      <c r="A43" t="s">
        <v>3</v>
      </c>
    </row>
    <row r="44" spans="1:6">
      <c r="A44" t="s">
        <v>6</v>
      </c>
      <c r="B44">
        <v>14802</v>
      </c>
      <c r="C44">
        <v>14711</v>
      </c>
      <c r="D44">
        <v>17177</v>
      </c>
      <c r="E44">
        <v>16492</v>
      </c>
    </row>
    <row r="45" spans="1:6">
      <c r="A45" t="s">
        <v>7</v>
      </c>
      <c r="B45">
        <v>14789</v>
      </c>
      <c r="C45">
        <v>14554</v>
      </c>
      <c r="D45">
        <v>16099</v>
      </c>
      <c r="E45">
        <v>15661</v>
      </c>
    </row>
    <row r="46" spans="1:6">
      <c r="A46" t="s">
        <v>8</v>
      </c>
      <c r="B46">
        <v>14724</v>
      </c>
      <c r="C46">
        <v>14415</v>
      </c>
      <c r="D46">
        <v>15832</v>
      </c>
      <c r="E46">
        <v>15319</v>
      </c>
    </row>
    <row r="47" spans="1:6">
      <c r="A47" t="s">
        <v>9</v>
      </c>
      <c r="B47">
        <v>14754</v>
      </c>
      <c r="C47">
        <v>14588</v>
      </c>
      <c r="D47">
        <v>15755</v>
      </c>
      <c r="E47">
        <v>19314</v>
      </c>
    </row>
    <row r="48" spans="1:6">
      <c r="A48" t="s">
        <v>10</v>
      </c>
      <c r="B48">
        <v>14712</v>
      </c>
      <c r="C48">
        <v>14584</v>
      </c>
      <c r="D48">
        <v>15753</v>
      </c>
      <c r="E48">
        <v>19021</v>
      </c>
    </row>
    <row r="49" spans="1:6">
      <c r="A49" t="s">
        <v>11</v>
      </c>
      <c r="B49">
        <f>(SUM(B44:B48) -MAX(B44:B48))/((COUNT(B44:B48)-1)*1000)</f>
        <v>14.74475</v>
      </c>
      <c r="C49">
        <f>(SUM(C44:C48) -MAX(C44:C48))/((COUNT(C44:C48)-1)*1000)</f>
        <v>14.53525</v>
      </c>
      <c r="D49">
        <f t="shared" ref="D49" si="19">(SUM(D44:D48) -MAX(D44:D48))/((COUNT(D44:D48)-1)*1000)</f>
        <v>15.85975</v>
      </c>
      <c r="E49">
        <f t="shared" ref="E49" si="20">(SUM(E44:E48) -MAX(E44:E48))/((COUNT(E44:E48)-1)*1000)</f>
        <v>16.623249999999999</v>
      </c>
      <c r="F49" t="s">
        <v>15</v>
      </c>
    </row>
    <row r="50" spans="1:6">
      <c r="A50" t="s">
        <v>13</v>
      </c>
      <c r="B50">
        <f t="shared" ref="B50" si="21">STDEV(B44:B48)/1000</f>
        <v>3.9270854332291771E-2</v>
      </c>
      <c r="C50">
        <f t="shared" ref="C50:E50" si="22">STDEV(C44:C48)/1000</f>
        <v>0.10568963998430463</v>
      </c>
      <c r="D50">
        <f t="shared" si="22"/>
        <v>0.60590774875387432</v>
      </c>
      <c r="E50">
        <f t="shared" si="22"/>
        <v>1.8831843510394866</v>
      </c>
    </row>
    <row r="51" spans="1:6">
      <c r="A51" t="s">
        <v>14</v>
      </c>
      <c r="B51">
        <f>CONFIDENCE(0.05,B50,5)/2</f>
        <v>1.7210894504976617E-2</v>
      </c>
      <c r="C51">
        <f t="shared" ref="C51:E51" si="23">CONFIDENCE(0.05,C50,5)/2</f>
        <v>4.6319675875833473E-2</v>
      </c>
      <c r="D51">
        <f t="shared" si="23"/>
        <v>0.26554589964639147</v>
      </c>
      <c r="E51">
        <f t="shared" si="23"/>
        <v>0.82532676587359577</v>
      </c>
    </row>
    <row r="53" spans="1:6">
      <c r="A53" t="s">
        <v>4</v>
      </c>
    </row>
    <row r="54" spans="1:6">
      <c r="A54" t="s">
        <v>6</v>
      </c>
      <c r="B54">
        <v>15226</v>
      </c>
      <c r="C54">
        <v>17443</v>
      </c>
      <c r="D54">
        <v>21811</v>
      </c>
      <c r="E54">
        <v>33495</v>
      </c>
    </row>
    <row r="55" spans="1:6">
      <c r="A55" t="s">
        <v>7</v>
      </c>
      <c r="B55">
        <v>16395</v>
      </c>
      <c r="C55">
        <v>17800</v>
      </c>
      <c r="D55">
        <v>18688</v>
      </c>
      <c r="E55">
        <v>35037</v>
      </c>
    </row>
    <row r="56" spans="1:6">
      <c r="A56" t="s">
        <v>8</v>
      </c>
      <c r="B56">
        <v>15645</v>
      </c>
      <c r="C56">
        <v>17833</v>
      </c>
      <c r="D56">
        <v>18392</v>
      </c>
      <c r="E56">
        <v>33527</v>
      </c>
    </row>
    <row r="57" spans="1:6">
      <c r="A57" t="s">
        <v>9</v>
      </c>
      <c r="B57">
        <v>15396</v>
      </c>
      <c r="C57">
        <v>20280</v>
      </c>
      <c r="D57">
        <v>18269</v>
      </c>
      <c r="E57">
        <v>25755</v>
      </c>
    </row>
    <row r="58" spans="1:6">
      <c r="A58" t="s">
        <v>10</v>
      </c>
      <c r="B58">
        <v>15414</v>
      </c>
      <c r="C58">
        <v>18831</v>
      </c>
      <c r="D58">
        <v>17989</v>
      </c>
      <c r="E58">
        <v>24321</v>
      </c>
    </row>
    <row r="59" spans="1:6">
      <c r="A59" t="s">
        <v>11</v>
      </c>
      <c r="B59">
        <f>(SUM(B54:B58) -MAX(B54:B58))/((COUNT(B54:B58)-1)*1000)</f>
        <v>15.420249999999999</v>
      </c>
      <c r="C59">
        <f>(SUM(C54:C58) -MAX(C54:C58))/((COUNT(C54:C58)-1)*1000)</f>
        <v>17.976749999999999</v>
      </c>
      <c r="D59">
        <f t="shared" ref="D59" si="24">(SUM(D54:D58) -MAX(D54:D58))/((COUNT(D54:D58)-1)*1000)</f>
        <v>18.334499999999998</v>
      </c>
      <c r="E59">
        <f t="shared" ref="E59" si="25">(SUM(E54:E58) -MAX(E54:E58))/((COUNT(E54:E58)-1)*1000)</f>
        <v>29.2745</v>
      </c>
      <c r="F59" t="s">
        <v>15</v>
      </c>
    </row>
    <row r="60" spans="1:6">
      <c r="A60" t="s">
        <v>13</v>
      </c>
      <c r="B60">
        <f t="shared" ref="B60" si="26">STDEV(B54:B58)/1000</f>
        <v>0.46070131321712993</v>
      </c>
      <c r="C60">
        <f t="shared" ref="C60:E60" si="27">STDEV(C54:C58)/1000</f>
        <v>1.1522266704082196</v>
      </c>
      <c r="D60">
        <f t="shared" si="27"/>
        <v>1.5748627559250958</v>
      </c>
      <c r="E60">
        <f t="shared" si="27"/>
        <v>4.9846149299619933</v>
      </c>
    </row>
    <row r="61" spans="1:6">
      <c r="A61" t="s">
        <v>14</v>
      </c>
      <c r="B61">
        <f>CONFIDENCE(0.05,B60,5)/2</f>
        <v>0.20190754275402309</v>
      </c>
      <c r="C61">
        <f t="shared" ref="C61:E61" si="28">CONFIDENCE(0.05,C60,5)/2</f>
        <v>0.50497632423315397</v>
      </c>
      <c r="D61">
        <f t="shared" si="28"/>
        <v>0.69020135194145094</v>
      </c>
      <c r="E61">
        <f t="shared" si="28"/>
        <v>2.1845636711031227</v>
      </c>
    </row>
    <row r="63" spans="1:6">
      <c r="A63" t="s">
        <v>5</v>
      </c>
    </row>
    <row r="64" spans="1:6">
      <c r="A64" t="s">
        <v>6</v>
      </c>
      <c r="B64">
        <v>24349</v>
      </c>
      <c r="C64">
        <v>43961</v>
      </c>
      <c r="D64">
        <v>71088</v>
      </c>
      <c r="E64">
        <v>103133</v>
      </c>
    </row>
    <row r="65" spans="1:6">
      <c r="A65" t="s">
        <v>7</v>
      </c>
      <c r="B65">
        <v>23636</v>
      </c>
      <c r="C65">
        <v>52228</v>
      </c>
      <c r="D65">
        <v>80028</v>
      </c>
      <c r="E65">
        <v>127942</v>
      </c>
    </row>
    <row r="66" spans="1:6">
      <c r="A66" t="s">
        <v>8</v>
      </c>
      <c r="B66">
        <v>20482</v>
      </c>
      <c r="C66">
        <v>30714</v>
      </c>
      <c r="D66">
        <v>80373</v>
      </c>
      <c r="E66">
        <v>126939</v>
      </c>
    </row>
    <row r="67" spans="1:6">
      <c r="A67" t="s">
        <v>9</v>
      </c>
      <c r="B67">
        <v>20372</v>
      </c>
      <c r="C67">
        <v>28672</v>
      </c>
      <c r="D67">
        <v>85506</v>
      </c>
      <c r="E67">
        <v>135911</v>
      </c>
    </row>
    <row r="68" spans="1:6">
      <c r="A68" t="s">
        <v>10</v>
      </c>
      <c r="B68">
        <v>20436</v>
      </c>
      <c r="C68">
        <v>28936</v>
      </c>
      <c r="D68">
        <v>83774</v>
      </c>
      <c r="E68">
        <v>136802</v>
      </c>
    </row>
    <row r="69" spans="1:6">
      <c r="A69" t="s">
        <v>11</v>
      </c>
      <c r="B69">
        <f>(SUM(B64:B68) -MAX(B64:B68))/((COUNT(B64:B68)-1)*1000)</f>
        <v>21.2315</v>
      </c>
      <c r="C69">
        <f>(SUM(C64:C68) -MAX(C64:C68))/((COUNT(C64:C68)-1)*1000)</f>
        <v>33.070749999999997</v>
      </c>
      <c r="D69">
        <f t="shared" ref="D69" si="29">(SUM(D64:D68) -MAX(D64:D68))/((COUNT(D64:D68)-1)*1000)</f>
        <v>78.815749999999994</v>
      </c>
      <c r="E69">
        <f t="shared" ref="E69" si="30">(SUM(E64:E68) -MAX(E64:E68))/((COUNT(E64:E68)-1)*1000)</f>
        <v>123.48125</v>
      </c>
      <c r="F69" t="s">
        <v>15</v>
      </c>
    </row>
    <row r="70" spans="1:6">
      <c r="A70" t="s">
        <v>13</v>
      </c>
      <c r="B70">
        <f t="shared" ref="B70" si="31">STDEV(B64:B68)/1000</f>
        <v>1.9678653409214766</v>
      </c>
      <c r="C70">
        <f t="shared" ref="C70:E70" si="32">STDEV(C64:C68)/1000</f>
        <v>10.655950882018931</v>
      </c>
      <c r="D70">
        <f t="shared" si="32"/>
        <v>5.5678653180550093</v>
      </c>
      <c r="E70">
        <f t="shared" si="32"/>
        <v>13.623125496742635</v>
      </c>
    </row>
    <row r="71" spans="1:6">
      <c r="A71" t="s">
        <v>14</v>
      </c>
      <c r="B71">
        <f>CONFIDENCE(0.05,B70,5)/2</f>
        <v>0.8624391640685467</v>
      </c>
      <c r="C71">
        <f t="shared" ref="C71:E71" si="33">CONFIDENCE(0.05,C70,5)/2</f>
        <v>4.6700905696832491</v>
      </c>
      <c r="D71">
        <f t="shared" si="33"/>
        <v>2.4401797270849066</v>
      </c>
      <c r="E71">
        <f t="shared" si="33"/>
        <v>5.9704882854992292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H25"/>
  <sheetViews>
    <sheetView topLeftCell="A10" workbookViewId="0">
      <selection activeCell="F16" sqref="F16"/>
    </sheetView>
  </sheetViews>
  <sheetFormatPr defaultRowHeight="15"/>
  <cols>
    <col min="1" max="1" width="31.140625" customWidth="1"/>
    <col min="2" max="7" width="12.7109375" customWidth="1"/>
    <col min="8" max="8" width="10.7109375" customWidth="1"/>
  </cols>
  <sheetData>
    <row r="1" spans="1:8">
      <c r="A1" t="s">
        <v>16</v>
      </c>
      <c r="B1" t="s">
        <v>20</v>
      </c>
    </row>
    <row r="2" spans="1:8">
      <c r="A2" t="s">
        <v>12</v>
      </c>
      <c r="B2">
        <v>5</v>
      </c>
      <c r="C2">
        <v>10</v>
      </c>
      <c r="D2">
        <v>15</v>
      </c>
      <c r="E2">
        <v>20</v>
      </c>
      <c r="F2">
        <v>25</v>
      </c>
      <c r="G2">
        <v>30</v>
      </c>
    </row>
    <row r="3" spans="1:8">
      <c r="A3" t="s">
        <v>41</v>
      </c>
    </row>
    <row r="4" spans="1:8">
      <c r="A4" t="s">
        <v>6</v>
      </c>
      <c r="B4">
        <v>3136</v>
      </c>
      <c r="C4">
        <v>7832</v>
      </c>
      <c r="D4">
        <v>17737</v>
      </c>
      <c r="E4">
        <v>26677</v>
      </c>
      <c r="F4">
        <v>24556</v>
      </c>
      <c r="G4">
        <v>45724</v>
      </c>
    </row>
    <row r="5" spans="1:8">
      <c r="A5" t="s">
        <v>7</v>
      </c>
      <c r="B5">
        <v>2153</v>
      </c>
      <c r="C5">
        <v>5834</v>
      </c>
      <c r="D5">
        <v>15475</v>
      </c>
      <c r="E5">
        <v>23778</v>
      </c>
      <c r="F5">
        <v>19813</v>
      </c>
      <c r="G5">
        <v>41232</v>
      </c>
    </row>
    <row r="6" spans="1:8">
      <c r="A6" t="s">
        <v>8</v>
      </c>
      <c r="B6">
        <v>2122</v>
      </c>
      <c r="C6">
        <v>5834</v>
      </c>
      <c r="D6">
        <v>15491</v>
      </c>
      <c r="E6">
        <v>23872</v>
      </c>
      <c r="F6">
        <v>19829</v>
      </c>
      <c r="G6">
        <v>40342</v>
      </c>
    </row>
    <row r="7" spans="1:8">
      <c r="A7" t="s">
        <v>9</v>
      </c>
      <c r="B7">
        <v>2122</v>
      </c>
      <c r="C7">
        <v>5834</v>
      </c>
      <c r="D7">
        <v>15569</v>
      </c>
      <c r="E7">
        <v>23965</v>
      </c>
      <c r="F7">
        <v>19812</v>
      </c>
      <c r="G7">
        <v>40389</v>
      </c>
    </row>
    <row r="8" spans="1:8">
      <c r="A8" t="s">
        <v>10</v>
      </c>
      <c r="B8">
        <v>2137</v>
      </c>
      <c r="C8">
        <v>5866</v>
      </c>
      <c r="D8">
        <v>15600</v>
      </c>
      <c r="E8">
        <v>23793</v>
      </c>
      <c r="F8">
        <v>19891</v>
      </c>
      <c r="G8">
        <v>40576</v>
      </c>
    </row>
    <row r="9" spans="1:8">
      <c r="A9" t="s">
        <v>11</v>
      </c>
      <c r="B9">
        <f t="shared" ref="B9:G9" si="0">(SUM(B4:B8) -MAX(B4:B8) -MIN(B4:B8))/((COUNT(B4:B8)-2)*1000)</f>
        <v>2.1373333333333333</v>
      </c>
      <c r="C9">
        <f t="shared" si="0"/>
        <v>5.8446666666666669</v>
      </c>
      <c r="D9">
        <f t="shared" si="0"/>
        <v>15.553333333333333</v>
      </c>
      <c r="E9">
        <f t="shared" si="0"/>
        <v>23.876666666666665</v>
      </c>
      <c r="F9">
        <f t="shared" si="0"/>
        <v>19.844333333333335</v>
      </c>
      <c r="G9">
        <f t="shared" si="0"/>
        <v>40.732333333333337</v>
      </c>
      <c r="H9" t="s">
        <v>15</v>
      </c>
    </row>
    <row r="10" spans="1:8">
      <c r="A10" t="s">
        <v>13</v>
      </c>
      <c r="B10">
        <f t="shared" ref="B10:G10" si="1">STDEV(B4:B8)/1000</f>
        <v>0.44851477121718075</v>
      </c>
      <c r="C10">
        <f t="shared" si="1"/>
        <v>0.89006291912426061</v>
      </c>
      <c r="D10">
        <f t="shared" si="1"/>
        <v>0.98670654198703467</v>
      </c>
      <c r="E10">
        <f t="shared" si="1"/>
        <v>1.2655656837951952</v>
      </c>
      <c r="F10">
        <f t="shared" si="1"/>
        <v>2.1109838227708067</v>
      </c>
      <c r="G10">
        <f t="shared" si="1"/>
        <v>2.3036181975319154</v>
      </c>
    </row>
    <row r="11" spans="1:8">
      <c r="A11" t="s">
        <v>14</v>
      </c>
      <c r="B11">
        <f>CONFIDENCE(0.05,B10,5)/2</f>
        <v>0.19656665337670376</v>
      </c>
      <c r="C11">
        <f t="shared" ref="C11:G11" si="2">CONFIDENCE(0.05,C10,5)/2</f>
        <v>0.39008010557190265</v>
      </c>
      <c r="D11">
        <f t="shared" si="2"/>
        <v>0.43243526249300451</v>
      </c>
      <c r="E11">
        <f t="shared" si="2"/>
        <v>0.55464842421335159</v>
      </c>
      <c r="F11">
        <f t="shared" si="2"/>
        <v>0.92516245172556577</v>
      </c>
      <c r="G11">
        <f t="shared" si="2"/>
        <v>1.0095866375095599</v>
      </c>
    </row>
    <row r="12" spans="1:8">
      <c r="A12" t="s">
        <v>59</v>
      </c>
      <c r="B12">
        <v>76</v>
      </c>
      <c r="C12">
        <v>176</v>
      </c>
      <c r="D12">
        <v>408</v>
      </c>
      <c r="E12">
        <v>562</v>
      </c>
      <c r="F12">
        <v>518</v>
      </c>
      <c r="G12">
        <v>774</v>
      </c>
      <c r="H12" t="s">
        <v>43</v>
      </c>
    </row>
    <row r="13" spans="1:8">
      <c r="A13" t="s">
        <v>36</v>
      </c>
    </row>
    <row r="14" spans="1:8">
      <c r="A14" s="1" t="s">
        <v>31</v>
      </c>
    </row>
    <row r="15" spans="1:8">
      <c r="A15" t="s">
        <v>42</v>
      </c>
    </row>
    <row r="16" spans="1:8">
      <c r="A16" t="s">
        <v>6</v>
      </c>
      <c r="B16">
        <v>8502</v>
      </c>
      <c r="C16">
        <v>45397</v>
      </c>
      <c r="D16">
        <v>102947</v>
      </c>
      <c r="E16">
        <v>224225</v>
      </c>
      <c r="F16">
        <v>710442</v>
      </c>
    </row>
    <row r="17" spans="1:8">
      <c r="A17" t="s">
        <v>7</v>
      </c>
      <c r="B17">
        <v>7301</v>
      </c>
      <c r="C17">
        <v>44601</v>
      </c>
      <c r="D17">
        <v>105365</v>
      </c>
      <c r="E17">
        <v>231775</v>
      </c>
      <c r="F17">
        <v>710442</v>
      </c>
    </row>
    <row r="18" spans="1:8">
      <c r="A18" t="s">
        <v>8</v>
      </c>
      <c r="B18">
        <v>7301</v>
      </c>
      <c r="C18">
        <v>44648</v>
      </c>
      <c r="D18">
        <v>105209</v>
      </c>
      <c r="E18">
        <v>229559</v>
      </c>
      <c r="F18">
        <v>468760</v>
      </c>
    </row>
    <row r="19" spans="1:8">
      <c r="A19" t="s">
        <v>9</v>
      </c>
      <c r="B19">
        <v>7316</v>
      </c>
      <c r="C19">
        <v>44601</v>
      </c>
      <c r="D19">
        <v>105240</v>
      </c>
      <c r="E19">
        <v>225083</v>
      </c>
      <c r="F19">
        <v>473472</v>
      </c>
    </row>
    <row r="20" spans="1:8">
      <c r="A20" t="s">
        <v>10</v>
      </c>
      <c r="B20">
        <v>7363</v>
      </c>
      <c r="C20">
        <v>44555</v>
      </c>
      <c r="D20">
        <v>105099</v>
      </c>
      <c r="E20">
        <v>207392</v>
      </c>
      <c r="F20">
        <v>463691</v>
      </c>
    </row>
    <row r="21" spans="1:8">
      <c r="A21" t="s">
        <v>11</v>
      </c>
      <c r="B21">
        <f t="shared" ref="B21:F21" si="3">(SUM(B16:B20) -MAX(B16:B20) -MIN(B16:B20))/((COUNT(B16:B20)-2)*1000)</f>
        <v>7.3266666666666671</v>
      </c>
      <c r="C21">
        <f t="shared" si="3"/>
        <v>44.616666666666667</v>
      </c>
      <c r="D21">
        <f t="shared" si="3"/>
        <v>105.18266666666666</v>
      </c>
      <c r="E21">
        <f t="shared" si="3"/>
        <v>226.28899999999999</v>
      </c>
      <c r="F21">
        <f t="shared" si="3"/>
        <v>550.89133333333336</v>
      </c>
      <c r="H21" t="s">
        <v>15</v>
      </c>
    </row>
    <row r="22" spans="1:8">
      <c r="A22" t="s">
        <v>13</v>
      </c>
      <c r="B22">
        <f t="shared" ref="B22:G22" si="4">STDEV(B16:B20)/1000</f>
        <v>0.52910613302058507</v>
      </c>
      <c r="C22">
        <f t="shared" si="4"/>
        <v>0.35738606576109083</v>
      </c>
      <c r="D22">
        <f t="shared" si="4"/>
        <v>1.0245969939444484</v>
      </c>
      <c r="E22">
        <f t="shared" si="4"/>
        <v>9.5868301956380222</v>
      </c>
      <c r="F22">
        <f t="shared" si="4"/>
        <v>132.48502136392625</v>
      </c>
      <c r="G22" t="e">
        <f t="shared" si="4"/>
        <v>#DIV/0!</v>
      </c>
    </row>
    <row r="23" spans="1:8">
      <c r="A23" t="s">
        <v>14</v>
      </c>
      <c r="B23">
        <f>CONFIDENCE(0.05,B22,5)/2</f>
        <v>0.23188672597492693</v>
      </c>
      <c r="C23">
        <f t="shared" ref="C23:F23" si="5">CONFIDENCE(0.05,C22,5)/2</f>
        <v>0.15662847116379028</v>
      </c>
      <c r="D23">
        <f t="shared" si="5"/>
        <v>0.4490411800996581</v>
      </c>
      <c r="E23">
        <f t="shared" si="5"/>
        <v>4.2015363795784619</v>
      </c>
      <c r="F23">
        <f t="shared" si="5"/>
        <v>58.063053757125658</v>
      </c>
      <c r="G23" t="e">
        <f t="shared" ref="B23:G23" si="6">CONFIDENCE(0.05,G22,5)</f>
        <v>#DIV/0!</v>
      </c>
    </row>
    <row r="24" spans="1:8">
      <c r="A24" t="s">
        <v>60</v>
      </c>
      <c r="B24">
        <v>160</v>
      </c>
      <c r="C24">
        <v>620</v>
      </c>
      <c r="D24">
        <v>1380</v>
      </c>
      <c r="E24">
        <v>2440</v>
      </c>
      <c r="F24">
        <v>3800</v>
      </c>
      <c r="H24" t="s">
        <v>43</v>
      </c>
    </row>
    <row r="25" spans="1:8">
      <c r="A25" t="s">
        <v>36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:I139"/>
  <sheetViews>
    <sheetView topLeftCell="A34" workbookViewId="0">
      <selection activeCell="B136" sqref="B136"/>
    </sheetView>
  </sheetViews>
  <sheetFormatPr defaultRowHeight="15"/>
  <cols>
    <col min="1" max="1" width="25.28515625" customWidth="1"/>
    <col min="2" max="8" width="12.7109375" customWidth="1"/>
    <col min="9" max="9" width="10.7109375" customWidth="1"/>
  </cols>
  <sheetData>
    <row r="1" spans="1:9">
      <c r="A1" t="s">
        <v>16</v>
      </c>
      <c r="B1" t="s">
        <v>20</v>
      </c>
    </row>
    <row r="2" spans="1:9">
      <c r="A2" t="s">
        <v>12</v>
      </c>
      <c r="B2">
        <v>2</v>
      </c>
      <c r="C2">
        <v>4</v>
      </c>
      <c r="D2">
        <v>6</v>
      </c>
      <c r="E2">
        <v>8</v>
      </c>
      <c r="F2">
        <v>10</v>
      </c>
      <c r="G2">
        <v>12</v>
      </c>
      <c r="H2">
        <v>14</v>
      </c>
    </row>
    <row r="3" spans="1:9">
      <c r="A3" t="s">
        <v>61</v>
      </c>
    </row>
    <row r="4" spans="1:9">
      <c r="A4" t="s">
        <v>6</v>
      </c>
      <c r="B4">
        <v>187</v>
      </c>
      <c r="C4">
        <v>546</v>
      </c>
      <c r="D4">
        <v>967</v>
      </c>
      <c r="E4">
        <v>1342</v>
      </c>
      <c r="F4">
        <v>2090</v>
      </c>
      <c r="G4">
        <v>2511</v>
      </c>
      <c r="H4">
        <v>4103</v>
      </c>
    </row>
    <row r="5" spans="1:9">
      <c r="A5" t="s">
        <v>7</v>
      </c>
      <c r="B5">
        <v>78</v>
      </c>
      <c r="C5">
        <v>203</v>
      </c>
      <c r="D5">
        <v>374</v>
      </c>
      <c r="E5">
        <v>531</v>
      </c>
      <c r="F5">
        <v>827</v>
      </c>
      <c r="G5">
        <v>1077</v>
      </c>
      <c r="H5">
        <v>1560</v>
      </c>
    </row>
    <row r="6" spans="1:9">
      <c r="A6" t="s">
        <v>8</v>
      </c>
      <c r="B6">
        <v>78</v>
      </c>
      <c r="C6">
        <v>203</v>
      </c>
      <c r="D6">
        <v>359</v>
      </c>
      <c r="E6">
        <v>530</v>
      </c>
      <c r="F6">
        <v>811</v>
      </c>
      <c r="G6">
        <v>1061</v>
      </c>
      <c r="H6">
        <v>1466</v>
      </c>
    </row>
    <row r="7" spans="1:9">
      <c r="A7" t="s">
        <v>9</v>
      </c>
      <c r="B7">
        <v>78</v>
      </c>
      <c r="C7">
        <v>203</v>
      </c>
      <c r="D7">
        <v>374</v>
      </c>
      <c r="E7">
        <v>531</v>
      </c>
      <c r="F7">
        <v>811</v>
      </c>
      <c r="G7">
        <v>1061</v>
      </c>
      <c r="H7">
        <v>1514</v>
      </c>
    </row>
    <row r="8" spans="1:9">
      <c r="A8" t="s">
        <v>10</v>
      </c>
      <c r="B8">
        <v>93</v>
      </c>
      <c r="C8">
        <v>203</v>
      </c>
      <c r="D8">
        <v>375</v>
      </c>
      <c r="E8">
        <v>515</v>
      </c>
      <c r="F8">
        <v>827</v>
      </c>
      <c r="G8">
        <v>1046</v>
      </c>
      <c r="H8">
        <v>1498</v>
      </c>
    </row>
    <row r="9" spans="1:9">
      <c r="A9" t="s">
        <v>11</v>
      </c>
      <c r="B9">
        <f t="shared" ref="B9:H9" si="0">(SUM(B4:B8) -MAX(B4:B8) -MIN(B4:B8))/((COUNT(B4:B8)-2)*1000)</f>
        <v>8.3000000000000004E-2</v>
      </c>
      <c r="C9">
        <f t="shared" si="0"/>
        <v>0.20300000000000001</v>
      </c>
      <c r="D9">
        <f t="shared" si="0"/>
        <v>0.37433333333333335</v>
      </c>
      <c r="E9">
        <f t="shared" si="0"/>
        <v>0.53066666666666662</v>
      </c>
      <c r="F9">
        <f t="shared" si="0"/>
        <v>0.82166666666666666</v>
      </c>
      <c r="G9">
        <f t="shared" ref="G9" si="1">(SUM(G4:G8) -MAX(G4:G8) -MIN(G4:G8))/((COUNT(G4:G8)-2)*1000)</f>
        <v>1.0663333333333334</v>
      </c>
      <c r="H9">
        <f t="shared" si="0"/>
        <v>1.524</v>
      </c>
      <c r="I9" t="s">
        <v>15</v>
      </c>
    </row>
    <row r="10" spans="1:9">
      <c r="A10" t="s">
        <v>13</v>
      </c>
      <c r="B10">
        <f t="shared" ref="B10:H10" si="2">STDEV(B4:B8)/1000</f>
        <v>4.751526070642989E-2</v>
      </c>
      <c r="C10">
        <f t="shared" si="2"/>
        <v>0.15339426325648559</v>
      </c>
      <c r="D10">
        <f t="shared" si="2"/>
        <v>0.26684583564297948</v>
      </c>
      <c r="E10">
        <f t="shared" si="2"/>
        <v>0.36465421977539209</v>
      </c>
      <c r="F10">
        <f t="shared" si="2"/>
        <v>0.56846477463427758</v>
      </c>
      <c r="G10">
        <f t="shared" ref="G10" si="3">STDEV(G4:G8)/1000</f>
        <v>0.64844059095648854</v>
      </c>
      <c r="H10">
        <f t="shared" si="2"/>
        <v>1.1603435698102524</v>
      </c>
    </row>
    <row r="11" spans="1:9">
      <c r="A11" t="s">
        <v>14</v>
      </c>
      <c r="B11">
        <f>CONFIDENCE(0.05,B10,5)/2</f>
        <v>2.082409851527927E-2</v>
      </c>
      <c r="C11">
        <f t="shared" ref="C11:H11" si="4">CONFIDENCE(0.05,C10,5)/2</f>
        <v>6.7226764669723868E-2</v>
      </c>
      <c r="D11">
        <f t="shared" si="4"/>
        <v>0.11694819490003264</v>
      </c>
      <c r="E11">
        <f t="shared" si="4"/>
        <v>0.15981382157474891</v>
      </c>
      <c r="F11">
        <f t="shared" si="4"/>
        <v>0.24913609424536542</v>
      </c>
      <c r="G11">
        <f t="shared" si="4"/>
        <v>0.28418639709908061</v>
      </c>
      <c r="H11">
        <f t="shared" si="4"/>
        <v>0.5085336468758912</v>
      </c>
    </row>
    <row r="13" spans="1:9">
      <c r="A13" t="s">
        <v>44</v>
      </c>
    </row>
    <row r="14" spans="1:9">
      <c r="A14" t="s">
        <v>6</v>
      </c>
      <c r="B14">
        <v>1701</v>
      </c>
      <c r="C14">
        <v>7394</v>
      </c>
      <c r="D14">
        <v>16786</v>
      </c>
      <c r="E14">
        <v>32651</v>
      </c>
      <c r="F14">
        <v>66318</v>
      </c>
      <c r="G14">
        <v>98578</v>
      </c>
      <c r="H14">
        <v>124646</v>
      </c>
    </row>
    <row r="15" spans="1:9">
      <c r="A15" t="s">
        <v>7</v>
      </c>
      <c r="B15">
        <v>141</v>
      </c>
      <c r="C15">
        <v>1653</v>
      </c>
      <c r="D15">
        <v>6163</v>
      </c>
      <c r="E15">
        <v>17145</v>
      </c>
      <c r="F15">
        <v>44758</v>
      </c>
      <c r="G15">
        <v>69905</v>
      </c>
      <c r="H15">
        <v>92899</v>
      </c>
    </row>
    <row r="16" spans="1:9">
      <c r="A16" t="s">
        <v>8</v>
      </c>
      <c r="B16">
        <v>140</v>
      </c>
      <c r="C16">
        <v>1638</v>
      </c>
      <c r="D16">
        <v>6162</v>
      </c>
      <c r="E16">
        <v>17113</v>
      </c>
      <c r="F16">
        <v>45491</v>
      </c>
      <c r="G16">
        <v>69015</v>
      </c>
      <c r="H16">
        <v>91371</v>
      </c>
    </row>
    <row r="17" spans="1:9">
      <c r="A17" t="s">
        <v>9</v>
      </c>
      <c r="B17">
        <v>140</v>
      </c>
      <c r="C17">
        <v>1622</v>
      </c>
      <c r="D17">
        <v>6146</v>
      </c>
      <c r="E17">
        <v>17160</v>
      </c>
      <c r="F17">
        <v>44836</v>
      </c>
      <c r="G17">
        <v>68937</v>
      </c>
      <c r="H17">
        <v>91558</v>
      </c>
    </row>
    <row r="18" spans="1:9">
      <c r="A18" t="s">
        <v>10</v>
      </c>
      <c r="B18">
        <v>140</v>
      </c>
      <c r="C18">
        <v>1622</v>
      </c>
      <c r="D18">
        <v>6194</v>
      </c>
      <c r="E18">
        <v>17129</v>
      </c>
      <c r="F18">
        <v>44664</v>
      </c>
      <c r="G18">
        <v>68906</v>
      </c>
      <c r="H18">
        <v>90996</v>
      </c>
    </row>
    <row r="19" spans="1:9">
      <c r="A19" t="s">
        <v>11</v>
      </c>
      <c r="B19">
        <f t="shared" ref="B19:H19" si="5">(SUM(B14:B18) -MAX(B14:B18) -MIN(B14:B18))/((COUNT(B14:B18)-2)*1000)</f>
        <v>0.14033333333333334</v>
      </c>
      <c r="C19">
        <f t="shared" si="5"/>
        <v>1.6376666666666666</v>
      </c>
      <c r="D19">
        <f t="shared" si="5"/>
        <v>6.173</v>
      </c>
      <c r="E19">
        <f t="shared" si="5"/>
        <v>17.144666666666666</v>
      </c>
      <c r="F19">
        <f t="shared" si="5"/>
        <v>45.028333333333336</v>
      </c>
      <c r="G19">
        <f t="shared" ref="G19" si="6">(SUM(G14:G18) -MAX(G14:G18) -MIN(G14:G18))/((COUNT(G14:G18)-2)*1000)</f>
        <v>69.285666666666671</v>
      </c>
      <c r="H19">
        <f t="shared" si="5"/>
        <v>91.942666666666668</v>
      </c>
      <c r="I19" t="s">
        <v>15</v>
      </c>
    </row>
    <row r="20" spans="1:9">
      <c r="A20" t="s">
        <v>13</v>
      </c>
      <c r="B20">
        <f t="shared" ref="B20:H20" si="7">STDEV(B14:B18)/1000</f>
        <v>0.69798875349105727</v>
      </c>
      <c r="C20">
        <f t="shared" si="7"/>
        <v>2.5760943693894442</v>
      </c>
      <c r="D20">
        <f t="shared" si="7"/>
        <v>4.7493283946259179</v>
      </c>
      <c r="E20">
        <f t="shared" si="7"/>
        <v>6.9382057334731737</v>
      </c>
      <c r="F20">
        <f t="shared" si="7"/>
        <v>9.5672992949943936</v>
      </c>
      <c r="G20">
        <f t="shared" ref="G20" si="8">STDEV(G14:G18)/1000</f>
        <v>13.148905684504692</v>
      </c>
      <c r="H20">
        <f t="shared" si="7"/>
        <v>14.748697891678438</v>
      </c>
    </row>
    <row r="21" spans="1:9">
      <c r="A21" t="s">
        <v>14</v>
      </c>
      <c r="B21">
        <f>CONFIDENCE(0.05,B20,5)/2</f>
        <v>0.3059014377519314</v>
      </c>
      <c r="C21">
        <f t="shared" ref="C21:H21" si="9">CONFIDENCE(0.05,C20,5)/2</f>
        <v>1.1290023907111313</v>
      </c>
      <c r="D21">
        <f t="shared" si="9"/>
        <v>2.081446695245003</v>
      </c>
      <c r="E21">
        <f t="shared" si="9"/>
        <v>3.0407468582734554</v>
      </c>
      <c r="F21">
        <f t="shared" si="9"/>
        <v>4.1929767422525108</v>
      </c>
      <c r="G21">
        <f t="shared" si="9"/>
        <v>5.762656108191953</v>
      </c>
      <c r="H21">
        <f t="shared" si="9"/>
        <v>6.4637830731052279</v>
      </c>
    </row>
    <row r="23" spans="1:9">
      <c r="A23" t="s">
        <v>52</v>
      </c>
    </row>
    <row r="24" spans="1:9">
      <c r="A24" t="s">
        <v>11</v>
      </c>
      <c r="B24">
        <f t="shared" ref="B24:H24" si="10">SUM(B9,B19)</f>
        <v>0.22333333333333333</v>
      </c>
      <c r="C24">
        <f t="shared" si="10"/>
        <v>1.8406666666666667</v>
      </c>
      <c r="D24">
        <f t="shared" si="10"/>
        <v>6.5473333333333334</v>
      </c>
      <c r="E24">
        <f t="shared" si="10"/>
        <v>17.675333333333331</v>
      </c>
      <c r="F24">
        <f t="shared" si="10"/>
        <v>45.85</v>
      </c>
      <c r="G24">
        <f t="shared" ref="G24" si="11">SUM(G9,G19)</f>
        <v>70.352000000000004</v>
      </c>
      <c r="H24">
        <f t="shared" si="10"/>
        <v>93.466666666666669</v>
      </c>
    </row>
    <row r="26" spans="1:9">
      <c r="A26" t="s">
        <v>68</v>
      </c>
    </row>
    <row r="27" spans="1:9">
      <c r="A27" t="s">
        <v>6</v>
      </c>
      <c r="B27">
        <v>125</v>
      </c>
      <c r="C27">
        <v>468</v>
      </c>
      <c r="D27">
        <v>1170</v>
      </c>
      <c r="E27">
        <v>1997</v>
      </c>
      <c r="F27">
        <v>3760</v>
      </c>
      <c r="G27">
        <v>5413</v>
      </c>
      <c r="H27">
        <v>8408</v>
      </c>
    </row>
    <row r="28" spans="1:9">
      <c r="A28" t="s">
        <v>7</v>
      </c>
      <c r="B28">
        <v>125</v>
      </c>
      <c r="C28">
        <v>484</v>
      </c>
      <c r="D28">
        <v>1201</v>
      </c>
      <c r="E28">
        <v>2028</v>
      </c>
      <c r="F28">
        <v>3760</v>
      </c>
      <c r="G28">
        <v>5398</v>
      </c>
      <c r="H28">
        <v>8378</v>
      </c>
    </row>
    <row r="29" spans="1:9">
      <c r="A29" t="s">
        <v>8</v>
      </c>
      <c r="B29">
        <v>125</v>
      </c>
      <c r="C29">
        <v>484</v>
      </c>
      <c r="D29">
        <v>1201</v>
      </c>
      <c r="E29">
        <v>2028</v>
      </c>
      <c r="F29">
        <v>3775</v>
      </c>
      <c r="G29">
        <v>5382</v>
      </c>
      <c r="H29">
        <v>8408</v>
      </c>
    </row>
    <row r="30" spans="1:9">
      <c r="A30" t="s">
        <v>9</v>
      </c>
      <c r="B30">
        <v>125</v>
      </c>
      <c r="C30">
        <v>483</v>
      </c>
      <c r="D30">
        <v>1201</v>
      </c>
      <c r="E30">
        <v>2028</v>
      </c>
      <c r="F30">
        <v>3744</v>
      </c>
      <c r="G30">
        <v>5382</v>
      </c>
      <c r="H30">
        <v>8409</v>
      </c>
    </row>
    <row r="31" spans="1:9">
      <c r="A31" t="s">
        <v>10</v>
      </c>
      <c r="B31">
        <v>125</v>
      </c>
      <c r="C31">
        <v>468</v>
      </c>
      <c r="D31">
        <v>1202</v>
      </c>
      <c r="E31">
        <v>2044</v>
      </c>
      <c r="F31">
        <v>3744</v>
      </c>
      <c r="G31">
        <v>5397</v>
      </c>
      <c r="H31">
        <v>8409</v>
      </c>
    </row>
    <row r="32" spans="1:9">
      <c r="A32" t="s">
        <v>11</v>
      </c>
      <c r="B32">
        <f t="shared" ref="B32:H32" si="12">(SUM(B27:B31) -MAX(B27:B31) -MIN(B27:B31))/((COUNT(B27:B31)-2)*1000)</f>
        <v>0.125</v>
      </c>
      <c r="C32">
        <f t="shared" si="12"/>
        <v>0.47833333333333333</v>
      </c>
      <c r="D32">
        <f t="shared" si="12"/>
        <v>1.2010000000000001</v>
      </c>
      <c r="E32">
        <f t="shared" si="12"/>
        <v>2.028</v>
      </c>
      <c r="F32">
        <f t="shared" si="12"/>
        <v>3.7546666666666666</v>
      </c>
      <c r="G32">
        <f t="shared" si="12"/>
        <v>5.3923333333333332</v>
      </c>
      <c r="H32">
        <f t="shared" si="12"/>
        <v>8.4083333333333332</v>
      </c>
      <c r="I32" t="s">
        <v>15</v>
      </c>
    </row>
    <row r="33" spans="1:9">
      <c r="A33" t="s">
        <v>13</v>
      </c>
      <c r="B33">
        <f t="shared" ref="B33:H33" si="13">STDEV(B27:B31)/1000</f>
        <v>0</v>
      </c>
      <c r="C33">
        <f t="shared" si="13"/>
        <v>8.5906926379651343E-3</v>
      </c>
      <c r="D33">
        <f t="shared" si="13"/>
        <v>1.3982131454109563E-2</v>
      </c>
      <c r="E33">
        <f t="shared" si="13"/>
        <v>1.711724276862369E-2</v>
      </c>
      <c r="F33">
        <f t="shared" si="13"/>
        <v>1.3030732903438128E-2</v>
      </c>
      <c r="G33">
        <f t="shared" si="13"/>
        <v>1.2973048986148931E-2</v>
      </c>
      <c r="H33">
        <f t="shared" si="13"/>
        <v>1.3649175799183618E-2</v>
      </c>
    </row>
    <row r="34" spans="1:9">
      <c r="A34" t="s">
        <v>14</v>
      </c>
      <c r="B34" t="e">
        <f>CONFIDENCE(0.05,B33,5)/2</f>
        <v>#NUM!</v>
      </c>
      <c r="C34">
        <f t="shared" ref="C34:H34" si="14">CONFIDENCE(0.05,C33,5)/2</f>
        <v>3.7649678681708669E-3</v>
      </c>
      <c r="D34">
        <f t="shared" si="14"/>
        <v>6.1278266924159226E-3</v>
      </c>
      <c r="E34">
        <f t="shared" si="14"/>
        <v>7.5018245596100777E-3</v>
      </c>
      <c r="F34">
        <f t="shared" si="14"/>
        <v>5.7108655550482208E-3</v>
      </c>
      <c r="G34">
        <f t="shared" si="14"/>
        <v>5.685584928181853E-3</v>
      </c>
      <c r="H34">
        <f t="shared" si="14"/>
        <v>5.9819051241384088E-3</v>
      </c>
    </row>
    <row r="36" spans="1:9">
      <c r="A36" t="s">
        <v>46</v>
      </c>
    </row>
    <row r="37" spans="1:9">
      <c r="A37" t="s">
        <v>6</v>
      </c>
      <c r="B37">
        <v>203</v>
      </c>
      <c r="C37">
        <v>2246</v>
      </c>
      <c r="D37">
        <v>8782</v>
      </c>
      <c r="E37">
        <v>23806</v>
      </c>
      <c r="F37">
        <v>61980</v>
      </c>
      <c r="G37">
        <v>98001</v>
      </c>
      <c r="H37">
        <v>129482</v>
      </c>
    </row>
    <row r="38" spans="1:9">
      <c r="A38" t="s">
        <v>7</v>
      </c>
      <c r="B38">
        <v>203</v>
      </c>
      <c r="C38">
        <v>2262</v>
      </c>
      <c r="D38">
        <v>8829</v>
      </c>
      <c r="E38">
        <v>23821</v>
      </c>
      <c r="F38">
        <v>60967</v>
      </c>
      <c r="G38">
        <v>97533</v>
      </c>
      <c r="H38">
        <v>129559</v>
      </c>
    </row>
    <row r="39" spans="1:9">
      <c r="A39" t="s">
        <v>8</v>
      </c>
      <c r="B39">
        <v>203</v>
      </c>
      <c r="C39">
        <v>2262</v>
      </c>
      <c r="D39">
        <v>8814</v>
      </c>
      <c r="E39">
        <v>23822</v>
      </c>
      <c r="F39">
        <v>60779</v>
      </c>
      <c r="G39">
        <v>98141</v>
      </c>
      <c r="H39">
        <v>129435</v>
      </c>
    </row>
    <row r="40" spans="1:9">
      <c r="A40" t="s">
        <v>9</v>
      </c>
      <c r="B40">
        <v>202</v>
      </c>
      <c r="C40">
        <v>2246</v>
      </c>
      <c r="D40">
        <v>8829</v>
      </c>
      <c r="E40">
        <v>23837</v>
      </c>
      <c r="F40">
        <v>60732</v>
      </c>
      <c r="G40">
        <v>97579</v>
      </c>
      <c r="H40">
        <v>129372</v>
      </c>
    </row>
    <row r="41" spans="1:9">
      <c r="A41" t="s">
        <v>10</v>
      </c>
      <c r="B41">
        <v>202</v>
      </c>
      <c r="C41">
        <v>2262</v>
      </c>
      <c r="D41">
        <v>8829</v>
      </c>
      <c r="E41">
        <v>23852</v>
      </c>
      <c r="F41">
        <v>60684</v>
      </c>
      <c r="G41">
        <v>97563</v>
      </c>
      <c r="H41">
        <v>129763</v>
      </c>
    </row>
    <row r="42" spans="1:9">
      <c r="A42" t="s">
        <v>11</v>
      </c>
      <c r="B42">
        <f t="shared" ref="B42:H42" si="15">(SUM(B37:B41) -MAX(B37:B41) -MIN(B37:B41))/((COUNT(B37:B41)-2)*1000)</f>
        <v>0.20266666666666666</v>
      </c>
      <c r="C42">
        <f t="shared" si="15"/>
        <v>2.2566666666666668</v>
      </c>
      <c r="D42">
        <f t="shared" si="15"/>
        <v>8.8239999999999998</v>
      </c>
      <c r="E42">
        <f t="shared" si="15"/>
        <v>23.826666666666668</v>
      </c>
      <c r="F42">
        <f t="shared" si="15"/>
        <v>60.826000000000001</v>
      </c>
      <c r="G42">
        <f t="shared" si="15"/>
        <v>97.714333333333329</v>
      </c>
      <c r="H42">
        <f t="shared" si="15"/>
        <v>129.49199999999999</v>
      </c>
      <c r="I42" t="s">
        <v>15</v>
      </c>
    </row>
    <row r="43" spans="1:9">
      <c r="A43" t="s">
        <v>13</v>
      </c>
      <c r="B43">
        <f t="shared" ref="B43:H43" si="16">STDEV(B37:B41)/1000</f>
        <v>5.4772255750782295E-4</v>
      </c>
      <c r="C43">
        <f t="shared" si="16"/>
        <v>8.7635609200720308E-3</v>
      </c>
      <c r="D43">
        <f t="shared" si="16"/>
        <v>2.0403431083938304E-2</v>
      </c>
      <c r="E43">
        <f t="shared" si="16"/>
        <v>1.7501428511762011E-2</v>
      </c>
      <c r="F43">
        <f t="shared" si="16"/>
        <v>0.54267329029554312</v>
      </c>
      <c r="G43">
        <f t="shared" si="16"/>
        <v>0.2856060223441324</v>
      </c>
      <c r="H43">
        <f t="shared" si="16"/>
        <v>0.15092945372180655</v>
      </c>
    </row>
    <row r="44" spans="1:9">
      <c r="A44" t="s">
        <v>14</v>
      </c>
      <c r="B44">
        <f>CONFIDENCE(0.05,B43,5)/2</f>
        <v>2.4004558381892987E-4</v>
      </c>
      <c r="C44">
        <f t="shared" ref="C44:H44" si="17">CONFIDENCE(0.05,C43,5)/2</f>
        <v>3.8407293410795905E-3</v>
      </c>
      <c r="D44">
        <f t="shared" si="17"/>
        <v>8.9420336250863978E-3</v>
      </c>
      <c r="E44">
        <f t="shared" si="17"/>
        <v>7.6701982914245282E-3</v>
      </c>
      <c r="F44">
        <f t="shared" si="17"/>
        <v>0.2378326855564511</v>
      </c>
      <c r="G44">
        <f t="shared" si="17"/>
        <v>0.12517005815452542</v>
      </c>
      <c r="H44">
        <f t="shared" si="17"/>
        <v>6.6146534112036734E-2</v>
      </c>
    </row>
    <row r="46" spans="1:9">
      <c r="A46" t="s">
        <v>67</v>
      </c>
    </row>
    <row r="47" spans="1:9">
      <c r="A47" t="s">
        <v>11</v>
      </c>
      <c r="B47">
        <f t="shared" ref="B47:H47" si="18">SUM(B32,B42)</f>
        <v>0.32766666666666666</v>
      </c>
      <c r="C47">
        <f t="shared" si="18"/>
        <v>2.7350000000000003</v>
      </c>
      <c r="D47">
        <f t="shared" si="18"/>
        <v>10.025</v>
      </c>
      <c r="E47">
        <f t="shared" si="18"/>
        <v>25.854666666666667</v>
      </c>
      <c r="F47">
        <f t="shared" si="18"/>
        <v>64.580666666666673</v>
      </c>
      <c r="G47">
        <f t="shared" si="18"/>
        <v>103.10666666666665</v>
      </c>
      <c r="H47">
        <f t="shared" si="18"/>
        <v>137.90033333333332</v>
      </c>
    </row>
    <row r="49" spans="1:9">
      <c r="A49" t="s">
        <v>47</v>
      </c>
    </row>
    <row r="50" spans="1:9">
      <c r="A50" t="s">
        <v>6</v>
      </c>
      <c r="B50">
        <v>296</v>
      </c>
      <c r="C50">
        <v>1747</v>
      </c>
      <c r="D50">
        <v>5023</v>
      </c>
      <c r="E50">
        <v>8549</v>
      </c>
      <c r="F50">
        <v>16568</v>
      </c>
      <c r="G50">
        <v>25272</v>
      </c>
      <c r="H50">
        <v>39266</v>
      </c>
    </row>
    <row r="51" spans="1:9">
      <c r="A51" t="s">
        <v>7</v>
      </c>
      <c r="B51">
        <v>312</v>
      </c>
      <c r="C51">
        <v>1809</v>
      </c>
      <c r="D51">
        <v>5132</v>
      </c>
      <c r="E51">
        <v>8768</v>
      </c>
      <c r="F51">
        <v>16942</v>
      </c>
      <c r="G51">
        <v>25070</v>
      </c>
      <c r="H51">
        <v>40077</v>
      </c>
    </row>
    <row r="52" spans="1:9">
      <c r="A52" t="s">
        <v>8</v>
      </c>
      <c r="B52">
        <v>312</v>
      </c>
      <c r="C52">
        <v>1794</v>
      </c>
      <c r="D52">
        <v>5164</v>
      </c>
      <c r="E52">
        <v>8752</v>
      </c>
      <c r="F52">
        <v>16942</v>
      </c>
      <c r="G52">
        <v>25881</v>
      </c>
      <c r="H52">
        <v>40092</v>
      </c>
    </row>
    <row r="53" spans="1:9">
      <c r="A53" t="s">
        <v>9</v>
      </c>
      <c r="B53">
        <v>312</v>
      </c>
      <c r="C53">
        <v>1809</v>
      </c>
      <c r="D53">
        <v>5149</v>
      </c>
      <c r="E53">
        <v>8783</v>
      </c>
      <c r="F53">
        <v>17207</v>
      </c>
      <c r="G53">
        <v>24851</v>
      </c>
      <c r="H53">
        <v>40171</v>
      </c>
    </row>
    <row r="54" spans="1:9">
      <c r="A54" t="s">
        <v>10</v>
      </c>
      <c r="B54">
        <v>312</v>
      </c>
      <c r="C54">
        <v>1794</v>
      </c>
      <c r="D54">
        <v>5163</v>
      </c>
      <c r="E54">
        <v>8736</v>
      </c>
      <c r="F54">
        <v>16926</v>
      </c>
      <c r="G54">
        <v>24820</v>
      </c>
      <c r="H54">
        <v>40233</v>
      </c>
    </row>
    <row r="55" spans="1:9">
      <c r="A55" t="s">
        <v>11</v>
      </c>
      <c r="B55">
        <f t="shared" ref="B55:H55" si="19">(SUM(B50:B54) -MAX(B50:B54) -MIN(B50:B54))/((COUNT(B50:B54)-2)*1000)</f>
        <v>0.312</v>
      </c>
      <c r="C55">
        <f t="shared" si="19"/>
        <v>1.7989999999999999</v>
      </c>
      <c r="D55">
        <f t="shared" si="19"/>
        <v>5.1479999999999997</v>
      </c>
      <c r="E55">
        <f t="shared" si="19"/>
        <v>8.7520000000000007</v>
      </c>
      <c r="F55">
        <f t="shared" si="19"/>
        <v>16.936666666666667</v>
      </c>
      <c r="G55">
        <f t="shared" si="19"/>
        <v>25.064333333333334</v>
      </c>
      <c r="H55">
        <f t="shared" si="19"/>
        <v>40.113333333333337</v>
      </c>
      <c r="I55" t="s">
        <v>15</v>
      </c>
    </row>
    <row r="56" spans="1:9">
      <c r="A56" t="s">
        <v>13</v>
      </c>
      <c r="B56">
        <f t="shared" ref="B56:H56" si="20">STDEV(B50:B54)/1000</f>
        <v>7.1554175279991234E-3</v>
      </c>
      <c r="C56">
        <f t="shared" si="20"/>
        <v>2.5500980373307489E-2</v>
      </c>
      <c r="D56">
        <f t="shared" si="20"/>
        <v>5.9132901163390039E-2</v>
      </c>
      <c r="E56">
        <f t="shared" si="20"/>
        <v>9.5871267854331726E-2</v>
      </c>
      <c r="F56">
        <f t="shared" si="20"/>
        <v>0.22761370784730872</v>
      </c>
      <c r="G56">
        <f t="shared" si="20"/>
        <v>0.43295461655934298</v>
      </c>
      <c r="H56">
        <f t="shared" si="20"/>
        <v>0.39733323545866089</v>
      </c>
    </row>
    <row r="57" spans="1:9">
      <c r="A57" t="s">
        <v>14</v>
      </c>
      <c r="B57">
        <f>CONFIDENCE(0.05,B56,5)/2</f>
        <v>3.135942375263997E-3</v>
      </c>
      <c r="C57">
        <f t="shared" ref="C57:H57" si="21">CONFIDENCE(0.05,C56,5)/2</f>
        <v>1.117609205200251E-2</v>
      </c>
      <c r="D57">
        <f t="shared" si="21"/>
        <v>2.5915660379699265E-2</v>
      </c>
      <c r="E57">
        <f t="shared" si="21"/>
        <v>4.2016663633988399E-2</v>
      </c>
      <c r="F57">
        <f t="shared" si="21"/>
        <v>9.9754272736189406E-2</v>
      </c>
      <c r="G57">
        <f t="shared" si="21"/>
        <v>0.18974724023047748</v>
      </c>
      <c r="H57">
        <f t="shared" si="21"/>
        <v>0.17413576849986925</v>
      </c>
    </row>
    <row r="59" spans="1:9">
      <c r="A59" t="s">
        <v>48</v>
      </c>
    </row>
    <row r="60" spans="1:9">
      <c r="A60" t="s">
        <v>6</v>
      </c>
      <c r="B60">
        <v>484</v>
      </c>
      <c r="C60">
        <v>5211</v>
      </c>
      <c r="D60">
        <v>21481</v>
      </c>
      <c r="E60">
        <v>55802</v>
      </c>
      <c r="F60">
        <v>138686</v>
      </c>
      <c r="G60">
        <v>245313</v>
      </c>
      <c r="H60">
        <v>317011</v>
      </c>
    </row>
    <row r="61" spans="1:9">
      <c r="A61" t="s">
        <v>7</v>
      </c>
      <c r="B61">
        <v>515</v>
      </c>
      <c r="C61">
        <v>5257</v>
      </c>
      <c r="D61">
        <v>21653</v>
      </c>
      <c r="E61">
        <v>55646</v>
      </c>
      <c r="F61">
        <v>138998</v>
      </c>
      <c r="G61">
        <v>239993</v>
      </c>
      <c r="H61">
        <v>319632</v>
      </c>
    </row>
    <row r="62" spans="1:9">
      <c r="A62" t="s">
        <v>8</v>
      </c>
      <c r="B62">
        <v>499</v>
      </c>
      <c r="C62">
        <v>5273</v>
      </c>
      <c r="D62">
        <v>21559</v>
      </c>
      <c r="E62">
        <v>55631</v>
      </c>
      <c r="F62">
        <v>138951</v>
      </c>
      <c r="G62">
        <v>236796</v>
      </c>
      <c r="H62">
        <v>318962</v>
      </c>
    </row>
    <row r="63" spans="1:9">
      <c r="A63" t="s">
        <v>9</v>
      </c>
      <c r="B63">
        <v>500</v>
      </c>
      <c r="C63">
        <v>5241</v>
      </c>
      <c r="D63">
        <v>21637</v>
      </c>
      <c r="E63">
        <v>55631</v>
      </c>
      <c r="F63">
        <v>139013</v>
      </c>
      <c r="G63">
        <v>236109</v>
      </c>
      <c r="H63">
        <v>318509</v>
      </c>
    </row>
    <row r="64" spans="1:9">
      <c r="A64" t="s">
        <v>10</v>
      </c>
      <c r="B64">
        <v>515</v>
      </c>
      <c r="C64">
        <v>5289</v>
      </c>
      <c r="D64">
        <v>21591</v>
      </c>
      <c r="E64">
        <v>55817</v>
      </c>
      <c r="F64">
        <v>138857</v>
      </c>
      <c r="G64">
        <v>236375</v>
      </c>
      <c r="H64">
        <v>316809</v>
      </c>
    </row>
    <row r="65" spans="1:9">
      <c r="A65" t="s">
        <v>11</v>
      </c>
      <c r="B65">
        <f t="shared" ref="B65:H65" si="22">(SUM(B60:B64) -MAX(B60:B64) -MIN(B60:B64))/((COUNT(B60:B64)-2)*1000)</f>
        <v>0.50466666666666671</v>
      </c>
      <c r="C65">
        <f t="shared" si="22"/>
        <v>5.2569999999999997</v>
      </c>
      <c r="D65">
        <f t="shared" si="22"/>
        <v>21.595666666666666</v>
      </c>
      <c r="E65">
        <f t="shared" si="22"/>
        <v>55.692999999999998</v>
      </c>
      <c r="F65">
        <f t="shared" si="22"/>
        <v>138.93533333333335</v>
      </c>
      <c r="G65">
        <f t="shared" si="22"/>
        <v>237.72133333333332</v>
      </c>
      <c r="H65">
        <f t="shared" si="22"/>
        <v>318.16066666666666</v>
      </c>
      <c r="I65" t="s">
        <v>15</v>
      </c>
    </row>
    <row r="66" spans="1:9">
      <c r="A66" t="s">
        <v>13</v>
      </c>
      <c r="B66">
        <f t="shared" ref="B66:H66" si="23">STDEV(B60:B64)/1000</f>
        <v>1.2973048986263343E-2</v>
      </c>
      <c r="C66">
        <f t="shared" si="23"/>
        <v>3.0053286010068517E-2</v>
      </c>
      <c r="D66">
        <f t="shared" si="23"/>
        <v>6.8652749399042159E-2</v>
      </c>
      <c r="E66">
        <f t="shared" si="23"/>
        <v>9.5374524901520402E-2</v>
      </c>
      <c r="F66">
        <f t="shared" si="23"/>
        <v>0.13473492494524203</v>
      </c>
      <c r="G66">
        <f t="shared" si="23"/>
        <v>3.9023025510584066</v>
      </c>
      <c r="H66">
        <f t="shared" si="23"/>
        <v>1.2322910776285982</v>
      </c>
    </row>
    <row r="67" spans="1:9">
      <c r="A67" t="s">
        <v>14</v>
      </c>
      <c r="B67">
        <f>CONFIDENCE(0.05,B66,5)/2</f>
        <v>5.6855849282319952E-3</v>
      </c>
      <c r="C67">
        <f t="shared" ref="C67:H67" si="24">CONFIDENCE(0.05,C66,5)/2</f>
        <v>1.3171191303109946E-2</v>
      </c>
      <c r="D67">
        <f t="shared" si="24"/>
        <v>3.0087841160407906E-2</v>
      </c>
      <c r="E67">
        <f t="shared" si="24"/>
        <v>4.1798960436482548E-2</v>
      </c>
      <c r="F67">
        <f t="shared" si="24"/>
        <v>5.9049099358699286E-2</v>
      </c>
      <c r="G67">
        <f t="shared" si="24"/>
        <v>1.7102280730760948</v>
      </c>
      <c r="H67">
        <f t="shared" si="24"/>
        <v>0.54006545304643616</v>
      </c>
    </row>
    <row r="69" spans="1:9">
      <c r="A69" t="s">
        <v>66</v>
      </c>
    </row>
    <row r="70" spans="1:9">
      <c r="A70" t="s">
        <v>11</v>
      </c>
      <c r="B70">
        <f t="shared" ref="B70:H70" si="25">SUM(B55,B65)</f>
        <v>0.81666666666666665</v>
      </c>
      <c r="C70">
        <f t="shared" si="25"/>
        <v>7.0559999999999992</v>
      </c>
      <c r="D70">
        <f t="shared" si="25"/>
        <v>26.743666666666666</v>
      </c>
      <c r="E70">
        <f t="shared" si="25"/>
        <v>64.444999999999993</v>
      </c>
      <c r="F70">
        <f t="shared" si="25"/>
        <v>155.87200000000001</v>
      </c>
      <c r="G70">
        <f t="shared" si="25"/>
        <v>262.78566666666666</v>
      </c>
      <c r="H70">
        <f t="shared" si="25"/>
        <v>358.274</v>
      </c>
    </row>
    <row r="71" spans="1:9">
      <c r="A71" s="1" t="s">
        <v>31</v>
      </c>
    </row>
    <row r="72" spans="1:9">
      <c r="A72" t="s">
        <v>62</v>
      </c>
    </row>
    <row r="73" spans="1:9">
      <c r="A73" t="s">
        <v>6</v>
      </c>
      <c r="B73">
        <v>406</v>
      </c>
      <c r="C73">
        <v>2309</v>
      </c>
      <c r="D73">
        <v>7222</v>
      </c>
      <c r="E73">
        <v>18596</v>
      </c>
      <c r="F73">
        <v>46660</v>
      </c>
      <c r="G73">
        <v>71887</v>
      </c>
      <c r="H73">
        <v>94086</v>
      </c>
    </row>
    <row r="74" spans="1:9">
      <c r="A74" t="s">
        <v>7</v>
      </c>
      <c r="B74">
        <v>249</v>
      </c>
      <c r="C74">
        <v>1935</v>
      </c>
      <c r="D74">
        <v>6645</v>
      </c>
      <c r="E74">
        <v>17862</v>
      </c>
      <c r="F74">
        <v>45786</v>
      </c>
      <c r="G74">
        <v>70513</v>
      </c>
      <c r="H74">
        <v>92946</v>
      </c>
    </row>
    <row r="75" spans="1:9">
      <c r="A75" t="s">
        <v>8</v>
      </c>
      <c r="B75">
        <v>266</v>
      </c>
      <c r="C75">
        <v>1949</v>
      </c>
      <c r="D75">
        <v>6663</v>
      </c>
      <c r="E75">
        <v>18643</v>
      </c>
      <c r="F75">
        <v>45770</v>
      </c>
      <c r="G75">
        <v>70482</v>
      </c>
      <c r="H75">
        <v>92697</v>
      </c>
    </row>
    <row r="76" spans="1:9">
      <c r="A76" t="s">
        <v>9</v>
      </c>
      <c r="B76">
        <v>249</v>
      </c>
      <c r="C76">
        <v>4089</v>
      </c>
      <c r="D76">
        <v>6723</v>
      </c>
      <c r="E76">
        <v>17831</v>
      </c>
      <c r="F76">
        <v>45740</v>
      </c>
      <c r="G76">
        <v>70559</v>
      </c>
      <c r="H76">
        <v>93381</v>
      </c>
    </row>
    <row r="77" spans="1:9">
      <c r="A77" t="s">
        <v>10</v>
      </c>
      <c r="B77">
        <v>234</v>
      </c>
      <c r="C77">
        <v>1935</v>
      </c>
      <c r="D77">
        <v>6677</v>
      </c>
      <c r="E77">
        <v>17832</v>
      </c>
      <c r="F77">
        <v>45848</v>
      </c>
      <c r="G77">
        <v>70543</v>
      </c>
      <c r="H77">
        <v>92462</v>
      </c>
    </row>
    <row r="78" spans="1:9">
      <c r="A78" t="s">
        <v>11</v>
      </c>
      <c r="B78">
        <f t="shared" ref="B78:H78" si="26">(SUM(B73:B77) -MAX(B73:B77) -MIN(B73:B77))/((COUNT(B73:B77)-2)*1000)</f>
        <v>0.25466666666666665</v>
      </c>
      <c r="C78">
        <f t="shared" si="26"/>
        <v>2.0643333333333334</v>
      </c>
      <c r="D78">
        <f t="shared" si="26"/>
        <v>6.6876666666666669</v>
      </c>
      <c r="E78">
        <f t="shared" si="26"/>
        <v>18.096666666666668</v>
      </c>
      <c r="F78">
        <f t="shared" si="26"/>
        <v>45.801333333333332</v>
      </c>
      <c r="G78">
        <f t="shared" ref="G78" si="27">(SUM(G73:G77) -MAX(G73:G77) -MIN(G73:G77))/((COUNT(G73:G77)-2)*1000)</f>
        <v>70.538333333333327</v>
      </c>
      <c r="H78">
        <f t="shared" si="26"/>
        <v>93.007999999999996</v>
      </c>
      <c r="I78" t="s">
        <v>15</v>
      </c>
    </row>
    <row r="79" spans="1:9">
      <c r="A79" t="s">
        <v>13</v>
      </c>
      <c r="B79">
        <f t="shared" ref="B79:H79" si="28">STDEV(B73:B77)/1000</f>
        <v>7.0899224255276561E-2</v>
      </c>
      <c r="C79">
        <f t="shared" si="28"/>
        <v>0.93373379504010667</v>
      </c>
      <c r="D79">
        <f t="shared" si="28"/>
        <v>0.2454363461266485</v>
      </c>
      <c r="E79">
        <f t="shared" si="28"/>
        <v>0.42654272939529531</v>
      </c>
      <c r="F79">
        <f t="shared" si="28"/>
        <v>0.39284755312946684</v>
      </c>
      <c r="G79">
        <f t="shared" ref="G79" si="29">STDEV(G73:G77)/1000</f>
        <v>0.61015178439451379</v>
      </c>
      <c r="H79">
        <f t="shared" si="28"/>
        <v>0.64095421053241941</v>
      </c>
    </row>
    <row r="80" spans="1:9">
      <c r="A80" t="s">
        <v>14</v>
      </c>
      <c r="B80">
        <f>CONFIDENCE(0.05,B79,5)/2</f>
        <v>3.1072384084571903E-2</v>
      </c>
      <c r="C80">
        <f t="shared" ref="C80:H80" si="30">CONFIDENCE(0.05,C79,5)/2</f>
        <v>0.40921935912538365</v>
      </c>
      <c r="D80">
        <f t="shared" si="30"/>
        <v>0.10756524482838158</v>
      </c>
      <c r="E80">
        <f t="shared" si="30"/>
        <v>0.18693715841701677</v>
      </c>
      <c r="F80">
        <f t="shared" si="30"/>
        <v>0.17216986766416695</v>
      </c>
      <c r="G80">
        <f t="shared" si="30"/>
        <v>0.26740589609740689</v>
      </c>
      <c r="H80">
        <f t="shared" si="30"/>
        <v>0.28090540650456669</v>
      </c>
    </row>
    <row r="82" spans="1:9">
      <c r="A82" t="s">
        <v>45</v>
      </c>
    </row>
    <row r="83" spans="1:9">
      <c r="A83" t="s">
        <v>6</v>
      </c>
      <c r="B83">
        <v>94</v>
      </c>
      <c r="C83">
        <v>1560</v>
      </c>
      <c r="D83">
        <v>6084</v>
      </c>
      <c r="E83">
        <v>17161</v>
      </c>
      <c r="F83">
        <v>45085</v>
      </c>
      <c r="G83">
        <v>69093</v>
      </c>
      <c r="H83">
        <v>91339</v>
      </c>
    </row>
    <row r="84" spans="1:9">
      <c r="A84" t="s">
        <v>7</v>
      </c>
      <c r="B84">
        <v>62</v>
      </c>
      <c r="C84">
        <v>1482</v>
      </c>
      <c r="D84">
        <v>5975</v>
      </c>
      <c r="E84">
        <v>16880</v>
      </c>
      <c r="F84">
        <v>44367</v>
      </c>
      <c r="G84">
        <v>68906</v>
      </c>
      <c r="H84">
        <v>90372</v>
      </c>
    </row>
    <row r="85" spans="1:9">
      <c r="A85" t="s">
        <v>8</v>
      </c>
      <c r="B85">
        <v>63</v>
      </c>
      <c r="C85">
        <v>1482</v>
      </c>
      <c r="D85">
        <v>5944</v>
      </c>
      <c r="E85">
        <v>16895</v>
      </c>
      <c r="F85">
        <v>44383</v>
      </c>
      <c r="G85">
        <v>68703</v>
      </c>
      <c r="H85">
        <v>90153</v>
      </c>
    </row>
    <row r="86" spans="1:9">
      <c r="A86" t="s">
        <v>9</v>
      </c>
      <c r="B86">
        <v>63</v>
      </c>
      <c r="C86">
        <v>1466</v>
      </c>
      <c r="D86">
        <v>5959</v>
      </c>
      <c r="E86">
        <v>16832</v>
      </c>
      <c r="F86">
        <v>44413</v>
      </c>
      <c r="G86">
        <v>68765</v>
      </c>
      <c r="H86">
        <v>90231</v>
      </c>
    </row>
    <row r="87" spans="1:9">
      <c r="A87" t="s">
        <v>10</v>
      </c>
      <c r="B87">
        <v>62</v>
      </c>
      <c r="C87">
        <v>1467</v>
      </c>
      <c r="D87">
        <v>5944</v>
      </c>
      <c r="E87">
        <v>16880</v>
      </c>
      <c r="F87">
        <v>44320</v>
      </c>
      <c r="G87">
        <v>68703</v>
      </c>
      <c r="H87">
        <v>90185</v>
      </c>
    </row>
    <row r="88" spans="1:9">
      <c r="A88" t="s">
        <v>11</v>
      </c>
      <c r="B88">
        <f t="shared" ref="B88:H88" si="31">(SUM(B83:B87) -MAX(B83:B87) -MIN(B83:B87))/((COUNT(B83:B87)-2)*1000)</f>
        <v>6.2666666666666662E-2</v>
      </c>
      <c r="C88">
        <f t="shared" si="31"/>
        <v>1.4770000000000001</v>
      </c>
      <c r="D88">
        <f t="shared" si="31"/>
        <v>5.9593333333333334</v>
      </c>
      <c r="E88">
        <f t="shared" si="31"/>
        <v>16.885000000000002</v>
      </c>
      <c r="F88">
        <f t="shared" si="31"/>
        <v>44.387666666666668</v>
      </c>
      <c r="G88">
        <f t="shared" ref="G88" si="32">(SUM(G83:G87) -MAX(G83:G87) -MIN(G83:G87))/((COUNT(G83:G87)-2)*1000)</f>
        <v>68.791333333333327</v>
      </c>
      <c r="H88">
        <f t="shared" si="31"/>
        <v>90.262666666666661</v>
      </c>
      <c r="I88" t="s">
        <v>15</v>
      </c>
    </row>
    <row r="89" spans="1:9">
      <c r="A89" t="s">
        <v>13</v>
      </c>
      <c r="B89">
        <f t="shared" ref="B89:H89" si="33">STDEV(B83:B87)/1000</f>
        <v>1.4096098751072929E-2</v>
      </c>
      <c r="C89">
        <f t="shared" si="33"/>
        <v>3.9125439294656027E-2</v>
      </c>
      <c r="D89">
        <f t="shared" si="33"/>
        <v>5.8878688844122375E-2</v>
      </c>
      <c r="E89">
        <f t="shared" si="33"/>
        <v>0.13151920011926746</v>
      </c>
      <c r="F89">
        <f t="shared" si="33"/>
        <v>0.32118810687849381</v>
      </c>
      <c r="G89">
        <f t="shared" ref="G89" si="34">STDEV(G83:G87)/1000</f>
        <v>0.16684423873781198</v>
      </c>
      <c r="H89">
        <f t="shared" si="33"/>
        <v>0.50065457153610415</v>
      </c>
    </row>
    <row r="90" spans="1:9">
      <c r="A90" t="s">
        <v>14</v>
      </c>
      <c r="B90">
        <f>CONFIDENCE(0.05,B89,5)/2</f>
        <v>6.1777741447544112E-3</v>
      </c>
      <c r="C90">
        <f t="shared" ref="C90:H90" si="35">CONFIDENCE(0.05,C89,5)/2</f>
        <v>1.7147164725863355E-2</v>
      </c>
      <c r="D90">
        <f t="shared" si="35"/>
        <v>2.5804248965734085E-2</v>
      </c>
      <c r="E90">
        <f t="shared" si="35"/>
        <v>5.763977171157008E-2</v>
      </c>
      <c r="F90">
        <f t="shared" si="35"/>
        <v>0.14076430772205997</v>
      </c>
      <c r="G90">
        <f t="shared" si="35"/>
        <v>7.3121368009516324E-2</v>
      </c>
      <c r="H90">
        <f t="shared" si="35"/>
        <v>0.21941750849705294</v>
      </c>
    </row>
    <row r="92" spans="1:9">
      <c r="A92" t="s">
        <v>63</v>
      </c>
    </row>
    <row r="93" spans="1:9">
      <c r="A93" t="s">
        <v>11</v>
      </c>
      <c r="B93">
        <f t="shared" ref="B93:H93" si="36">SUM(B78,B88)</f>
        <v>0.3173333333333333</v>
      </c>
      <c r="C93">
        <f t="shared" si="36"/>
        <v>3.5413333333333332</v>
      </c>
      <c r="D93">
        <f t="shared" si="36"/>
        <v>12.647</v>
      </c>
      <c r="E93">
        <f t="shared" si="36"/>
        <v>34.981666666666669</v>
      </c>
      <c r="F93">
        <f t="shared" si="36"/>
        <v>90.188999999999993</v>
      </c>
      <c r="G93">
        <f t="shared" ref="G93" si="37">SUM(G78,G88)</f>
        <v>139.32966666666664</v>
      </c>
      <c r="H93">
        <f t="shared" si="36"/>
        <v>183.27066666666667</v>
      </c>
    </row>
    <row r="95" spans="1:9">
      <c r="A95" t="s">
        <v>69</v>
      </c>
    </row>
    <row r="96" spans="1:9">
      <c r="A96" t="s">
        <v>6</v>
      </c>
      <c r="B96">
        <v>405</v>
      </c>
      <c r="C96">
        <v>2932</v>
      </c>
      <c r="D96">
        <v>10499</v>
      </c>
      <c r="E96">
        <v>26332</v>
      </c>
      <c r="F96">
        <v>66722</v>
      </c>
      <c r="G96">
        <v>104162</v>
      </c>
      <c r="H96">
        <v>142275</v>
      </c>
    </row>
    <row r="97" spans="1:9">
      <c r="A97" t="s">
        <v>7</v>
      </c>
      <c r="B97">
        <v>390</v>
      </c>
      <c r="C97">
        <v>2949</v>
      </c>
      <c r="D97">
        <v>10312</v>
      </c>
      <c r="E97">
        <v>26286</v>
      </c>
      <c r="F97">
        <v>65537</v>
      </c>
      <c r="G97">
        <v>104817</v>
      </c>
      <c r="H97">
        <v>140090</v>
      </c>
    </row>
    <row r="98" spans="1:9">
      <c r="A98" t="s">
        <v>8</v>
      </c>
      <c r="B98">
        <v>389</v>
      </c>
      <c r="C98">
        <v>2901</v>
      </c>
      <c r="D98">
        <v>10358</v>
      </c>
      <c r="E98">
        <v>26369</v>
      </c>
      <c r="F98">
        <v>65568</v>
      </c>
      <c r="G98">
        <v>103804</v>
      </c>
      <c r="H98">
        <v>139919</v>
      </c>
    </row>
    <row r="99" spans="1:9">
      <c r="A99" t="s">
        <v>9</v>
      </c>
      <c r="B99">
        <v>406</v>
      </c>
      <c r="C99">
        <v>2950</v>
      </c>
      <c r="D99">
        <v>10312</v>
      </c>
      <c r="E99">
        <v>26373</v>
      </c>
      <c r="F99">
        <v>65646</v>
      </c>
      <c r="G99">
        <v>103788</v>
      </c>
      <c r="H99">
        <v>139808</v>
      </c>
    </row>
    <row r="100" spans="1:9">
      <c r="A100" t="s">
        <v>10</v>
      </c>
      <c r="B100">
        <v>406</v>
      </c>
      <c r="C100">
        <v>2901</v>
      </c>
      <c r="D100">
        <v>10326</v>
      </c>
      <c r="E100">
        <v>26326</v>
      </c>
      <c r="F100">
        <v>65630</v>
      </c>
      <c r="G100">
        <v>103851</v>
      </c>
      <c r="H100">
        <v>139667</v>
      </c>
    </row>
    <row r="101" spans="1:9">
      <c r="A101" t="s">
        <v>11</v>
      </c>
      <c r="B101">
        <f t="shared" ref="B101:H101" si="38">(SUM(B96:B100) -MAX(B96:B100) -MIN(B96:B100))/((COUNT(B96:B100)-2)*1000)</f>
        <v>0.40033333333333332</v>
      </c>
      <c r="C101">
        <f t="shared" si="38"/>
        <v>2.9273333333333333</v>
      </c>
      <c r="D101">
        <f t="shared" si="38"/>
        <v>10.332000000000001</v>
      </c>
      <c r="E101">
        <f t="shared" si="38"/>
        <v>26.342333333333332</v>
      </c>
      <c r="F101">
        <f t="shared" si="38"/>
        <v>65.614666666666665</v>
      </c>
      <c r="G101">
        <f t="shared" si="38"/>
        <v>103.93899999999999</v>
      </c>
      <c r="H101">
        <f t="shared" si="38"/>
        <v>139.93899999999999</v>
      </c>
      <c r="I101" t="s">
        <v>15</v>
      </c>
    </row>
    <row r="102" spans="1:9">
      <c r="A102" t="s">
        <v>13</v>
      </c>
      <c r="B102">
        <f t="shared" ref="B102:H102" si="39">STDEV(B96:B100)/1000</f>
        <v>8.8713020464874053E-3</v>
      </c>
      <c r="C102">
        <f t="shared" si="39"/>
        <v>2.4439721766025591E-2</v>
      </c>
      <c r="D102">
        <f t="shared" si="39"/>
        <v>7.9182068677176018E-2</v>
      </c>
      <c r="E102">
        <f t="shared" si="39"/>
        <v>3.5590729130599214E-2</v>
      </c>
      <c r="F102">
        <f t="shared" si="39"/>
        <v>0.50585847823298435</v>
      </c>
      <c r="G102">
        <f t="shared" si="39"/>
        <v>0.43694313131028512</v>
      </c>
      <c r="H102">
        <f t="shared" si="39"/>
        <v>1.0861886116143746</v>
      </c>
    </row>
    <row r="103" spans="1:9">
      <c r="A103" t="s">
        <v>14</v>
      </c>
      <c r="B103">
        <f>CONFIDENCE(0.05,B102,5)/2</f>
        <v>3.8879481040046833E-3</v>
      </c>
      <c r="C103">
        <f t="shared" ref="C103:H103" si="40">CONFIDENCE(0.05,C102,5)/2</f>
        <v>1.0710983506670765E-2</v>
      </c>
      <c r="D103">
        <f t="shared" si="40"/>
        <v>3.4702434002513834E-2</v>
      </c>
      <c r="E103">
        <f t="shared" si="40"/>
        <v>1.5598038159262886E-2</v>
      </c>
      <c r="F103">
        <f t="shared" si="40"/>
        <v>0.22169817925648938</v>
      </c>
      <c r="G103">
        <f t="shared" si="40"/>
        <v>0.19149525177178897</v>
      </c>
      <c r="H103">
        <f t="shared" si="40"/>
        <v>0.47603440069879072</v>
      </c>
    </row>
    <row r="105" spans="1:9">
      <c r="A105" t="s">
        <v>51</v>
      </c>
    </row>
    <row r="106" spans="1:9">
      <c r="A106" t="s">
        <v>6</v>
      </c>
      <c r="B106">
        <v>124</v>
      </c>
      <c r="C106">
        <v>2106</v>
      </c>
      <c r="D106">
        <v>8596</v>
      </c>
      <c r="E106">
        <v>23509</v>
      </c>
      <c r="F106">
        <v>60700</v>
      </c>
      <c r="G106">
        <v>96893</v>
      </c>
      <c r="H106">
        <v>130402</v>
      </c>
    </row>
    <row r="107" spans="1:9">
      <c r="A107" t="s">
        <v>7</v>
      </c>
      <c r="B107">
        <v>124</v>
      </c>
      <c r="C107">
        <v>2091</v>
      </c>
      <c r="D107">
        <v>8627</v>
      </c>
      <c r="E107">
        <v>23494</v>
      </c>
      <c r="F107">
        <v>60654</v>
      </c>
      <c r="G107">
        <v>97034</v>
      </c>
      <c r="H107">
        <v>129622</v>
      </c>
    </row>
    <row r="108" spans="1:9">
      <c r="A108" t="s">
        <v>8</v>
      </c>
      <c r="B108">
        <v>125</v>
      </c>
      <c r="C108">
        <v>2075</v>
      </c>
      <c r="D108">
        <v>8627</v>
      </c>
      <c r="E108">
        <v>23592</v>
      </c>
      <c r="F108">
        <v>60732</v>
      </c>
      <c r="G108">
        <v>96955</v>
      </c>
      <c r="H108">
        <v>130511</v>
      </c>
    </row>
    <row r="109" spans="1:9">
      <c r="A109" t="s">
        <v>9</v>
      </c>
      <c r="B109">
        <v>140</v>
      </c>
      <c r="C109">
        <v>2106</v>
      </c>
      <c r="D109">
        <v>8612</v>
      </c>
      <c r="E109">
        <v>23545</v>
      </c>
      <c r="F109">
        <v>61652</v>
      </c>
      <c r="G109">
        <v>97142</v>
      </c>
      <c r="H109">
        <v>129591</v>
      </c>
    </row>
    <row r="110" spans="1:9">
      <c r="A110" t="s">
        <v>10</v>
      </c>
      <c r="B110">
        <v>125</v>
      </c>
      <c r="C110">
        <v>2106</v>
      </c>
      <c r="D110">
        <v>8595</v>
      </c>
      <c r="E110">
        <v>23513</v>
      </c>
      <c r="F110">
        <v>60747</v>
      </c>
      <c r="G110">
        <v>97033</v>
      </c>
      <c r="H110">
        <v>131478</v>
      </c>
    </row>
    <row r="111" spans="1:9">
      <c r="A111" t="s">
        <v>11</v>
      </c>
      <c r="B111">
        <f t="shared" ref="B111:H111" si="41">(SUM(B106:B110) -MAX(B106:B110) -MIN(B106:B110))/((COUNT(B106:B110)-2)*1000)</f>
        <v>0.12466666666666666</v>
      </c>
      <c r="C111">
        <f t="shared" si="41"/>
        <v>2.101</v>
      </c>
      <c r="D111">
        <f t="shared" si="41"/>
        <v>8.6116666666666664</v>
      </c>
      <c r="E111">
        <f t="shared" si="41"/>
        <v>23.522333333333332</v>
      </c>
      <c r="F111">
        <f t="shared" si="41"/>
        <v>60.726333333333336</v>
      </c>
      <c r="G111">
        <f t="shared" si="41"/>
        <v>97.007333333333335</v>
      </c>
      <c r="H111">
        <f t="shared" si="41"/>
        <v>130.17833333333334</v>
      </c>
      <c r="I111" t="s">
        <v>15</v>
      </c>
    </row>
    <row r="112" spans="1:9">
      <c r="A112" t="s">
        <v>13</v>
      </c>
      <c r="B112">
        <f t="shared" ref="B112:H112" si="42">STDEV(B106:B110)/1000</f>
        <v>6.9498201415575693E-3</v>
      </c>
      <c r="C112">
        <f t="shared" si="42"/>
        <v>1.3809417076769977E-2</v>
      </c>
      <c r="D112">
        <f t="shared" si="42"/>
        <v>1.5757537878647785E-2</v>
      </c>
      <c r="E112">
        <f t="shared" si="42"/>
        <v>3.9029476039940836E-2</v>
      </c>
      <c r="F112">
        <f t="shared" si="42"/>
        <v>0.42355873264519056</v>
      </c>
      <c r="G112">
        <f t="shared" si="42"/>
        <v>9.3852543914574094E-2</v>
      </c>
      <c r="H112">
        <f t="shared" si="42"/>
        <v>0.7750501274116165</v>
      </c>
    </row>
    <row r="113" spans="1:9">
      <c r="A113" t="s">
        <v>14</v>
      </c>
      <c r="B113">
        <f>CONFIDENCE(0.05,B112,5)/2</f>
        <v>3.045837003514169E-3</v>
      </c>
      <c r="C113">
        <f t="shared" ref="C113:H113" si="43">CONFIDENCE(0.05,C112,5)/2</f>
        <v>6.0521326700060246E-3</v>
      </c>
      <c r="D113">
        <f t="shared" si="43"/>
        <v>6.9059185673120364E-3</v>
      </c>
      <c r="E113">
        <f t="shared" si="43"/>
        <v>1.710510774795088E-2</v>
      </c>
      <c r="F113">
        <f t="shared" si="43"/>
        <v>0.18562938821077973</v>
      </c>
      <c r="G113">
        <f t="shared" si="43"/>
        <v>4.1131935115788831E-2</v>
      </c>
      <c r="H113">
        <f t="shared" si="43"/>
        <v>0.33967445337651664</v>
      </c>
    </row>
    <row r="115" spans="1:9">
      <c r="A115" t="s">
        <v>64</v>
      </c>
    </row>
    <row r="116" spans="1:9">
      <c r="A116" t="s">
        <v>11</v>
      </c>
      <c r="B116">
        <f t="shared" ref="B116:H116" si="44">SUM(B101,B111)</f>
        <v>0.52500000000000002</v>
      </c>
      <c r="C116">
        <f t="shared" si="44"/>
        <v>5.0283333333333333</v>
      </c>
      <c r="D116">
        <f t="shared" si="44"/>
        <v>18.943666666666665</v>
      </c>
      <c r="E116">
        <f t="shared" si="44"/>
        <v>49.864666666666665</v>
      </c>
      <c r="F116">
        <f t="shared" si="44"/>
        <v>126.34100000000001</v>
      </c>
      <c r="G116">
        <f t="shared" si="44"/>
        <v>200.94633333333331</v>
      </c>
      <c r="H116">
        <f t="shared" si="44"/>
        <v>270.11733333333336</v>
      </c>
    </row>
    <row r="118" spans="1:9">
      <c r="A118" t="s">
        <v>50</v>
      </c>
    </row>
    <row r="119" spans="1:9">
      <c r="A119" t="s">
        <v>6</v>
      </c>
      <c r="B119">
        <v>981</v>
      </c>
      <c r="C119">
        <v>7738</v>
      </c>
      <c r="D119">
        <v>28503</v>
      </c>
      <c r="E119">
        <v>67799</v>
      </c>
      <c r="F119">
        <v>162055</v>
      </c>
      <c r="G119">
        <v>279166</v>
      </c>
      <c r="H119">
        <v>421096</v>
      </c>
    </row>
    <row r="120" spans="1:9">
      <c r="A120" t="s">
        <v>7</v>
      </c>
      <c r="B120">
        <v>984</v>
      </c>
      <c r="C120">
        <v>7692</v>
      </c>
      <c r="D120">
        <v>27954</v>
      </c>
      <c r="E120">
        <v>66385</v>
      </c>
      <c r="F120">
        <v>159871</v>
      </c>
      <c r="G120">
        <v>265563</v>
      </c>
      <c r="H120">
        <v>380067</v>
      </c>
    </row>
    <row r="121" spans="1:9">
      <c r="A121" t="s">
        <v>8</v>
      </c>
      <c r="B121">
        <v>982</v>
      </c>
      <c r="C121">
        <v>7675</v>
      </c>
      <c r="D121">
        <v>27940</v>
      </c>
      <c r="E121">
        <v>66530</v>
      </c>
      <c r="F121">
        <v>159698</v>
      </c>
      <c r="G121">
        <v>265532</v>
      </c>
      <c r="H121">
        <v>365327</v>
      </c>
    </row>
    <row r="122" spans="1:9">
      <c r="A122" t="s">
        <v>9</v>
      </c>
      <c r="B122">
        <v>998</v>
      </c>
      <c r="C122">
        <v>7644</v>
      </c>
      <c r="D122">
        <v>27721</v>
      </c>
      <c r="E122">
        <v>66158</v>
      </c>
      <c r="F122">
        <v>159793</v>
      </c>
      <c r="G122">
        <v>265688</v>
      </c>
      <c r="H122">
        <v>364982</v>
      </c>
    </row>
    <row r="123" spans="1:9">
      <c r="A123" t="s">
        <v>10</v>
      </c>
      <c r="B123">
        <v>1013</v>
      </c>
      <c r="C123">
        <v>7675</v>
      </c>
      <c r="D123">
        <v>27753</v>
      </c>
      <c r="E123">
        <v>66387</v>
      </c>
      <c r="F123">
        <v>158966</v>
      </c>
      <c r="G123">
        <v>302379</v>
      </c>
      <c r="H123">
        <v>363703</v>
      </c>
    </row>
    <row r="124" spans="1:9">
      <c r="A124" t="s">
        <v>11</v>
      </c>
      <c r="B124">
        <f t="shared" ref="B124:H124" si="45">(SUM(B119:B123) -MAX(B119:B123) -MIN(B119:B123))/((COUNT(B119:B123)-2)*1000)</f>
        <v>0.98799999999999999</v>
      </c>
      <c r="C124">
        <f t="shared" si="45"/>
        <v>7.6806666666666663</v>
      </c>
      <c r="D124">
        <f t="shared" si="45"/>
        <v>27.882333333333332</v>
      </c>
      <c r="E124">
        <f t="shared" si="45"/>
        <v>66.433999999999997</v>
      </c>
      <c r="F124">
        <f t="shared" si="45"/>
        <v>159.78733333333332</v>
      </c>
      <c r="G124">
        <f t="shared" si="45"/>
        <v>270.13900000000001</v>
      </c>
      <c r="H124">
        <f t="shared" si="45"/>
        <v>370.12533333333334</v>
      </c>
      <c r="I124" t="s">
        <v>15</v>
      </c>
    </row>
    <row r="125" spans="1:9">
      <c r="A125" t="s">
        <v>13</v>
      </c>
      <c r="B125">
        <f t="shared" ref="B125:H125" si="46">STDEV(B119:B123)/1000</f>
        <v>1.3794926603648406E-2</v>
      </c>
      <c r="C125">
        <f t="shared" si="46"/>
        <v>3.441947123363432E-2</v>
      </c>
      <c r="D125">
        <f t="shared" si="46"/>
        <v>0.31394537741468287</v>
      </c>
      <c r="E125">
        <f t="shared" si="46"/>
        <v>0.65498908387835697</v>
      </c>
      <c r="F125">
        <f t="shared" si="46"/>
        <v>1.1633504631018277</v>
      </c>
      <c r="G125">
        <f t="shared" si="46"/>
        <v>16.048079458302887</v>
      </c>
      <c r="H125">
        <f t="shared" si="46"/>
        <v>24.447183079037959</v>
      </c>
    </row>
    <row r="126" spans="1:9">
      <c r="A126" t="s">
        <v>14</v>
      </c>
      <c r="B126">
        <f>CONFIDENCE(0.05,B125,5)/2</f>
        <v>6.0457820568486876E-3</v>
      </c>
      <c r="C126">
        <f t="shared" ref="C126:H126" si="47">CONFIDENCE(0.05,C125,5)/2</f>
        <v>1.5084721185503859E-2</v>
      </c>
      <c r="D126">
        <f t="shared" si="47"/>
        <v>0.13759009990689577</v>
      </c>
      <c r="E126">
        <f t="shared" si="47"/>
        <v>0.28705634792549256</v>
      </c>
      <c r="F126">
        <f t="shared" si="47"/>
        <v>0.50985145174947832</v>
      </c>
      <c r="G126">
        <f t="shared" si="47"/>
        <v>7.0332516890832482</v>
      </c>
      <c r="H126">
        <f t="shared" si="47"/>
        <v>10.714253511189584</v>
      </c>
    </row>
    <row r="128" spans="1:9">
      <c r="A128" t="s">
        <v>49</v>
      </c>
    </row>
    <row r="129" spans="1:9">
      <c r="A129" t="s">
        <v>6</v>
      </c>
      <c r="B129">
        <v>437</v>
      </c>
      <c r="C129">
        <v>5132</v>
      </c>
      <c r="D129">
        <v>21403</v>
      </c>
      <c r="E129">
        <v>55364</v>
      </c>
      <c r="F129">
        <v>139855</v>
      </c>
      <c r="G129">
        <v>237794</v>
      </c>
      <c r="H129">
        <v>346606</v>
      </c>
    </row>
    <row r="130" spans="1:9">
      <c r="A130" t="s">
        <v>7</v>
      </c>
      <c r="B130">
        <v>421</v>
      </c>
      <c r="C130">
        <v>5086</v>
      </c>
      <c r="D130">
        <v>21434</v>
      </c>
      <c r="E130">
        <v>55270</v>
      </c>
      <c r="F130">
        <v>139590</v>
      </c>
      <c r="G130">
        <v>235719</v>
      </c>
      <c r="H130">
        <v>320241</v>
      </c>
    </row>
    <row r="131" spans="1:9">
      <c r="A131" t="s">
        <v>8</v>
      </c>
      <c r="B131">
        <v>422</v>
      </c>
      <c r="C131">
        <v>5101</v>
      </c>
      <c r="D131">
        <v>21388</v>
      </c>
      <c r="E131">
        <v>55267</v>
      </c>
      <c r="F131">
        <v>139310</v>
      </c>
      <c r="G131">
        <v>235766</v>
      </c>
      <c r="H131">
        <v>318977</v>
      </c>
    </row>
    <row r="132" spans="1:9">
      <c r="A132" t="s">
        <v>9</v>
      </c>
      <c r="B132">
        <v>437</v>
      </c>
      <c r="C132">
        <v>5102</v>
      </c>
      <c r="D132">
        <v>21294</v>
      </c>
      <c r="E132">
        <v>55485</v>
      </c>
      <c r="F132">
        <v>138951</v>
      </c>
      <c r="G132">
        <v>252427</v>
      </c>
      <c r="H132">
        <v>318026</v>
      </c>
    </row>
    <row r="133" spans="1:9">
      <c r="A133" t="s">
        <v>10</v>
      </c>
      <c r="B133">
        <v>437</v>
      </c>
      <c r="C133">
        <v>5101</v>
      </c>
      <c r="D133">
        <v>21310</v>
      </c>
      <c r="E133">
        <v>55385</v>
      </c>
      <c r="F133">
        <v>138857</v>
      </c>
      <c r="G133">
        <v>258636</v>
      </c>
      <c r="H133">
        <v>317682</v>
      </c>
    </row>
    <row r="134" spans="1:9">
      <c r="A134" t="s">
        <v>11</v>
      </c>
      <c r="B134">
        <f t="shared" ref="B134:H134" si="48">(SUM(B129:B133) -MAX(B129:B133) -MIN(B129:B133))/((COUNT(B129:B133)-2)*1000)</f>
        <v>0.432</v>
      </c>
      <c r="C134">
        <f t="shared" si="48"/>
        <v>5.1013333333333337</v>
      </c>
      <c r="D134">
        <f t="shared" si="48"/>
        <v>21.367000000000001</v>
      </c>
      <c r="E134">
        <f t="shared" si="48"/>
        <v>55.339666666666666</v>
      </c>
      <c r="F134">
        <f t="shared" si="48"/>
        <v>139.28366666666668</v>
      </c>
      <c r="G134">
        <f t="shared" si="48"/>
        <v>241.99566666666666</v>
      </c>
      <c r="H134">
        <f t="shared" si="48"/>
        <v>319.08133333333336</v>
      </c>
      <c r="I134" t="s">
        <v>15</v>
      </c>
    </row>
    <row r="135" spans="1:9">
      <c r="A135" t="s">
        <v>13</v>
      </c>
      <c r="B135">
        <f t="shared" ref="B135:H135" si="49">STDEV(B129:B133)/1000</f>
        <v>8.4970583144998862E-3</v>
      </c>
      <c r="C135">
        <f t="shared" si="49"/>
        <v>1.680178561941394E-2</v>
      </c>
      <c r="D135">
        <f t="shared" si="49"/>
        <v>6.0821048988386278E-2</v>
      </c>
      <c r="E135">
        <f t="shared" si="49"/>
        <v>9.0618430795336907E-2</v>
      </c>
      <c r="F135">
        <f t="shared" si="49"/>
        <v>0.42115353494804847</v>
      </c>
      <c r="G135">
        <f t="shared" si="49"/>
        <v>10.724872787124472</v>
      </c>
      <c r="H135">
        <f t="shared" si="49"/>
        <v>12.505281296316491</v>
      </c>
    </row>
    <row r="136" spans="1:9">
      <c r="A136" t="s">
        <v>14</v>
      </c>
      <c r="B136">
        <f>CONFIDENCE(0.05,B135,5)/2</f>
        <v>3.7239315706264027E-3</v>
      </c>
      <c r="C136">
        <f t="shared" ref="C136:H136" si="50">CONFIDENCE(0.05,C135,5)/2</f>
        <v>7.3635719086758891E-3</v>
      </c>
      <c r="D136">
        <f t="shared" si="50"/>
        <v>2.6655510189916531E-2</v>
      </c>
      <c r="E136">
        <f t="shared" si="50"/>
        <v>3.9714548591895917E-2</v>
      </c>
      <c r="F136">
        <f t="shared" si="50"/>
        <v>0.18457528321273578</v>
      </c>
      <c r="G136">
        <f t="shared" si="50"/>
        <v>4.7002963713654928</v>
      </c>
      <c r="H136">
        <f t="shared" si="50"/>
        <v>5.4805804662360691</v>
      </c>
    </row>
    <row r="138" spans="1:9">
      <c r="A138" t="s">
        <v>65</v>
      </c>
    </row>
    <row r="139" spans="1:9">
      <c r="A139" t="s">
        <v>11</v>
      </c>
      <c r="B139">
        <f t="shared" ref="B139:H139" si="51">SUM(B124,B134)</f>
        <v>1.42</v>
      </c>
      <c r="C139">
        <f t="shared" si="51"/>
        <v>12.782</v>
      </c>
      <c r="D139">
        <f t="shared" si="51"/>
        <v>49.249333333333333</v>
      </c>
      <c r="E139">
        <f t="shared" si="51"/>
        <v>121.77366666666666</v>
      </c>
      <c r="F139">
        <f t="shared" si="51"/>
        <v>299.07100000000003</v>
      </c>
      <c r="G139">
        <f t="shared" si="51"/>
        <v>512.1346666666667</v>
      </c>
      <c r="H139">
        <f t="shared" si="51"/>
        <v>689.20666666666671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:H35"/>
  <sheetViews>
    <sheetView topLeftCell="A10" workbookViewId="0">
      <selection activeCell="B33" sqref="B33:F33"/>
    </sheetView>
  </sheetViews>
  <sheetFormatPr defaultRowHeight="15"/>
  <cols>
    <col min="1" max="1" width="14.5703125" customWidth="1"/>
    <col min="2" max="6" width="12.7109375" customWidth="1"/>
    <col min="7" max="7" width="10.7109375" customWidth="1"/>
  </cols>
  <sheetData>
    <row r="1" spans="1:8">
      <c r="A1" t="s">
        <v>55</v>
      </c>
      <c r="B1" t="s">
        <v>20</v>
      </c>
    </row>
    <row r="2" spans="1:8">
      <c r="A2" t="s">
        <v>12</v>
      </c>
      <c r="B2">
        <v>5</v>
      </c>
      <c r="C2">
        <v>10</v>
      </c>
      <c r="D2">
        <v>15</v>
      </c>
      <c r="E2">
        <v>20</v>
      </c>
      <c r="F2">
        <v>25</v>
      </c>
    </row>
    <row r="3" spans="1:8">
      <c r="A3" t="s">
        <v>53</v>
      </c>
      <c r="B3" t="s">
        <v>70</v>
      </c>
    </row>
    <row r="4" spans="1:8">
      <c r="A4" t="s">
        <v>6</v>
      </c>
      <c r="B4">
        <v>3089</v>
      </c>
      <c r="C4">
        <v>7769</v>
      </c>
      <c r="D4">
        <v>17877</v>
      </c>
      <c r="E4">
        <v>28111</v>
      </c>
      <c r="F4">
        <v>29843</v>
      </c>
      <c r="H4">
        <v>28111</v>
      </c>
    </row>
    <row r="5" spans="1:8">
      <c r="A5" t="s">
        <v>7</v>
      </c>
      <c r="B5">
        <v>2075</v>
      </c>
      <c r="C5">
        <v>5679</v>
      </c>
      <c r="D5">
        <v>15054</v>
      </c>
      <c r="E5">
        <v>26786</v>
      </c>
      <c r="F5">
        <v>30514</v>
      </c>
      <c r="H5">
        <v>26786</v>
      </c>
    </row>
    <row r="6" spans="1:8">
      <c r="A6" t="s">
        <v>8</v>
      </c>
      <c r="B6">
        <v>2075</v>
      </c>
      <c r="C6">
        <v>5663</v>
      </c>
      <c r="D6">
        <v>14929</v>
      </c>
      <c r="E6">
        <v>19001</v>
      </c>
      <c r="F6">
        <v>23510</v>
      </c>
      <c r="H6">
        <v>19001</v>
      </c>
    </row>
    <row r="7" spans="1:8">
      <c r="A7" t="s">
        <v>9</v>
      </c>
      <c r="B7">
        <v>2075</v>
      </c>
      <c r="C7">
        <v>5647</v>
      </c>
      <c r="D7">
        <v>14898</v>
      </c>
      <c r="E7">
        <v>19017</v>
      </c>
      <c r="F7">
        <v>22776</v>
      </c>
      <c r="H7">
        <v>19017</v>
      </c>
    </row>
    <row r="8" spans="1:8">
      <c r="A8" t="s">
        <v>10</v>
      </c>
      <c r="B8">
        <v>2122</v>
      </c>
      <c r="C8">
        <v>5710</v>
      </c>
      <c r="D8">
        <v>15117</v>
      </c>
      <c r="E8">
        <v>19048</v>
      </c>
      <c r="F8">
        <v>22854</v>
      </c>
      <c r="H8">
        <v>19048</v>
      </c>
    </row>
    <row r="9" spans="1:8">
      <c r="A9" t="s">
        <v>11</v>
      </c>
      <c r="B9">
        <f>(SUM(B4:B8) -MAX(B4:B8) -MIN(B4:B8))/((COUNT(B4:B8)-2)*1000)</f>
        <v>2.0906666666666665</v>
      </c>
      <c r="C9">
        <f t="shared" ref="C9:F9" si="0">(SUM(C4:C8) -MAX(C4:C8) -MIN(C4:C8))/((COUNT(C4:C8)-2)*1000)</f>
        <v>5.6840000000000002</v>
      </c>
      <c r="D9">
        <f t="shared" si="0"/>
        <v>15.033333333333333</v>
      </c>
      <c r="E9">
        <f t="shared" si="0"/>
        <v>21.617000000000001</v>
      </c>
      <c r="F9">
        <f t="shared" si="0"/>
        <v>25.402333333333335</v>
      </c>
      <c r="G9" t="s">
        <v>15</v>
      </c>
    </row>
    <row r="10" spans="1:8">
      <c r="A10" t="s">
        <v>13</v>
      </c>
      <c r="B10">
        <f t="shared" ref="B10:F10" si="1">STDEV(B4:B8)/1000</f>
        <v>0.44868162431728825</v>
      </c>
      <c r="C10">
        <f t="shared" si="1"/>
        <v>0.93686647928079758</v>
      </c>
      <c r="D10">
        <f t="shared" si="1"/>
        <v>1.2899664724325204</v>
      </c>
      <c r="E10">
        <f t="shared" si="1"/>
        <v>4.6391280754038196</v>
      </c>
      <c r="F10">
        <f t="shared" si="1"/>
        <v>3.923832157470545</v>
      </c>
    </row>
    <row r="11" spans="1:8">
      <c r="A11" t="s">
        <v>14</v>
      </c>
      <c r="B11">
        <f>CONFIDENCE(0.05,B10,5)/2</f>
        <v>0.19663977862830839</v>
      </c>
      <c r="C11">
        <f t="shared" ref="C11:F11" si="2">CONFIDENCE(0.05,C10,5)/2</f>
        <v>0.41059229330012098</v>
      </c>
      <c r="D11">
        <f t="shared" si="2"/>
        <v>0.56534234483758172</v>
      </c>
      <c r="E11">
        <f t="shared" si="2"/>
        <v>2.0331501633565514</v>
      </c>
      <c r="F11">
        <f t="shared" si="2"/>
        <v>1.7196636657310855</v>
      </c>
    </row>
    <row r="13" spans="1:8">
      <c r="A13" s="1" t="s">
        <v>54</v>
      </c>
    </row>
    <row r="14" spans="1:8">
      <c r="A14" t="s">
        <v>53</v>
      </c>
      <c r="B14" t="s">
        <v>71</v>
      </c>
    </row>
    <row r="15" spans="1:8">
      <c r="A15" t="s">
        <v>6</v>
      </c>
      <c r="B15">
        <v>10155</v>
      </c>
      <c r="C15">
        <v>11107</v>
      </c>
      <c r="D15">
        <v>92197</v>
      </c>
      <c r="E15">
        <v>180978</v>
      </c>
      <c r="F15">
        <v>373540</v>
      </c>
      <c r="H15">
        <v>92197</v>
      </c>
    </row>
    <row r="16" spans="1:8">
      <c r="A16" t="s">
        <v>7</v>
      </c>
      <c r="B16">
        <v>7504</v>
      </c>
      <c r="C16">
        <v>9439</v>
      </c>
      <c r="D16">
        <v>84725</v>
      </c>
      <c r="E16">
        <v>209261</v>
      </c>
      <c r="F16">
        <v>409173</v>
      </c>
      <c r="H16">
        <v>84725</v>
      </c>
    </row>
    <row r="17" spans="1:8">
      <c r="A17" t="s">
        <v>8</v>
      </c>
      <c r="B17">
        <v>7472</v>
      </c>
      <c r="C17">
        <v>9422</v>
      </c>
      <c r="D17">
        <v>90170</v>
      </c>
      <c r="E17">
        <v>93664</v>
      </c>
      <c r="F17">
        <v>486318</v>
      </c>
      <c r="H17">
        <v>90170</v>
      </c>
    </row>
    <row r="18" spans="1:8">
      <c r="A18" t="s">
        <v>9</v>
      </c>
      <c r="B18">
        <v>7488</v>
      </c>
      <c r="C18">
        <v>9439</v>
      </c>
      <c r="D18">
        <v>88375</v>
      </c>
      <c r="E18">
        <v>77970</v>
      </c>
      <c r="F18">
        <v>496962</v>
      </c>
      <c r="H18">
        <v>88375</v>
      </c>
    </row>
    <row r="19" spans="1:8">
      <c r="A19" t="s">
        <v>10</v>
      </c>
      <c r="B19">
        <v>7550</v>
      </c>
      <c r="C19">
        <v>9454</v>
      </c>
      <c r="D19">
        <v>87236</v>
      </c>
      <c r="E19">
        <v>77533</v>
      </c>
      <c r="F19">
        <v>406308</v>
      </c>
      <c r="H19">
        <v>87236</v>
      </c>
    </row>
    <row r="20" spans="1:8">
      <c r="A20" t="s">
        <v>11</v>
      </c>
      <c r="B20">
        <f>(SUM(B15:B19) -MAX(B15:B19) -MIN(B15:B19))/((COUNT(B15:B19)-2)*1000)</f>
        <v>7.5140000000000002</v>
      </c>
      <c r="C20">
        <f t="shared" ref="C20:F20" si="3">(SUM(C15:C19) -MAX(C15:C19) -MIN(C15:C19))/((COUNT(C15:C19)-2)*1000)</f>
        <v>9.4440000000000008</v>
      </c>
      <c r="D20">
        <f t="shared" si="3"/>
        <v>88.593666666666664</v>
      </c>
      <c r="E20">
        <f t="shared" si="3"/>
        <v>117.53733333333334</v>
      </c>
      <c r="F20">
        <f t="shared" si="3"/>
        <v>433.93299999999999</v>
      </c>
      <c r="G20" t="s">
        <v>15</v>
      </c>
    </row>
    <row r="21" spans="1:8">
      <c r="A21" t="s">
        <v>13</v>
      </c>
      <c r="B21">
        <f t="shared" ref="B21:F21" si="4">STDEV(B15:B19)/1000</f>
        <v>1.1861446792023318</v>
      </c>
      <c r="C21">
        <f t="shared" si="4"/>
        <v>0.74626181732687014</v>
      </c>
      <c r="D21">
        <f t="shared" si="4"/>
        <v>2.8422004327631853</v>
      </c>
      <c r="E21">
        <f t="shared" si="4"/>
        <v>62.527649729539654</v>
      </c>
      <c r="F21">
        <f t="shared" si="4"/>
        <v>54.173254565329671</v>
      </c>
    </row>
    <row r="22" spans="1:8">
      <c r="A22" t="s">
        <v>14</v>
      </c>
      <c r="B22">
        <f>CONFIDENCE(0.05,B21,5)/2</f>
        <v>0.51984127385291112</v>
      </c>
      <c r="C22">
        <f t="shared" ref="C22:F22" si="5">CONFIDENCE(0.05,C21,5)/2</f>
        <v>0.32705765202932247</v>
      </c>
      <c r="D22">
        <f t="shared" si="5"/>
        <v>1.2456263720767231</v>
      </c>
      <c r="E22">
        <f t="shared" si="5"/>
        <v>27.403447198609349</v>
      </c>
      <c r="F22">
        <f t="shared" si="5"/>
        <v>23.742039361452328</v>
      </c>
    </row>
    <row r="24" spans="1:8">
      <c r="A24" s="1" t="s">
        <v>54</v>
      </c>
    </row>
    <row r="25" spans="1:8">
      <c r="A25" t="s">
        <v>53</v>
      </c>
      <c r="B25" t="s">
        <v>72</v>
      </c>
    </row>
    <row r="26" spans="1:8">
      <c r="A26" t="s">
        <v>6</v>
      </c>
      <c r="B26">
        <v>12184</v>
      </c>
      <c r="C26">
        <v>27940</v>
      </c>
      <c r="D26">
        <v>258573</v>
      </c>
      <c r="E26">
        <v>360240</v>
      </c>
    </row>
    <row r="27" spans="1:8">
      <c r="A27" t="s">
        <v>7</v>
      </c>
      <c r="B27">
        <v>10312</v>
      </c>
      <c r="C27">
        <v>26474</v>
      </c>
      <c r="D27">
        <v>330131</v>
      </c>
      <c r="E27">
        <v>434138</v>
      </c>
    </row>
    <row r="28" spans="1:8">
      <c r="A28" t="s">
        <v>8</v>
      </c>
      <c r="B28">
        <v>10281</v>
      </c>
      <c r="C28">
        <v>26427</v>
      </c>
      <c r="D28">
        <v>363329</v>
      </c>
      <c r="E28">
        <v>501718</v>
      </c>
    </row>
    <row r="29" spans="1:8">
      <c r="A29" t="s">
        <v>9</v>
      </c>
      <c r="B29">
        <v>10296</v>
      </c>
      <c r="C29">
        <v>26521</v>
      </c>
      <c r="D29">
        <v>355372</v>
      </c>
      <c r="E29">
        <v>502404</v>
      </c>
    </row>
    <row r="30" spans="1:8">
      <c r="A30" t="s">
        <v>10</v>
      </c>
      <c r="B30">
        <v>10328</v>
      </c>
      <c r="C30">
        <v>26832</v>
      </c>
      <c r="D30">
        <v>351270</v>
      </c>
      <c r="E30">
        <v>490673</v>
      </c>
    </row>
    <row r="31" spans="1:8">
      <c r="A31" t="s">
        <v>11</v>
      </c>
      <c r="B31">
        <f>(SUM(B26:B30) -MAX(B26:B30) -MIN(B26:B30))/((COUNT(B26:B30)-2)*1000)</f>
        <v>10.311999999999999</v>
      </c>
      <c r="C31">
        <f t="shared" ref="C31:E31" si="6">(SUM(C26:C30) -MAX(C26:C30) -MIN(C26:C30))/((COUNT(C26:C30)-2)*1000)</f>
        <v>26.609000000000002</v>
      </c>
      <c r="D31">
        <f t="shared" si="6"/>
        <v>345.59100000000001</v>
      </c>
      <c r="E31">
        <f t="shared" si="6"/>
        <v>475.50966666666665</v>
      </c>
      <c r="G31" t="s">
        <v>15</v>
      </c>
    </row>
    <row r="32" spans="1:8">
      <c r="A32" t="s">
        <v>13</v>
      </c>
      <c r="B32">
        <f t="shared" ref="B32:F32" si="7">STDEV(B26:B30)/1000</f>
        <v>0.84083303931279252</v>
      </c>
      <c r="C32">
        <f t="shared" si="7"/>
        <v>0.63567735526762914</v>
      </c>
      <c r="D32">
        <f t="shared" si="7"/>
        <v>42.701744373034693</v>
      </c>
      <c r="E32">
        <f t="shared" si="7"/>
        <v>61.393769079606017</v>
      </c>
      <c r="F32" t="e">
        <f t="shared" si="7"/>
        <v>#DIV/0!</v>
      </c>
    </row>
    <row r="33" spans="1:6">
      <c r="A33" t="s">
        <v>14</v>
      </c>
      <c r="B33">
        <f>CONFIDENCE(0.05,B32,5)/2</f>
        <v>0.36850455590958875</v>
      </c>
      <c r="C33">
        <f t="shared" ref="C33:F33" si="8">CONFIDENCE(0.05,C32,5)/2</f>
        <v>0.27859276521309223</v>
      </c>
      <c r="D33">
        <f t="shared" si="8"/>
        <v>18.714520732452055</v>
      </c>
      <c r="E33">
        <f t="shared" si="8"/>
        <v>26.906511224614118</v>
      </c>
      <c r="F33" t="e">
        <f t="shared" si="8"/>
        <v>#DIV/0!</v>
      </c>
    </row>
    <row r="35" spans="1:6">
      <c r="A35" s="1" t="s">
        <v>54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"/>
  <sheetViews>
    <sheetView topLeftCell="A10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10</vt:i4>
      </vt:variant>
      <vt:variant>
        <vt:lpstr>Charts</vt:lpstr>
      </vt:variant>
      <vt:variant>
        <vt:i4>20</vt:i4>
      </vt:variant>
      <vt:variant>
        <vt:lpstr>Named Ranges</vt:lpstr>
      </vt:variant>
      <vt:variant>
        <vt:i4>85</vt:i4>
      </vt:variant>
    </vt:vector>
  </HeadingPairs>
  <TitlesOfParts>
    <vt:vector size="115" baseType="lpstr">
      <vt:lpstr>int - 2k</vt:lpstr>
      <vt:lpstr>int - 10k</vt:lpstr>
      <vt:lpstr>int - 10p</vt:lpstr>
      <vt:lpstr>int - 10k 10p - faceoff</vt:lpstr>
      <vt:lpstr>str - 2k</vt:lpstr>
      <vt:lpstr>str - 10p</vt:lpstr>
      <vt:lpstr>bidir - initial</vt:lpstr>
      <vt:lpstr>bidir - se-nse</vt:lpstr>
      <vt:lpstr>int - 2k - fanout</vt:lpstr>
      <vt:lpstr>unused graphs</vt:lpstr>
      <vt:lpstr>GRAPH(i) Scale peers 2k init(20</vt:lpstr>
      <vt:lpstr>GRAPH(i) Scale peers 2k inc(20)</vt:lpstr>
      <vt:lpstr>GRAPH(i) Scale peers 10k inc(20</vt:lpstr>
      <vt:lpstr>GRAPH(i) Scale data 10p inc</vt:lpstr>
      <vt:lpstr>GRAPH(i) Scale data 10p all</vt:lpstr>
      <vt:lpstr>GRAPH(i) 10k faceoff</vt:lpstr>
      <vt:lpstr>GRAPH(s) Scale peers 2k inc(10)</vt:lpstr>
      <vt:lpstr>GRAPH(s) Scale data 10p</vt:lpstr>
      <vt:lpstr>GRAPH(i) bidir initial</vt:lpstr>
      <vt:lpstr>GRAPH(i) bidir se-nse 10%</vt:lpstr>
      <vt:lpstr>GRAPH(i) 2k fanout</vt:lpstr>
      <vt:lpstr>GRAPH(i) Scale data 10p all 2</vt:lpstr>
      <vt:lpstr>GRAPH(i) Scale peers 2k inc</vt:lpstr>
      <vt:lpstr>GRAPH(i) Scale peers 2k DRed</vt:lpstr>
      <vt:lpstr>GRAPH(i) Scale peers 2k non</vt:lpstr>
      <vt:lpstr>GRAPH Scale vs peers - int 10k</vt:lpstr>
      <vt:lpstr>GRAPH(s) Scale peers 2k inc</vt:lpstr>
      <vt:lpstr>GRAPH(i) Scale peers 2k DRed(20</vt:lpstr>
      <vt:lpstr>GRAPH(i) Scale peers 2k non(20)</vt:lpstr>
      <vt:lpstr>GRAPH(i) bidir se-nse 1%</vt:lpstr>
      <vt:lpstr>'bidir - se-nse'!_10p</vt:lpstr>
      <vt:lpstr>'int - 2k - fanout'!_10p</vt:lpstr>
      <vt:lpstr>'bidir - initial'!_10p.log</vt:lpstr>
      <vt:lpstr>'bidir - se-nse'!_10p.log</vt:lpstr>
      <vt:lpstr>'int - 10k'!_10p.log</vt:lpstr>
      <vt:lpstr>'int - 10k 10p - faceoff'!_10p.log</vt:lpstr>
      <vt:lpstr>'int - 10p'!_10p.log</vt:lpstr>
      <vt:lpstr>'int - 2k'!_10p.log</vt:lpstr>
      <vt:lpstr>'int - 2k - fanout'!_10p.log</vt:lpstr>
      <vt:lpstr>'str - 10p'!_10p.log</vt:lpstr>
      <vt:lpstr>'str - 2k'!_10p.log</vt:lpstr>
      <vt:lpstr>'bidir - se-nse'!_10p_1</vt:lpstr>
      <vt:lpstr>'int - 2k - fanout'!_10p_1</vt:lpstr>
      <vt:lpstr>'bidir - se-nse'!_20p</vt:lpstr>
      <vt:lpstr>'int - 2k - fanout'!_20p</vt:lpstr>
      <vt:lpstr>'str - 2k'!_20p</vt:lpstr>
      <vt:lpstr>'bidir - initial'!_20p.log</vt:lpstr>
      <vt:lpstr>'bidir - se-nse'!_20p.log</vt:lpstr>
      <vt:lpstr>'int - 10k'!_20p.log</vt:lpstr>
      <vt:lpstr>'int - 10k 10p - faceoff'!_20p.log</vt:lpstr>
      <vt:lpstr>'int - 10p'!_20p.log</vt:lpstr>
      <vt:lpstr>'int - 2k'!_20p.log</vt:lpstr>
      <vt:lpstr>'int - 2k - fanout'!_20p.log</vt:lpstr>
      <vt:lpstr>'str - 10p'!_20p.log</vt:lpstr>
      <vt:lpstr>'str - 2k'!_20p.log</vt:lpstr>
      <vt:lpstr>'bidir - se-nse'!_20p_1</vt:lpstr>
      <vt:lpstr>'int - 2k - fanout'!_20p_1</vt:lpstr>
      <vt:lpstr>'bidir - se-nse'!_30p</vt:lpstr>
      <vt:lpstr>'int - 2k - fanout'!_30p</vt:lpstr>
      <vt:lpstr>'str - 2k'!_30p</vt:lpstr>
      <vt:lpstr>'bidir - initial'!_30p.log</vt:lpstr>
      <vt:lpstr>'bidir - se-nse'!_30p.log</vt:lpstr>
      <vt:lpstr>'int - 10k'!_30p.log</vt:lpstr>
      <vt:lpstr>'int - 10k 10p - faceoff'!_30p.log</vt:lpstr>
      <vt:lpstr>'int - 10p'!_30p.log</vt:lpstr>
      <vt:lpstr>'int - 2k'!_30p.log</vt:lpstr>
      <vt:lpstr>'int - 2k - fanout'!_30p.log</vt:lpstr>
      <vt:lpstr>'str - 10p'!_30p.log</vt:lpstr>
      <vt:lpstr>'str - 2k'!_30p.log</vt:lpstr>
      <vt:lpstr>'bidir - se-nse'!_30p_1</vt:lpstr>
      <vt:lpstr>'int - 2k - fanout'!_30p_1</vt:lpstr>
      <vt:lpstr>'bidir - se-nse'!_40p</vt:lpstr>
      <vt:lpstr>'int - 2k - fanout'!_40p</vt:lpstr>
      <vt:lpstr>'bidir - initial'!_40p.log</vt:lpstr>
      <vt:lpstr>'bidir - se-nse'!_40p.log</vt:lpstr>
      <vt:lpstr>'int - 10k'!_40p.log</vt:lpstr>
      <vt:lpstr>'int - 10k 10p - faceoff'!_40p.log</vt:lpstr>
      <vt:lpstr>'int - 10p'!_40p.log</vt:lpstr>
      <vt:lpstr>'int - 2k'!_40p.log</vt:lpstr>
      <vt:lpstr>'int - 2k - fanout'!_40p.log</vt:lpstr>
      <vt:lpstr>'str - 10p'!_40p.log</vt:lpstr>
      <vt:lpstr>'str - 2k'!_40p.log</vt:lpstr>
      <vt:lpstr>'bidir - se-nse'!_40p_1</vt:lpstr>
      <vt:lpstr>'int - 2k - fanout'!_40p_1</vt:lpstr>
      <vt:lpstr>'bidir - se-nse'!_50p</vt:lpstr>
      <vt:lpstr>'int - 2k - fanout'!_50p</vt:lpstr>
      <vt:lpstr>'bidir - initial'!_50p.log</vt:lpstr>
      <vt:lpstr>'bidir - se-nse'!_50p.log</vt:lpstr>
      <vt:lpstr>'int - 10k'!_50p.log</vt:lpstr>
      <vt:lpstr>'int - 10k 10p - faceoff'!_50p.log</vt:lpstr>
      <vt:lpstr>'int - 10p'!_50p.log</vt:lpstr>
      <vt:lpstr>'int - 2k'!_50p.log</vt:lpstr>
      <vt:lpstr>'int - 2k - fanout'!_50p.log</vt:lpstr>
      <vt:lpstr>'str - 2k'!_50p.log</vt:lpstr>
      <vt:lpstr>'bidir - se-nse'!_50p_1</vt:lpstr>
      <vt:lpstr>'int - 2k - fanout'!_50p_1</vt:lpstr>
      <vt:lpstr>'bidir - initial'!_60p.log</vt:lpstr>
      <vt:lpstr>'int - 10k'!_60p.log</vt:lpstr>
      <vt:lpstr>'int - 10k 10p - faceoff'!_60p.log</vt:lpstr>
      <vt:lpstr>'int - 2k'!_60p.log</vt:lpstr>
      <vt:lpstr>'bidir - se-nse'!_60p_12</vt:lpstr>
      <vt:lpstr>'bidir - se-nse'!_60p_13</vt:lpstr>
      <vt:lpstr>'bidir - se-nse'!_60p_2</vt:lpstr>
      <vt:lpstr>'bidir - se-nse'!_60p_3</vt:lpstr>
      <vt:lpstr>'bidir - se-nse'!_60p_4</vt:lpstr>
      <vt:lpstr>'bidir - se-nse'!_60p_5</vt:lpstr>
      <vt:lpstr>'bidir - initial'!_70p.log</vt:lpstr>
      <vt:lpstr>'bidir - se-nse'!_70p.log</vt:lpstr>
      <vt:lpstr>'int - 10k'!_70p.log</vt:lpstr>
      <vt:lpstr>'int - 10k 10p - faceoff'!_70p.log</vt:lpstr>
      <vt:lpstr>'int - 10p'!_70p.log</vt:lpstr>
      <vt:lpstr>'int - 2k'!_70p.log</vt:lpstr>
      <vt:lpstr>'int - 2k - fanout'!_70p.log</vt:lpstr>
      <vt:lpstr>'str - 10p'!_70p.log</vt:lpstr>
      <vt:lpstr>'str - 2k'!_70p.log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SEAS</dc:creator>
  <cp:lastModifiedBy>SEAS</cp:lastModifiedBy>
  <cp:lastPrinted>2009-01-28T22:06:24Z</cp:lastPrinted>
  <dcterms:created xsi:type="dcterms:W3CDTF">2009-01-09T21:17:26Z</dcterms:created>
  <dcterms:modified xsi:type="dcterms:W3CDTF">2009-01-28T22:06:31Z</dcterms:modified>
</cp:coreProperties>
</file>