
<file path=[Content_Types].xml><?xml version="1.0" encoding="utf-8"?>
<Types xmlns="http://schemas.openxmlformats.org/package/2006/content-types">
  <Override PartName="/xl/queryTables/queryTable59.xml" ContentType="application/vnd.openxmlformats-officedocument.spreadsheetml.queryTable+xml"/>
  <Override PartName="/xl/queryTables/queryTable77.xml" ContentType="application/vnd.openxmlformats-officedocument.spreadsheetml.queryTabl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queryTables/queryTable19.xml" ContentType="application/vnd.openxmlformats-officedocument.spreadsheetml.queryTable+xml"/>
  <Override PartName="/xl/charts/chart4.xml" ContentType="application/vnd.openxmlformats-officedocument.drawingml.chart+xml"/>
  <Override PartName="/xl/queryTables/queryTable37.xml" ContentType="application/vnd.openxmlformats-officedocument.spreadsheetml.queryTable+xml"/>
  <Override PartName="/xl/drawings/drawing6.xml" ContentType="application/vnd.openxmlformats-officedocument.drawing+xml"/>
  <Override PartName="/xl/queryTables/queryTable48.xml" ContentType="application/vnd.openxmlformats-officedocument.spreadsheetml.queryTable+xml"/>
  <Override PartName="/xl/queryTables/queryTable66.xml" ContentType="application/vnd.openxmlformats-officedocument.spreadsheetml.queryTable+xml"/>
  <Override PartName="/xl/queryTables/queryTable84.xml" ContentType="application/vnd.openxmlformats-officedocument.spreadsheetml.queryTable+xml"/>
  <Override PartName="/xl/worksheets/sheet7.xml" ContentType="application/vnd.openxmlformats-officedocument.spreadsheetml.worksheet+xml"/>
  <Override PartName="/xl/chartsheets/sheet13.xml" ContentType="application/vnd.openxmlformats-officedocument.spreadsheetml.chartsheet+xml"/>
  <Override PartName="/xl/queryTables/queryTable26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55.xml" ContentType="application/vnd.openxmlformats-officedocument.spreadsheetml.queryTable+xml"/>
  <Override PartName="/xl/queryTables/queryTable73.xml" ContentType="application/vnd.openxmlformats-officedocument.spreadsheetml.queryTable+xml"/>
  <Default Extension="xml" ContentType="application/xml"/>
  <Override PartName="/xl/queryTables/queryTable15.xml" ContentType="application/vnd.openxmlformats-officedocument.spreadsheetml.queryTable+xml"/>
  <Override PartName="/xl/drawings/drawing2.xml" ContentType="application/vnd.openxmlformats-officedocument.drawing+xml"/>
  <Override PartName="/xl/queryTables/queryTable33.xml" ContentType="application/vnd.openxmlformats-officedocument.spreadsheetml.queryTable+xml"/>
  <Override PartName="/xl/queryTables/queryTable62.xml" ContentType="application/vnd.openxmlformats-officedocument.spreadsheetml.queryTable+xml"/>
  <Override PartName="/xl/queryTables/queryTable80.xml" ContentType="application/vnd.openxmlformats-officedocument.spreadsheetml.queryTable+xml"/>
  <Override PartName="/xl/worksheets/sheet3.xml" ContentType="application/vnd.openxmlformats-officedocument.spreadsheetml.worksheet+xml"/>
  <Override PartName="/xl/chartsheets/sheet8.xml" ContentType="application/vnd.openxmlformats-officedocument.spreadsheetml.chartsheet+xml"/>
  <Override PartName="/xl/queryTables/queryTable22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51.xml" ContentType="application/vnd.openxmlformats-officedocument.spreadsheetml.queryTable+xml"/>
  <Override PartName="/xl/drawings/drawing13.xml" ContentType="application/vnd.openxmlformats-officedocument.drawing+xml"/>
  <Override PartName="/xl/chartsheets/sheet4.xml" ContentType="application/vnd.openxmlformats-officedocument.spreadsheetml.chartsheet+xml"/>
  <Override PartName="/xl/externalLinks/externalLink1.xml" ContentType="application/vnd.openxmlformats-officedocument.spreadsheetml.externalLink+xml"/>
  <Override PartName="/xl/queryTables/queryTable8.xml" ContentType="application/vnd.openxmlformats-officedocument.spreadsheetml.queryTable+xml"/>
  <Override PartName="/xl/queryTables/queryTable11.xml" ContentType="application/vnd.openxmlformats-officedocument.spreadsheetml.queryTable+xml"/>
  <Override PartName="/xl/sharedStrings.xml" ContentType="application/vnd.openxmlformats-officedocument.spreadsheetml.sharedStrings+xml"/>
  <Override PartName="/xl/queryTables/queryTable4.xml" ContentType="application/vnd.openxmlformats-officedocument.spreadsheetml.queryTable+xml"/>
  <Override PartName="/xl/charts/chart9.xml" ContentType="application/vnd.openxmlformats-officedocument.drawingml.chart+xml"/>
  <Override PartName="/xl/charts/chart12.xml" ContentType="application/vnd.openxmlformats-officedocument.drawingml.chart+xml"/>
  <Default Extension="bin" ContentType="application/vnd.openxmlformats-officedocument.spreadsheetml.printerSettings"/>
  <Override PartName="/xl/queryTables/queryTable49.xml" ContentType="application/vnd.openxmlformats-officedocument.spreadsheetml.queryTable+xml"/>
  <Override PartName="/xl/queryTables/queryTable67.xml" ContentType="application/vnd.openxmlformats-officedocument.spreadsheetml.queryTable+xml"/>
  <Override PartName="/xl/queryTables/queryTable78.xml" ContentType="application/vnd.openxmlformats-officedocument.spreadsheetml.queryTable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queryTables/queryTable38.xml" ContentType="application/vnd.openxmlformats-officedocument.spreadsheetml.queryTable+xml"/>
  <Override PartName="/xl/drawings/drawing7.xml" ContentType="application/vnd.openxmlformats-officedocument.drawing+xml"/>
  <Override PartName="/xl/queryTables/queryTable56.xml" ContentType="application/vnd.openxmlformats-officedocument.spreadsheetml.queryTable+xml"/>
  <Override PartName="/xl/queryTables/queryTable85.xml" ContentType="application/vnd.openxmlformats-officedocument.spreadsheetml.queryTable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4.xml" ContentType="application/vnd.openxmlformats-officedocument.spreadsheetml.chartsheet+xml"/>
  <Override PartName="/xl/queryTables/queryTable16.xml" ContentType="application/vnd.openxmlformats-officedocument.spreadsheetml.queryTable+xml"/>
  <Override PartName="/xl/charts/chart3.xml" ContentType="application/vnd.openxmlformats-officedocument.drawingml.chart+xml"/>
  <Override PartName="/xl/queryTables/queryTable27.xml" ContentType="application/vnd.openxmlformats-officedocument.spreadsheetml.queryTable+xml"/>
  <Override PartName="/xl/queryTables/queryTable36.xml" ContentType="application/vnd.openxmlformats-officedocument.spreadsheetml.queryTable+xml"/>
  <Override PartName="/xl/drawings/drawing5.xml" ContentType="application/vnd.openxmlformats-officedocument.drawing+xml"/>
  <Override PartName="/xl/queryTables/queryTable45.xml" ContentType="application/vnd.openxmlformats-officedocument.spreadsheetml.queryTable+xml"/>
  <Override PartName="/xl/queryTables/queryTable54.xml" ContentType="application/vnd.openxmlformats-officedocument.spreadsheetml.queryTable+xml"/>
  <Override PartName="/xl/queryTables/queryTable63.xml" ContentType="application/vnd.openxmlformats-officedocument.spreadsheetml.queryTable+xml"/>
  <Override PartName="/xl/queryTables/queryTable74.xml" ContentType="application/vnd.openxmlformats-officedocument.spreadsheetml.queryTable+xml"/>
  <Override PartName="/xl/queryTables/queryTable83.xml" ContentType="application/vnd.openxmlformats-officedocument.spreadsheetml.queryTable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heets/sheet9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12.xml" ContentType="application/vnd.openxmlformats-officedocument.spreadsheetml.chartsheet+xml"/>
  <Override PartName="/xl/charts/chart1.xml" ContentType="application/vnd.openxmlformats-officedocument.drawingml.chart+xml"/>
  <Override PartName="/xl/queryTables/queryTable14.xml" ContentType="application/vnd.openxmlformats-officedocument.spreadsheetml.queryTable+xml"/>
  <Override PartName="/xl/drawings/drawing3.xml" ContentType="application/vnd.openxmlformats-officedocument.drawing+xml"/>
  <Override PartName="/xl/queryTables/queryTable25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52.xml" ContentType="application/vnd.openxmlformats-officedocument.spreadsheetml.queryTable+xml"/>
  <Override PartName="/xl/queryTables/queryTable61.xml" ContentType="application/vnd.openxmlformats-officedocument.spreadsheetml.queryTable+xml"/>
  <Override PartName="/xl/queryTables/queryTable72.xml" ContentType="application/vnd.openxmlformats-officedocument.spreadsheetml.queryTable+xml"/>
  <Override PartName="/xl/queryTables/queryTable81.xml" ContentType="application/vnd.openxmlformats-officedocument.spreadsheetml.query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10.xml" ContentType="application/vnd.openxmlformats-officedocument.spreadsheetml.chartsheet+xml"/>
  <Override PartName="/xl/drawings/drawing1.xml" ContentType="application/vnd.openxmlformats-officedocument.drawing+xml"/>
  <Override PartName="/xl/queryTables/queryTable9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70.xml" ContentType="application/vnd.openxmlformats-officedocument.spreadsheetml.queryTable+xml"/>
  <Override PartName="/xl/drawings/drawing14.xml" ContentType="application/vnd.openxmlformats-officedocument.drawing+xml"/>
  <Override PartName="/xl/chartsheets/sheet5.xml" ContentType="application/vnd.openxmlformats-officedocument.spreadsheetml.chartsheet+xml"/>
  <Override PartName="/xl/queryTables/queryTable7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30.xml" ContentType="application/vnd.openxmlformats-officedocument.spreadsheetml.queryTable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chartsheets/sheet3.xml" ContentType="application/vnd.openxmlformats-officedocument.spreadsheetml.chartsheet+xml"/>
  <Override PartName="/xl/queryTables/queryTable5.xml" ContentType="application/vnd.openxmlformats-officedocument.spreadsheetml.queryTab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heets/sheet1.xml" ContentType="application/vnd.openxmlformats-officedocument.spreadsheetml.chartsheet+xml"/>
  <Override PartName="/xl/queryTables/queryTable3.xml" ContentType="application/vnd.openxmlformats-officedocument.spreadsheetml.queryTable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queryTables/queryTable79.xml" ContentType="application/vnd.openxmlformats-officedocument.spreadsheetml.queryTable+xml"/>
  <Override PartName="/docProps/core.xml" ContentType="application/vnd.openxmlformats-package.core-properties+xml"/>
  <Override PartName="/xl/queryTables/queryTable1.xml" ContentType="application/vnd.openxmlformats-officedocument.spreadsheetml.queryTable+xml"/>
  <Override PartName="/xl/queryTables/queryTable39.xml" ContentType="application/vnd.openxmlformats-officedocument.spreadsheetml.queryTable+xml"/>
  <Override PartName="/xl/charts/chart6.xml" ContentType="application/vnd.openxmlformats-officedocument.drawingml.chart+xml"/>
  <Override PartName="/xl/queryTables/queryTable68.xml" ContentType="application/vnd.openxmlformats-officedocument.spreadsheetml.query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queryTables/queryTable28.xml" ContentType="application/vnd.openxmlformats-officedocument.spreadsheetml.queryTable+xml"/>
  <Override PartName="/xl/queryTables/queryTable46.xml" ContentType="application/vnd.openxmlformats-officedocument.spreadsheetml.queryTable+xml"/>
  <Override PartName="/xl/drawings/drawing8.xml" ContentType="application/vnd.openxmlformats-officedocument.drawing+xml"/>
  <Override PartName="/xl/queryTables/queryTable57.xml" ContentType="application/vnd.openxmlformats-officedocument.spreadsheetml.queryTable+xml"/>
  <Override PartName="/xl/queryTables/queryTable75.xml" ContentType="application/vnd.openxmlformats-officedocument.spreadsheetml.queryTable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queryTables/queryTable17.xml" ContentType="application/vnd.openxmlformats-officedocument.spreadsheetml.queryTable+xml"/>
  <Override PartName="/xl/drawings/drawing4.xml" ContentType="application/vnd.openxmlformats-officedocument.drawing+xml"/>
  <Override PartName="/xl/queryTables/queryTable35.xml" ContentType="application/vnd.openxmlformats-officedocument.spreadsheetml.queryTable+xml"/>
  <Override PartName="/xl/queryTables/queryTable64.xml" ContentType="application/vnd.openxmlformats-officedocument.spreadsheetml.queryTable+xml"/>
  <Override PartName="/xl/queryTables/queryTable82.xml" ContentType="application/vnd.openxmlformats-officedocument.spreadsheetml.queryTable+xml"/>
  <Default Extension="rels" ContentType="application/vnd.openxmlformats-package.relationships+xml"/>
  <Override PartName="/xl/worksheets/sheet5.xml" ContentType="application/vnd.openxmlformats-officedocument.spreadsheetml.worksheet+xml"/>
  <Override PartName="/xl/chartsheets/sheet11.xml" ContentType="application/vnd.openxmlformats-officedocument.spreadsheetml.chartsheet+xml"/>
  <Override PartName="/xl/queryTables/queryTable24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53.xml" ContentType="application/vnd.openxmlformats-officedocument.spreadsheetml.queryTable+xml"/>
  <Override PartName="/xl/queryTables/queryTable71.xml" ContentType="application/vnd.openxmlformats-officedocument.spreadsheetml.queryTable+xml"/>
  <Override PartName="/xl/drawings/drawing15.xml" ContentType="application/vnd.openxmlformats-officedocument.drawing+xml"/>
  <Override PartName="/xl/chartsheets/sheet6.xml" ContentType="application/vnd.openxmlformats-officedocument.spreadsheetml.chartsheet+xml"/>
  <Override PartName="/xl/connections.xml" ContentType="application/vnd.openxmlformats-officedocument.spreadsheetml.connections+xml"/>
  <Override PartName="/xl/queryTables/queryTable13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60.xml" ContentType="application/vnd.openxmlformats-officedocument.spreadsheetml.queryTable+xml"/>
  <Override PartName="/xl/worksheets/sheet1.xml" ContentType="application/vnd.openxmlformats-officedocument.spreadsheetml.worksheet+xml"/>
  <Override PartName="/xl/queryTables/queryTable20.xml" ContentType="application/vnd.openxmlformats-officedocument.spreadsheetml.queryTable+xml"/>
  <Override PartName="/xl/drawings/drawing11.xml" ContentType="application/vnd.openxmlformats-officedocument.drawing+xml"/>
  <Override PartName="/xl/chartsheets/sheet2.xml" ContentType="application/vnd.openxmlformats-officedocument.spreadsheetml.chartsheet+xml"/>
  <Override PartName="/xl/queryTables/queryTable6.xml" ContentType="application/vnd.openxmlformats-officedocument.spreadsheetml.queryTable+xml"/>
  <Override PartName="/xl/charts/chart14.xml" ContentType="application/vnd.openxmlformats-officedocument.drawingml.chart+xml"/>
  <Override PartName="/xl/queryTables/queryTable69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7.xml" ContentType="application/vnd.openxmlformats-officedocument.drawingml.chart+xml"/>
  <Override PartName="/xl/queryTables/queryTable58.xml" ContentType="application/vnd.openxmlformats-officedocument.spreadsheetml.query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queryTables/queryTable1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65.xml" ContentType="application/vnd.openxmlformats-officedocument.spreadsheetml.queryTable+xml"/>
  <Override PartName="/xl/queryTables/queryTable76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0" windowWidth="18732" windowHeight="11700" activeTab="6"/>
  </bookViews>
  <sheets>
    <sheet name="int - 2k" sheetId="1" r:id="rId1"/>
    <sheet name="GRAPH Scale vs peers - int 2k" sheetId="17" r:id="rId2"/>
    <sheet name="int - 4k" sheetId="4" r:id="rId3"/>
    <sheet name="GRAPH Scale vs peers - int 4k" sheetId="18" r:id="rId4"/>
    <sheet name="int - 6k" sheetId="6" r:id="rId5"/>
    <sheet name="GRAPH Scale vs peers - int 6k" sheetId="19" r:id="rId6"/>
    <sheet name="int - 8k" sheetId="7" r:id="rId7"/>
    <sheet name="GRAPH Scale vs peers - int 8k" sheetId="20" r:id="rId8"/>
    <sheet name="int - 10k" sheetId="8" r:id="rId9"/>
    <sheet name="GRAPH Scale vs peers - int 10k" sheetId="21" r:id="rId10"/>
    <sheet name="int - 10p" sheetId="31" r:id="rId11"/>
    <sheet name="GRAPH Scale vs data - int 10p" sheetId="28" r:id="rId12"/>
    <sheet name="str - 2k" sheetId="9" r:id="rId13"/>
    <sheet name="GRAPH Scale vs peers - str 2k" sheetId="23" r:id="rId14"/>
    <sheet name="str - 4k" sheetId="10" r:id="rId15"/>
    <sheet name="GRAPH Scale vs peers - str 4k" sheetId="24" r:id="rId16"/>
    <sheet name="str - 6k" sheetId="11" r:id="rId17"/>
    <sheet name="GRAPH Scale vs peers - str  6k" sheetId="25" r:id="rId18"/>
    <sheet name="str - 8k" sheetId="12" r:id="rId19"/>
    <sheet name="GRAPH Scale vs peers - str 8k" sheetId="26" r:id="rId20"/>
    <sheet name="str - 10k" sheetId="13" r:id="rId21"/>
    <sheet name="GRAPH Scale vs peers - str 10k" sheetId="27" r:id="rId22"/>
    <sheet name="str - 10p" sheetId="32" r:id="rId23"/>
    <sheet name="GRAPH Scale vs data - str 10p" sheetId="33" r:id="rId24"/>
    <sheet name="int - empty" sheetId="5" r:id="rId25"/>
    <sheet name="Sheet1" sheetId="14" r:id="rId26"/>
    <sheet name="GRAPH 2 y axes sample" sheetId="15" r:id="rId27"/>
    <sheet name="GRAPH 1 y axis sample" sheetId="16" r:id="rId28"/>
  </sheets>
  <externalReferences>
    <externalReference r:id="rId29"/>
  </externalReferences>
  <definedNames>
    <definedName name="_10_noninc.log" localSheetId="2">'int - 4k'!#REF!</definedName>
    <definedName name="_10_noninc.log_1" localSheetId="0">'int - 2k'!#REF!</definedName>
    <definedName name="_10p.log" localSheetId="8">'int - 10k'!$B$3:$C$71</definedName>
    <definedName name="_10p.log" localSheetId="10">'int - 10p'!$B$3:$C$71</definedName>
    <definedName name="_10p.log" localSheetId="0">'int - 2k'!$B$3:$C$71</definedName>
    <definedName name="_10p.log" localSheetId="2">'int - 4k'!$B$2:$C$71</definedName>
    <definedName name="_10p.log" localSheetId="4">'int - 6k'!$B$3:$C$71</definedName>
    <definedName name="_10p.log" localSheetId="6">'int - 8k'!$B$3:$C$71</definedName>
    <definedName name="_10p.log" localSheetId="24">'int - empty'!$B$3:$C$71</definedName>
    <definedName name="_10p.log" localSheetId="20">'str - 10k'!$B$3:$C$71</definedName>
    <definedName name="_10p.log" localSheetId="22">'str - 10p'!$B$3:$C$71</definedName>
    <definedName name="_10p.log" localSheetId="12">'str - 2k'!$B$3:$C$71</definedName>
    <definedName name="_10p.log" localSheetId="14">'str - 4k'!$B$3:$C$71</definedName>
    <definedName name="_10p.log" localSheetId="16">'str - 6k'!$B$3:$C$71</definedName>
    <definedName name="_10p.log" localSheetId="18">'str - 8k'!$B$3:$C$71</definedName>
    <definedName name="_10p.log_1" localSheetId="8">'int - 10k'!#REF!</definedName>
    <definedName name="_10p.log_1" localSheetId="2">'int - 4k'!#REF!</definedName>
    <definedName name="_10p.log_1" localSheetId="4">'int - 6k'!#REF!</definedName>
    <definedName name="_10p.log_1" localSheetId="20">'str - 10k'!#REF!</definedName>
    <definedName name="_10p.log_1" localSheetId="14">'str - 4k'!#REF!</definedName>
    <definedName name="_10p.log_1" localSheetId="16">'str - 6k'!#REF!</definedName>
    <definedName name="_10p.log_1" localSheetId="18">'str - 8k'!#REF!</definedName>
    <definedName name="_10p.log_2" localSheetId="20">'str - 10k'!#REF!</definedName>
    <definedName name="_10p.log_2" localSheetId="16">'str - 6k'!#REF!</definedName>
    <definedName name="_10p.log_2" localSheetId="18">'str - 8k'!#REF!</definedName>
    <definedName name="_12p.log" localSheetId="8">'int - 10k'!#REF!</definedName>
    <definedName name="_12p.log" localSheetId="4">'int - 6k'!#REF!</definedName>
    <definedName name="_12p.log" localSheetId="16">'str - 6k'!#REF!</definedName>
    <definedName name="_12p.log" localSheetId="18">'str - 8k'!#REF!</definedName>
    <definedName name="_14p.log" localSheetId="8">'int - 10k'!#REF!</definedName>
    <definedName name="_14p.log" localSheetId="4">'int - 6k'!#REF!</definedName>
    <definedName name="_14p.log" localSheetId="16">'str - 6k'!#REF!</definedName>
    <definedName name="_15_noninc.log" localSheetId="2">'int - 4k'!#REF!</definedName>
    <definedName name="_15p.log" localSheetId="2">'int - 4k'!#REF!</definedName>
    <definedName name="_15p.log" localSheetId="20">'str - 10k'!#REF!</definedName>
    <definedName name="_15p.log" localSheetId="14">'str - 4k'!#REF!</definedName>
    <definedName name="_15p.log" localSheetId="16">'str - 6k'!#REF!</definedName>
    <definedName name="_15p.log" localSheetId="18">'str - 8k'!#REF!</definedName>
    <definedName name="_16p.log" localSheetId="4">'int - 6k'!#REF!</definedName>
    <definedName name="_16p.log" localSheetId="16">'str - 6k'!#REF!</definedName>
    <definedName name="_18p.log" localSheetId="4">'int - 6k'!#REF!</definedName>
    <definedName name="_20_noninc.log" localSheetId="0">'int - 2k'!#REF!</definedName>
    <definedName name="_20_noninc.log" localSheetId="2">'int - 4k'!#REF!</definedName>
    <definedName name="_20_noninc.log_1" localSheetId="0">'int - 2k'!#REF!</definedName>
    <definedName name="_20p.log" localSheetId="8">'int - 10k'!$C$3:$C$68</definedName>
    <definedName name="_20p.log" localSheetId="10">'int - 10p'!$C$3:$C$68</definedName>
    <definedName name="_20p.log" localSheetId="0">'int - 2k'!$C$3:$C$68</definedName>
    <definedName name="_20p.log" localSheetId="2">'int - 4k'!$C$2:$C$68</definedName>
    <definedName name="_20p.log" localSheetId="4">'int - 6k'!$C$3:$C$68</definedName>
    <definedName name="_20p.log" localSheetId="6">'int - 8k'!$C$3:$C$68</definedName>
    <definedName name="_20p.log" localSheetId="24">'int - empty'!$C$3:$C$68</definedName>
    <definedName name="_20p.log" localSheetId="20">'str - 10k'!$C$3:$C$68</definedName>
    <definedName name="_20p.log" localSheetId="22">'str - 10p'!$C$3:$C$68</definedName>
    <definedName name="_20p.log" localSheetId="12">'str - 2k'!$C$3:$C$68</definedName>
    <definedName name="_20p.log" localSheetId="14">'str - 4k'!$C$3:$C$68</definedName>
    <definedName name="_20p.log" localSheetId="16">'str - 6k'!$C$3:$C$68</definedName>
    <definedName name="_20p.log" localSheetId="18">'str - 8k'!$C$3:$C$68</definedName>
    <definedName name="_20p.log_1" localSheetId="2">'int - 4k'!#REF!</definedName>
    <definedName name="_20p.log_1" localSheetId="4">'int - 6k'!#REF!</definedName>
    <definedName name="_20p.log_1" localSheetId="20">'str - 10k'!#REF!</definedName>
    <definedName name="_20p.log_1" localSheetId="14">'str - 4k'!#REF!</definedName>
    <definedName name="_20p.log_1" localSheetId="16">'str - 6k'!#REF!</definedName>
    <definedName name="_20p.log_1" localSheetId="18">'str - 8k'!#REF!</definedName>
    <definedName name="_22p.log" localSheetId="4">'int - 6k'!#REF!</definedName>
    <definedName name="_25_noninc.log" localSheetId="2">'int - 4k'!#REF!</definedName>
    <definedName name="_25p.log" localSheetId="2">'int - 4k'!#REF!</definedName>
    <definedName name="_25p.log" localSheetId="20">'str - 10k'!#REF!</definedName>
    <definedName name="_25p.log" localSheetId="14">'str - 4k'!#REF!</definedName>
    <definedName name="_25p.log" localSheetId="16">'str - 6k'!#REF!</definedName>
    <definedName name="_25p.log" localSheetId="18">'str - 8k'!#REF!</definedName>
    <definedName name="_2p.log" localSheetId="8">'int - 10k'!#REF!</definedName>
    <definedName name="_2p.log" localSheetId="4">'int - 6k'!#REF!</definedName>
    <definedName name="_2p.log" localSheetId="20">'str - 10k'!#REF!</definedName>
    <definedName name="_2p.log" localSheetId="16">'str - 6k'!#REF!</definedName>
    <definedName name="_2p.log" localSheetId="18">'str - 8k'!#REF!</definedName>
    <definedName name="_30_noninc.log" localSheetId="0">'int - 2k'!#REF!</definedName>
    <definedName name="_30_noninc.log" localSheetId="2">'int - 4k'!#REF!</definedName>
    <definedName name="_30_noninc.log_1" localSheetId="0">'int - 2k'!#REF!</definedName>
    <definedName name="_30p.log" localSheetId="8">'int - 10k'!$D$3:$D$68</definedName>
    <definedName name="_30p.log" localSheetId="10">'int - 10p'!$D$3:$D$68</definedName>
    <definedName name="_30p.log" localSheetId="0">'int - 2k'!$D$3:$D$68</definedName>
    <definedName name="_30p.log" localSheetId="2">'int - 4k'!$D$2:$D$68</definedName>
    <definedName name="_30p.log" localSheetId="4">'int - 6k'!$D$3:$D$68</definedName>
    <definedName name="_30p.log" localSheetId="6">'int - 8k'!$D$3:$D$68</definedName>
    <definedName name="_30p.log" localSheetId="24">'int - empty'!$D$3:$D$68</definedName>
    <definedName name="_30p.log" localSheetId="20">'str - 10k'!$D$3:$D$68</definedName>
    <definedName name="_30p.log" localSheetId="22">'str - 10p'!$D$3:$D$68</definedName>
    <definedName name="_30p.log" localSheetId="12">'str - 2k'!$D$3:$D$68</definedName>
    <definedName name="_30p.log" localSheetId="14">'str - 4k'!$D$3:$D$68</definedName>
    <definedName name="_30p.log" localSheetId="16">'str - 6k'!$D$3:$D$68</definedName>
    <definedName name="_30p.log" localSheetId="18">'str - 8k'!$D$3:$D$68</definedName>
    <definedName name="_30p.log_1" localSheetId="2">'int - 4k'!#REF!</definedName>
    <definedName name="_35_noninc.log" localSheetId="2">'int - 4k'!#REF!</definedName>
    <definedName name="_35p.log" localSheetId="2">'int - 4k'!$J$33:$L$36</definedName>
    <definedName name="_40p.log" localSheetId="8">'int - 10k'!$E$3:$E$68</definedName>
    <definedName name="_40p.log" localSheetId="10">'int - 10p'!$E$3:$E$68</definedName>
    <definedName name="_40p.log" localSheetId="0">'int - 2k'!$E$3:$E$68</definedName>
    <definedName name="_40p.log" localSheetId="2">'int - 4k'!$E$2:$E$68</definedName>
    <definedName name="_40p.log" localSheetId="4">'int - 6k'!$E$3:$E$68</definedName>
    <definedName name="_40p.log" localSheetId="6">'int - 8k'!$E$3:$E$68</definedName>
    <definedName name="_40p.log" localSheetId="24">'int - empty'!$E$3:$E$68</definedName>
    <definedName name="_40p.log" localSheetId="20">'str - 10k'!$E$3:$E$68</definedName>
    <definedName name="_40p.log" localSheetId="22">'str - 10p'!$E$3:$E$68</definedName>
    <definedName name="_40p.log" localSheetId="12">'str - 2k'!$E$3:$E$68</definedName>
    <definedName name="_40p.log" localSheetId="14">'str - 4k'!$E$3:$E$68</definedName>
    <definedName name="_40p.log" localSheetId="16">'str - 6k'!$E$3:$E$68</definedName>
    <definedName name="_40p.log" localSheetId="18">'str - 8k'!$E$3:$E$68</definedName>
    <definedName name="_4p.log" localSheetId="8">'int - 10k'!#REF!</definedName>
    <definedName name="_4p.log" localSheetId="4">'int - 6k'!#REF!</definedName>
    <definedName name="_4p.log" localSheetId="20">'str - 10k'!#REF!</definedName>
    <definedName name="_4p.log" localSheetId="16">'str - 6k'!#REF!</definedName>
    <definedName name="_4p.log" localSheetId="18">'str - 8k'!#REF!</definedName>
    <definedName name="_5_noninc.log" localSheetId="2">'int - 4k'!#REF!</definedName>
    <definedName name="_50_noninc.log" localSheetId="0">'int - 2k'!#REF!</definedName>
    <definedName name="_50_noninc.log_1" localSheetId="0">'int - 2k'!#REF!</definedName>
    <definedName name="_50p.log" localSheetId="8">'int - 10k'!$F$3:$F$68</definedName>
    <definedName name="_50p.log" localSheetId="10">'int - 10p'!$F$3:$F$68</definedName>
    <definedName name="_50p.log" localSheetId="0">'int - 2k'!$F$3:$F$68</definedName>
    <definedName name="_50p.log" localSheetId="2">'int - 4k'!$F$2:$F$68</definedName>
    <definedName name="_50p.log" localSheetId="4">'int - 6k'!$F$3:$F$68</definedName>
    <definedName name="_50p.log" localSheetId="6">'int - 8k'!$F$3:$F$68</definedName>
    <definedName name="_50p.log" localSheetId="24">'int - empty'!$F$3:$F$68</definedName>
    <definedName name="_50p.log" localSheetId="20">'str - 10k'!$F$3:$F$68</definedName>
    <definedName name="_50p.log" localSheetId="22">'str - 10p'!$F$3:$F$68</definedName>
    <definedName name="_50p.log" localSheetId="12">'str - 2k'!$F$3:$F$68</definedName>
    <definedName name="_50p.log" localSheetId="14">'str - 4k'!$F$3:$F$68</definedName>
    <definedName name="_50p.log" localSheetId="16">'str - 6k'!$F$3:$F$68</definedName>
    <definedName name="_50p.log" localSheetId="18">'str - 8k'!$F$3:$F$68</definedName>
    <definedName name="_5p.log" localSheetId="2">'int - 4k'!#REF!</definedName>
    <definedName name="_5p.log" localSheetId="20">'str - 10k'!#REF!</definedName>
    <definedName name="_5p.log" localSheetId="14">'str - 4k'!#REF!</definedName>
    <definedName name="_5p.log" localSheetId="16">'str - 6k'!#REF!</definedName>
    <definedName name="_5p.log" localSheetId="18">'str - 8k'!#REF!</definedName>
    <definedName name="_60p.log" localSheetId="8">'int - 10k'!$G$3:$G$68</definedName>
    <definedName name="_60p.log" localSheetId="10">'int - 10p'!#REF!</definedName>
    <definedName name="_60p.log" localSheetId="0">'int - 2k'!$G$3:$G$68</definedName>
    <definedName name="_60p.log" localSheetId="2">'int - 4k'!$G$2:$G$68</definedName>
    <definedName name="_60p.log" localSheetId="4">'int - 6k'!$G$3:$G$68</definedName>
    <definedName name="_60p.log" localSheetId="6">'int - 8k'!$G$3:$G$68</definedName>
    <definedName name="_60p.log" localSheetId="24">'int - empty'!$G$3:$G$68</definedName>
    <definedName name="_60p.log" localSheetId="20">'str - 10k'!#REF!</definedName>
    <definedName name="_60p.log" localSheetId="22">'str - 10p'!#REF!</definedName>
    <definedName name="_60p.log" localSheetId="12">'str - 2k'!#REF!</definedName>
    <definedName name="_60p.log" localSheetId="14">'str - 4k'!#REF!</definedName>
    <definedName name="_60p.log" localSheetId="16">'str - 6k'!#REF!</definedName>
    <definedName name="_60p.log" localSheetId="18">'str - 8k'!#REF!</definedName>
    <definedName name="_6p.log" localSheetId="8">'int - 10k'!#REF!</definedName>
    <definedName name="_6p.log" localSheetId="4">'int - 6k'!#REF!</definedName>
    <definedName name="_6p.log" localSheetId="20">'str - 10k'!#REF!</definedName>
    <definedName name="_6p.log" localSheetId="16">'str - 6k'!#REF!</definedName>
    <definedName name="_6p.log" localSheetId="18">'str - 8k'!#REF!</definedName>
    <definedName name="_70_noninc.log" localSheetId="0">'int - 2k'!#REF!</definedName>
    <definedName name="_70p.log" localSheetId="8">'int - 10k'!$H$1:$J$72</definedName>
    <definedName name="_70p.log" localSheetId="10">'int - 10p'!$G$1:$H$72</definedName>
    <definedName name="_70p.log" localSheetId="0">'int - 2k'!$H$1:$I$72</definedName>
    <definedName name="_70p.log" localSheetId="2">'int - 4k'!$H$1:$I$72</definedName>
    <definedName name="_70p.log" localSheetId="4">'int - 6k'!$H$1:$I$72</definedName>
    <definedName name="_70p.log" localSheetId="6">'int - 8k'!$H$1:$L$72</definedName>
    <definedName name="_70p.log" localSheetId="24">'int - empty'!$H$1:$J$72</definedName>
    <definedName name="_70p.log" localSheetId="20">'str - 10k'!$G$1:$H$72</definedName>
    <definedName name="_70p.log" localSheetId="22">'str - 10p'!$G$1:$H$72</definedName>
    <definedName name="_70p.log" localSheetId="12">'str - 2k'!$G$1:$H$72</definedName>
    <definedName name="_70p.log" localSheetId="14">'str - 4k'!$G$1:$H$72</definedName>
    <definedName name="_70p.log" localSheetId="16">'str - 6k'!$G$1:$H$72</definedName>
    <definedName name="_70p.log" localSheetId="18">'str - 8k'!$G$1:$H$72</definedName>
    <definedName name="_8p.log" localSheetId="8">'int - 10k'!#REF!</definedName>
    <definedName name="_8p.log" localSheetId="4">'int - 6k'!#REF!</definedName>
    <definedName name="_8p.log" localSheetId="20">'str - 10k'!#REF!</definedName>
    <definedName name="_8p.log" localSheetId="16">'str - 6k'!#REF!</definedName>
    <definedName name="_8p.log" localSheetId="18">'str - 8k'!#REF!</definedName>
  </definedNames>
  <calcPr calcId="125725"/>
</workbook>
</file>

<file path=xl/calcChain.xml><?xml version="1.0" encoding="utf-8"?>
<calcChain xmlns="http://schemas.openxmlformats.org/spreadsheetml/2006/main">
  <c r="H131" i="13"/>
  <c r="H132" s="1"/>
  <c r="G131"/>
  <c r="G132" s="1"/>
  <c r="F131"/>
  <c r="F132" s="1"/>
  <c r="E131"/>
  <c r="E132" s="1"/>
  <c r="D131"/>
  <c r="D132" s="1"/>
  <c r="C131"/>
  <c r="C132" s="1"/>
  <c r="B131"/>
  <c r="B132" s="1"/>
  <c r="H130"/>
  <c r="G130"/>
  <c r="F130"/>
  <c r="E130"/>
  <c r="D130"/>
  <c r="C130"/>
  <c r="B130"/>
  <c r="H121"/>
  <c r="H122" s="1"/>
  <c r="G121"/>
  <c r="G122" s="1"/>
  <c r="F121"/>
  <c r="F122" s="1"/>
  <c r="E121"/>
  <c r="E122" s="1"/>
  <c r="D121"/>
  <c r="D122" s="1"/>
  <c r="C121"/>
  <c r="C122" s="1"/>
  <c r="B121"/>
  <c r="B122" s="1"/>
  <c r="H120"/>
  <c r="G120"/>
  <c r="F120"/>
  <c r="E120"/>
  <c r="D120"/>
  <c r="C120"/>
  <c r="B120"/>
  <c r="H111"/>
  <c r="H112" s="1"/>
  <c r="G111"/>
  <c r="G112" s="1"/>
  <c r="F111"/>
  <c r="F112" s="1"/>
  <c r="E111"/>
  <c r="E112" s="1"/>
  <c r="D111"/>
  <c r="D112" s="1"/>
  <c r="C111"/>
  <c r="C112" s="1"/>
  <c r="B111"/>
  <c r="B112" s="1"/>
  <c r="H110"/>
  <c r="G110"/>
  <c r="F110"/>
  <c r="E110"/>
  <c r="D110"/>
  <c r="C110"/>
  <c r="B110"/>
  <c r="H101"/>
  <c r="H102" s="1"/>
  <c r="G101"/>
  <c r="G102" s="1"/>
  <c r="F101"/>
  <c r="F102" s="1"/>
  <c r="E101"/>
  <c r="E102" s="1"/>
  <c r="D101"/>
  <c r="D102" s="1"/>
  <c r="C101"/>
  <c r="C102" s="1"/>
  <c r="B101"/>
  <c r="B102" s="1"/>
  <c r="H100"/>
  <c r="G100"/>
  <c r="F100"/>
  <c r="E100"/>
  <c r="D100"/>
  <c r="C100"/>
  <c r="B100"/>
  <c r="H91"/>
  <c r="H92" s="1"/>
  <c r="G91"/>
  <c r="G92" s="1"/>
  <c r="F91"/>
  <c r="F92" s="1"/>
  <c r="E91"/>
  <c r="E92" s="1"/>
  <c r="D91"/>
  <c r="D92" s="1"/>
  <c r="C91"/>
  <c r="C92" s="1"/>
  <c r="B91"/>
  <c r="B92" s="1"/>
  <c r="H90"/>
  <c r="G90"/>
  <c r="F90"/>
  <c r="E90"/>
  <c r="D90"/>
  <c r="C90"/>
  <c r="B90"/>
  <c r="H81"/>
  <c r="H82" s="1"/>
  <c r="G81"/>
  <c r="G82" s="1"/>
  <c r="F81"/>
  <c r="F82" s="1"/>
  <c r="E81"/>
  <c r="E82" s="1"/>
  <c r="D81"/>
  <c r="D82" s="1"/>
  <c r="C81"/>
  <c r="C82" s="1"/>
  <c r="B81"/>
  <c r="B82" s="1"/>
  <c r="H80"/>
  <c r="G80"/>
  <c r="F80"/>
  <c r="E80"/>
  <c r="D80"/>
  <c r="C80"/>
  <c r="B80"/>
  <c r="H131" i="12"/>
  <c r="H132" s="1"/>
  <c r="G131"/>
  <c r="G132" s="1"/>
  <c r="F131"/>
  <c r="F132" s="1"/>
  <c r="E131"/>
  <c r="E132" s="1"/>
  <c r="D131"/>
  <c r="D132" s="1"/>
  <c r="C131"/>
  <c r="C132" s="1"/>
  <c r="B131"/>
  <c r="B132" s="1"/>
  <c r="H130"/>
  <c r="G130"/>
  <c r="F130"/>
  <c r="E130"/>
  <c r="D130"/>
  <c r="C130"/>
  <c r="B130"/>
  <c r="H121"/>
  <c r="H122" s="1"/>
  <c r="G121"/>
  <c r="G122" s="1"/>
  <c r="F121"/>
  <c r="F122" s="1"/>
  <c r="E121"/>
  <c r="E122" s="1"/>
  <c r="D121"/>
  <c r="D122" s="1"/>
  <c r="C121"/>
  <c r="C122" s="1"/>
  <c r="B121"/>
  <c r="B122" s="1"/>
  <c r="H120"/>
  <c r="G120"/>
  <c r="F120"/>
  <c r="E120"/>
  <c r="D120"/>
  <c r="C120"/>
  <c r="B120"/>
  <c r="H111"/>
  <c r="H112" s="1"/>
  <c r="G111"/>
  <c r="G112" s="1"/>
  <c r="F111"/>
  <c r="F112" s="1"/>
  <c r="E111"/>
  <c r="E112" s="1"/>
  <c r="D111"/>
  <c r="D112" s="1"/>
  <c r="C111"/>
  <c r="C112" s="1"/>
  <c r="B111"/>
  <c r="B112" s="1"/>
  <c r="H110"/>
  <c r="G110"/>
  <c r="F110"/>
  <c r="E110"/>
  <c r="D110"/>
  <c r="C110"/>
  <c r="B110"/>
  <c r="H101"/>
  <c r="H102" s="1"/>
  <c r="G101"/>
  <c r="G102" s="1"/>
  <c r="F101"/>
  <c r="F102" s="1"/>
  <c r="E101"/>
  <c r="E102" s="1"/>
  <c r="D101"/>
  <c r="D102" s="1"/>
  <c r="C101"/>
  <c r="C102" s="1"/>
  <c r="B101"/>
  <c r="B102" s="1"/>
  <c r="H100"/>
  <c r="G100"/>
  <c r="F100"/>
  <c r="E100"/>
  <c r="D100"/>
  <c r="C100"/>
  <c r="B100"/>
  <c r="H91"/>
  <c r="H92" s="1"/>
  <c r="G91"/>
  <c r="G92" s="1"/>
  <c r="F91"/>
  <c r="F92" s="1"/>
  <c r="E91"/>
  <c r="E92" s="1"/>
  <c r="D91"/>
  <c r="D92" s="1"/>
  <c r="C91"/>
  <c r="C92" s="1"/>
  <c r="B91"/>
  <c r="B92" s="1"/>
  <c r="H90"/>
  <c r="G90"/>
  <c r="F90"/>
  <c r="E90"/>
  <c r="D90"/>
  <c r="C90"/>
  <c r="B90"/>
  <c r="H81"/>
  <c r="H82" s="1"/>
  <c r="G81"/>
  <c r="G82" s="1"/>
  <c r="F81"/>
  <c r="F82" s="1"/>
  <c r="E81"/>
  <c r="E82" s="1"/>
  <c r="D81"/>
  <c r="D82" s="1"/>
  <c r="C81"/>
  <c r="C82" s="1"/>
  <c r="B81"/>
  <c r="B82" s="1"/>
  <c r="H80"/>
  <c r="G80"/>
  <c r="F80"/>
  <c r="E80"/>
  <c r="D80"/>
  <c r="C80"/>
  <c r="B80"/>
  <c r="G132" i="11"/>
  <c r="E132"/>
  <c r="C132"/>
  <c r="H131"/>
  <c r="H132" s="1"/>
  <c r="G131"/>
  <c r="F131"/>
  <c r="F132" s="1"/>
  <c r="E131"/>
  <c r="D131"/>
  <c r="D132" s="1"/>
  <c r="C131"/>
  <c r="B131"/>
  <c r="B132" s="1"/>
  <c r="H130"/>
  <c r="G130"/>
  <c r="F130"/>
  <c r="E130"/>
  <c r="D130"/>
  <c r="C130"/>
  <c r="B130"/>
  <c r="H122"/>
  <c r="F122"/>
  <c r="D122"/>
  <c r="B122"/>
  <c r="H121"/>
  <c r="G121"/>
  <c r="G122" s="1"/>
  <c r="F121"/>
  <c r="E121"/>
  <c r="E122" s="1"/>
  <c r="D121"/>
  <c r="C121"/>
  <c r="C122" s="1"/>
  <c r="B121"/>
  <c r="H120"/>
  <c r="G120"/>
  <c r="F120"/>
  <c r="E120"/>
  <c r="D120"/>
  <c r="C120"/>
  <c r="B120"/>
  <c r="G112"/>
  <c r="E112"/>
  <c r="C112"/>
  <c r="H111"/>
  <c r="H112" s="1"/>
  <c r="G111"/>
  <c r="F111"/>
  <c r="F112" s="1"/>
  <c r="E111"/>
  <c r="D111"/>
  <c r="D112" s="1"/>
  <c r="C111"/>
  <c r="B111"/>
  <c r="B112" s="1"/>
  <c r="H110"/>
  <c r="G110"/>
  <c r="F110"/>
  <c r="E110"/>
  <c r="D110"/>
  <c r="C110"/>
  <c r="B110"/>
  <c r="H102"/>
  <c r="F102"/>
  <c r="D102"/>
  <c r="B102"/>
  <c r="H101"/>
  <c r="G101"/>
  <c r="G102" s="1"/>
  <c r="F101"/>
  <c r="E101"/>
  <c r="E102" s="1"/>
  <c r="D101"/>
  <c r="C101"/>
  <c r="C102" s="1"/>
  <c r="B101"/>
  <c r="H100"/>
  <c r="G100"/>
  <c r="F100"/>
  <c r="E100"/>
  <c r="D100"/>
  <c r="C100"/>
  <c r="B100"/>
  <c r="G92"/>
  <c r="E92"/>
  <c r="C92"/>
  <c r="H91"/>
  <c r="H92" s="1"/>
  <c r="G91"/>
  <c r="F91"/>
  <c r="F92" s="1"/>
  <c r="E91"/>
  <c r="D91"/>
  <c r="D92" s="1"/>
  <c r="C91"/>
  <c r="B91"/>
  <c r="B92" s="1"/>
  <c r="H90"/>
  <c r="G90"/>
  <c r="F90"/>
  <c r="E90"/>
  <c r="D90"/>
  <c r="C90"/>
  <c r="B90"/>
  <c r="H82"/>
  <c r="F82"/>
  <c r="D82"/>
  <c r="B82"/>
  <c r="H81"/>
  <c r="G81"/>
  <c r="G82" s="1"/>
  <c r="F81"/>
  <c r="E81"/>
  <c r="E82" s="1"/>
  <c r="D81"/>
  <c r="C81"/>
  <c r="C82" s="1"/>
  <c r="B81"/>
  <c r="H80"/>
  <c r="G80"/>
  <c r="F80"/>
  <c r="E80"/>
  <c r="D80"/>
  <c r="C80"/>
  <c r="B80"/>
  <c r="H132" i="10"/>
  <c r="F132"/>
  <c r="D132"/>
  <c r="B132"/>
  <c r="H131"/>
  <c r="G131"/>
  <c r="G132" s="1"/>
  <c r="F131"/>
  <c r="E131"/>
  <c r="E132" s="1"/>
  <c r="D131"/>
  <c r="C131"/>
  <c r="C132" s="1"/>
  <c r="B131"/>
  <c r="H130"/>
  <c r="G130"/>
  <c r="F130"/>
  <c r="E130"/>
  <c r="D130"/>
  <c r="C130"/>
  <c r="B130"/>
  <c r="G122"/>
  <c r="E122"/>
  <c r="C122"/>
  <c r="H121"/>
  <c r="H122" s="1"/>
  <c r="G121"/>
  <c r="F121"/>
  <c r="F122" s="1"/>
  <c r="E121"/>
  <c r="D121"/>
  <c r="D122" s="1"/>
  <c r="C121"/>
  <c r="B121"/>
  <c r="B122" s="1"/>
  <c r="H120"/>
  <c r="G120"/>
  <c r="F120"/>
  <c r="E120"/>
  <c r="D120"/>
  <c r="C120"/>
  <c r="B120"/>
  <c r="H112"/>
  <c r="F112"/>
  <c r="D112"/>
  <c r="B112"/>
  <c r="H111"/>
  <c r="G111"/>
  <c r="G112" s="1"/>
  <c r="F111"/>
  <c r="E111"/>
  <c r="E112" s="1"/>
  <c r="D111"/>
  <c r="C111"/>
  <c r="C112" s="1"/>
  <c r="B111"/>
  <c r="H110"/>
  <c r="G110"/>
  <c r="F110"/>
  <c r="E110"/>
  <c r="D110"/>
  <c r="C110"/>
  <c r="B110"/>
  <c r="G102"/>
  <c r="E102"/>
  <c r="C102"/>
  <c r="H101"/>
  <c r="H102" s="1"/>
  <c r="G101"/>
  <c r="F101"/>
  <c r="F102" s="1"/>
  <c r="E101"/>
  <c r="D101"/>
  <c r="D102" s="1"/>
  <c r="C101"/>
  <c r="B101"/>
  <c r="B102" s="1"/>
  <c r="H100"/>
  <c r="G100"/>
  <c r="F100"/>
  <c r="E100"/>
  <c r="D100"/>
  <c r="C100"/>
  <c r="B100"/>
  <c r="H92"/>
  <c r="F92"/>
  <c r="D92"/>
  <c r="B92"/>
  <c r="H91"/>
  <c r="G91"/>
  <c r="G92" s="1"/>
  <c r="F91"/>
  <c r="E91"/>
  <c r="E92" s="1"/>
  <c r="D91"/>
  <c r="C91"/>
  <c r="C92" s="1"/>
  <c r="B91"/>
  <c r="H90"/>
  <c r="G90"/>
  <c r="F90"/>
  <c r="E90"/>
  <c r="D90"/>
  <c r="C90"/>
  <c r="B90"/>
  <c r="G82"/>
  <c r="E82"/>
  <c r="C82"/>
  <c r="H81"/>
  <c r="H82" s="1"/>
  <c r="G81"/>
  <c r="F81"/>
  <c r="F82" s="1"/>
  <c r="E81"/>
  <c r="D81"/>
  <c r="D82" s="1"/>
  <c r="C81"/>
  <c r="B81"/>
  <c r="B82" s="1"/>
  <c r="H80"/>
  <c r="G80"/>
  <c r="F80"/>
  <c r="E80"/>
  <c r="D80"/>
  <c r="C80"/>
  <c r="B80"/>
  <c r="G132" i="9"/>
  <c r="E132"/>
  <c r="C132"/>
  <c r="H131"/>
  <c r="H132" s="1"/>
  <c r="G131"/>
  <c r="F131"/>
  <c r="F132" s="1"/>
  <c r="E131"/>
  <c r="D131"/>
  <c r="D132" s="1"/>
  <c r="C131"/>
  <c r="B131"/>
  <c r="B132" s="1"/>
  <c r="H130"/>
  <c r="G130"/>
  <c r="F130"/>
  <c r="E130"/>
  <c r="D130"/>
  <c r="C130"/>
  <c r="B130"/>
  <c r="H122"/>
  <c r="F122"/>
  <c r="D122"/>
  <c r="B122"/>
  <c r="H121"/>
  <c r="G121"/>
  <c r="G122" s="1"/>
  <c r="F121"/>
  <c r="E121"/>
  <c r="E122" s="1"/>
  <c r="D121"/>
  <c r="C121"/>
  <c r="C122" s="1"/>
  <c r="B121"/>
  <c r="H120"/>
  <c r="G120"/>
  <c r="F120"/>
  <c r="E120"/>
  <c r="D120"/>
  <c r="C120"/>
  <c r="B120"/>
  <c r="G112"/>
  <c r="E112"/>
  <c r="C112"/>
  <c r="H111"/>
  <c r="H112" s="1"/>
  <c r="G111"/>
  <c r="F111"/>
  <c r="F112" s="1"/>
  <c r="E111"/>
  <c r="D111"/>
  <c r="D112" s="1"/>
  <c r="C111"/>
  <c r="B111"/>
  <c r="B112" s="1"/>
  <c r="H110"/>
  <c r="G110"/>
  <c r="F110"/>
  <c r="E110"/>
  <c r="D110"/>
  <c r="C110"/>
  <c r="B110"/>
  <c r="H102"/>
  <c r="F102"/>
  <c r="D102"/>
  <c r="B102"/>
  <c r="H101"/>
  <c r="G101"/>
  <c r="G102" s="1"/>
  <c r="F101"/>
  <c r="E101"/>
  <c r="E102" s="1"/>
  <c r="D101"/>
  <c r="C101"/>
  <c r="C102" s="1"/>
  <c r="B101"/>
  <c r="H100"/>
  <c r="G100"/>
  <c r="F100"/>
  <c r="E100"/>
  <c r="D100"/>
  <c r="C100"/>
  <c r="B100"/>
  <c r="G92"/>
  <c r="E92"/>
  <c r="C92"/>
  <c r="H91"/>
  <c r="H92" s="1"/>
  <c r="G91"/>
  <c r="F91"/>
  <c r="F92" s="1"/>
  <c r="E91"/>
  <c r="D91"/>
  <c r="D92" s="1"/>
  <c r="C91"/>
  <c r="B91"/>
  <c r="B92" s="1"/>
  <c r="H90"/>
  <c r="G90"/>
  <c r="F90"/>
  <c r="E90"/>
  <c r="D90"/>
  <c r="C90"/>
  <c r="B90"/>
  <c r="H82"/>
  <c r="F82"/>
  <c r="D82"/>
  <c r="B82"/>
  <c r="H81"/>
  <c r="G81"/>
  <c r="G82" s="1"/>
  <c r="F81"/>
  <c r="E81"/>
  <c r="E82" s="1"/>
  <c r="D81"/>
  <c r="C81"/>
  <c r="C82" s="1"/>
  <c r="B81"/>
  <c r="H80"/>
  <c r="G80"/>
  <c r="F80"/>
  <c r="E80"/>
  <c r="D80"/>
  <c r="C80"/>
  <c r="B80"/>
  <c r="H131" i="8"/>
  <c r="H132" s="1"/>
  <c r="G131"/>
  <c r="G132" s="1"/>
  <c r="F131"/>
  <c r="F132" s="1"/>
  <c r="E131"/>
  <c r="E132" s="1"/>
  <c r="D131"/>
  <c r="D132" s="1"/>
  <c r="C131"/>
  <c r="C132" s="1"/>
  <c r="B131"/>
  <c r="B132" s="1"/>
  <c r="H130"/>
  <c r="G130"/>
  <c r="F130"/>
  <c r="E130"/>
  <c r="D130"/>
  <c r="C130"/>
  <c r="B130"/>
  <c r="H121"/>
  <c r="H122" s="1"/>
  <c r="G121"/>
  <c r="G122" s="1"/>
  <c r="F121"/>
  <c r="F122" s="1"/>
  <c r="E121"/>
  <c r="E122" s="1"/>
  <c r="D121"/>
  <c r="D122" s="1"/>
  <c r="C121"/>
  <c r="C122" s="1"/>
  <c r="B121"/>
  <c r="B122" s="1"/>
  <c r="H120"/>
  <c r="G120"/>
  <c r="F120"/>
  <c r="E120"/>
  <c r="D120"/>
  <c r="C120"/>
  <c r="B120"/>
  <c r="H111"/>
  <c r="H112" s="1"/>
  <c r="G111"/>
  <c r="G112" s="1"/>
  <c r="F111"/>
  <c r="F112" s="1"/>
  <c r="E111"/>
  <c r="E112" s="1"/>
  <c r="D111"/>
  <c r="D112" s="1"/>
  <c r="C111"/>
  <c r="C112" s="1"/>
  <c r="B111"/>
  <c r="B112" s="1"/>
  <c r="H110"/>
  <c r="G110"/>
  <c r="F110"/>
  <c r="E110"/>
  <c r="D110"/>
  <c r="C110"/>
  <c r="B110"/>
  <c r="H101"/>
  <c r="H102" s="1"/>
  <c r="G101"/>
  <c r="G102" s="1"/>
  <c r="F101"/>
  <c r="F102" s="1"/>
  <c r="E101"/>
  <c r="E102" s="1"/>
  <c r="D101"/>
  <c r="D102" s="1"/>
  <c r="C101"/>
  <c r="C102" s="1"/>
  <c r="B101"/>
  <c r="B102" s="1"/>
  <c r="H100"/>
  <c r="G100"/>
  <c r="F100"/>
  <c r="E100"/>
  <c r="D100"/>
  <c r="C100"/>
  <c r="B100"/>
  <c r="H91"/>
  <c r="H92" s="1"/>
  <c r="G91"/>
  <c r="G92" s="1"/>
  <c r="F91"/>
  <c r="F92" s="1"/>
  <c r="E91"/>
  <c r="E92" s="1"/>
  <c r="D91"/>
  <c r="D92" s="1"/>
  <c r="C91"/>
  <c r="C92" s="1"/>
  <c r="B91"/>
  <c r="B92" s="1"/>
  <c r="H90"/>
  <c r="G90"/>
  <c r="F90"/>
  <c r="E90"/>
  <c r="D90"/>
  <c r="C90"/>
  <c r="B90"/>
  <c r="H81"/>
  <c r="H82" s="1"/>
  <c r="G81"/>
  <c r="G82" s="1"/>
  <c r="F81"/>
  <c r="F82" s="1"/>
  <c r="E81"/>
  <c r="E82" s="1"/>
  <c r="D81"/>
  <c r="D82" s="1"/>
  <c r="C81"/>
  <c r="C82" s="1"/>
  <c r="B81"/>
  <c r="B82" s="1"/>
  <c r="H80"/>
  <c r="G80"/>
  <c r="F80"/>
  <c r="E80"/>
  <c r="D80"/>
  <c r="C80"/>
  <c r="B80"/>
  <c r="H131" i="7"/>
  <c r="H132" s="1"/>
  <c r="G131"/>
  <c r="G132" s="1"/>
  <c r="F131"/>
  <c r="F132" s="1"/>
  <c r="E131"/>
  <c r="E132" s="1"/>
  <c r="D131"/>
  <c r="D132" s="1"/>
  <c r="C131"/>
  <c r="C132" s="1"/>
  <c r="B131"/>
  <c r="B132" s="1"/>
  <c r="H130"/>
  <c r="G130"/>
  <c r="F130"/>
  <c r="E130"/>
  <c r="D130"/>
  <c r="C130"/>
  <c r="B130"/>
  <c r="H121"/>
  <c r="H122" s="1"/>
  <c r="G121"/>
  <c r="G122" s="1"/>
  <c r="F121"/>
  <c r="F122" s="1"/>
  <c r="E121"/>
  <c r="E122" s="1"/>
  <c r="D121"/>
  <c r="D122" s="1"/>
  <c r="C121"/>
  <c r="C122" s="1"/>
  <c r="B121"/>
  <c r="B122" s="1"/>
  <c r="H120"/>
  <c r="G120"/>
  <c r="F120"/>
  <c r="E120"/>
  <c r="D120"/>
  <c r="C120"/>
  <c r="B120"/>
  <c r="H111"/>
  <c r="H112" s="1"/>
  <c r="G111"/>
  <c r="G112" s="1"/>
  <c r="F111"/>
  <c r="F112" s="1"/>
  <c r="E111"/>
  <c r="E112" s="1"/>
  <c r="D111"/>
  <c r="D112" s="1"/>
  <c r="C111"/>
  <c r="C112" s="1"/>
  <c r="B111"/>
  <c r="B112" s="1"/>
  <c r="H110"/>
  <c r="G110"/>
  <c r="F110"/>
  <c r="E110"/>
  <c r="D110"/>
  <c r="C110"/>
  <c r="B110"/>
  <c r="H101"/>
  <c r="H102" s="1"/>
  <c r="G101"/>
  <c r="G102" s="1"/>
  <c r="F101"/>
  <c r="F102" s="1"/>
  <c r="E101"/>
  <c r="E102" s="1"/>
  <c r="D101"/>
  <c r="D102" s="1"/>
  <c r="C101"/>
  <c r="C102" s="1"/>
  <c r="B101"/>
  <c r="B102" s="1"/>
  <c r="H100"/>
  <c r="G100"/>
  <c r="F100"/>
  <c r="E100"/>
  <c r="D100"/>
  <c r="C100"/>
  <c r="B100"/>
  <c r="H91"/>
  <c r="H92" s="1"/>
  <c r="G91"/>
  <c r="G92" s="1"/>
  <c r="F91"/>
  <c r="F92" s="1"/>
  <c r="E91"/>
  <c r="E92" s="1"/>
  <c r="D91"/>
  <c r="D92" s="1"/>
  <c r="C91"/>
  <c r="C92" s="1"/>
  <c r="B91"/>
  <c r="B92" s="1"/>
  <c r="H90"/>
  <c r="G90"/>
  <c r="F90"/>
  <c r="E90"/>
  <c r="D90"/>
  <c r="C90"/>
  <c r="B90"/>
  <c r="H81"/>
  <c r="H82" s="1"/>
  <c r="G81"/>
  <c r="G82" s="1"/>
  <c r="F81"/>
  <c r="F82" s="1"/>
  <c r="E81"/>
  <c r="E82" s="1"/>
  <c r="D81"/>
  <c r="D82" s="1"/>
  <c r="C81"/>
  <c r="C82" s="1"/>
  <c r="B81"/>
  <c r="B82" s="1"/>
  <c r="H80"/>
  <c r="G80"/>
  <c r="F80"/>
  <c r="E80"/>
  <c r="D80"/>
  <c r="C80"/>
  <c r="B80"/>
  <c r="H131" i="6"/>
  <c r="H132" s="1"/>
  <c r="G131"/>
  <c r="G132" s="1"/>
  <c r="F131"/>
  <c r="F132" s="1"/>
  <c r="E131"/>
  <c r="E132" s="1"/>
  <c r="D131"/>
  <c r="D132" s="1"/>
  <c r="C131"/>
  <c r="C132" s="1"/>
  <c r="B131"/>
  <c r="B132" s="1"/>
  <c r="H130"/>
  <c r="G130"/>
  <c r="F130"/>
  <c r="E130"/>
  <c r="D130"/>
  <c r="C130"/>
  <c r="B130"/>
  <c r="H121"/>
  <c r="H122" s="1"/>
  <c r="G121"/>
  <c r="G122" s="1"/>
  <c r="F121"/>
  <c r="F122" s="1"/>
  <c r="E121"/>
  <c r="E122" s="1"/>
  <c r="D121"/>
  <c r="D122" s="1"/>
  <c r="C121"/>
  <c r="C122" s="1"/>
  <c r="B121"/>
  <c r="B122" s="1"/>
  <c r="H120"/>
  <c r="G120"/>
  <c r="F120"/>
  <c r="E120"/>
  <c r="D120"/>
  <c r="C120"/>
  <c r="B120"/>
  <c r="H111"/>
  <c r="H112" s="1"/>
  <c r="G111"/>
  <c r="G112" s="1"/>
  <c r="F111"/>
  <c r="F112" s="1"/>
  <c r="E111"/>
  <c r="E112" s="1"/>
  <c r="D111"/>
  <c r="D112" s="1"/>
  <c r="C111"/>
  <c r="C112" s="1"/>
  <c r="B111"/>
  <c r="B112" s="1"/>
  <c r="H110"/>
  <c r="G110"/>
  <c r="F110"/>
  <c r="E110"/>
  <c r="D110"/>
  <c r="C110"/>
  <c r="B110"/>
  <c r="H101"/>
  <c r="H102" s="1"/>
  <c r="G101"/>
  <c r="G102" s="1"/>
  <c r="F101"/>
  <c r="F102" s="1"/>
  <c r="E101"/>
  <c r="E102" s="1"/>
  <c r="D101"/>
  <c r="D102" s="1"/>
  <c r="C101"/>
  <c r="C102" s="1"/>
  <c r="B101"/>
  <c r="B102" s="1"/>
  <c r="H100"/>
  <c r="G100"/>
  <c r="F100"/>
  <c r="E100"/>
  <c r="D100"/>
  <c r="C100"/>
  <c r="B100"/>
  <c r="H91"/>
  <c r="H92" s="1"/>
  <c r="G91"/>
  <c r="G92" s="1"/>
  <c r="F91"/>
  <c r="F92" s="1"/>
  <c r="E91"/>
  <c r="E92" s="1"/>
  <c r="D91"/>
  <c r="D92" s="1"/>
  <c r="C91"/>
  <c r="C92" s="1"/>
  <c r="B91"/>
  <c r="B92" s="1"/>
  <c r="H90"/>
  <c r="G90"/>
  <c r="F90"/>
  <c r="E90"/>
  <c r="D90"/>
  <c r="C90"/>
  <c r="B90"/>
  <c r="H81"/>
  <c r="H82" s="1"/>
  <c r="G81"/>
  <c r="G82" s="1"/>
  <c r="F81"/>
  <c r="F82" s="1"/>
  <c r="E81"/>
  <c r="E82" s="1"/>
  <c r="D81"/>
  <c r="D82" s="1"/>
  <c r="C81"/>
  <c r="C82" s="1"/>
  <c r="B81"/>
  <c r="B82" s="1"/>
  <c r="H80"/>
  <c r="G80"/>
  <c r="F80"/>
  <c r="E80"/>
  <c r="D80"/>
  <c r="C80"/>
  <c r="B80"/>
  <c r="H131" i="4"/>
  <c r="H132" s="1"/>
  <c r="G131"/>
  <c r="G132" s="1"/>
  <c r="F131"/>
  <c r="F132" s="1"/>
  <c r="E131"/>
  <c r="E132" s="1"/>
  <c r="D131"/>
  <c r="D132" s="1"/>
  <c r="C131"/>
  <c r="C132" s="1"/>
  <c r="B131"/>
  <c r="B132" s="1"/>
  <c r="H130"/>
  <c r="G130"/>
  <c r="F130"/>
  <c r="E130"/>
  <c r="D130"/>
  <c r="C130"/>
  <c r="B130"/>
  <c r="H121"/>
  <c r="H122" s="1"/>
  <c r="G121"/>
  <c r="G122" s="1"/>
  <c r="F121"/>
  <c r="F122" s="1"/>
  <c r="E121"/>
  <c r="E122" s="1"/>
  <c r="D121"/>
  <c r="D122" s="1"/>
  <c r="C121"/>
  <c r="C122" s="1"/>
  <c r="B121"/>
  <c r="B122" s="1"/>
  <c r="H120"/>
  <c r="G120"/>
  <c r="F120"/>
  <c r="E120"/>
  <c r="D120"/>
  <c r="C120"/>
  <c r="B120"/>
  <c r="H111"/>
  <c r="H112" s="1"/>
  <c r="G111"/>
  <c r="G112" s="1"/>
  <c r="F111"/>
  <c r="F112" s="1"/>
  <c r="E111"/>
  <c r="E112" s="1"/>
  <c r="D111"/>
  <c r="D112" s="1"/>
  <c r="C111"/>
  <c r="C112" s="1"/>
  <c r="B111"/>
  <c r="B112" s="1"/>
  <c r="H110"/>
  <c r="G110"/>
  <c r="F110"/>
  <c r="E110"/>
  <c r="D110"/>
  <c r="C110"/>
  <c r="B110"/>
  <c r="H101"/>
  <c r="H102" s="1"/>
  <c r="G101"/>
  <c r="G102" s="1"/>
  <c r="F101"/>
  <c r="F102" s="1"/>
  <c r="E101"/>
  <c r="E102" s="1"/>
  <c r="D101"/>
  <c r="D102" s="1"/>
  <c r="C101"/>
  <c r="C102" s="1"/>
  <c r="B101"/>
  <c r="B102" s="1"/>
  <c r="H100"/>
  <c r="G100"/>
  <c r="F100"/>
  <c r="E100"/>
  <c r="D100"/>
  <c r="C100"/>
  <c r="B100"/>
  <c r="H91"/>
  <c r="H92" s="1"/>
  <c r="G91"/>
  <c r="G92" s="1"/>
  <c r="F91"/>
  <c r="F92" s="1"/>
  <c r="E91"/>
  <c r="E92" s="1"/>
  <c r="D91"/>
  <c r="D92" s="1"/>
  <c r="C91"/>
  <c r="C92" s="1"/>
  <c r="B91"/>
  <c r="B92" s="1"/>
  <c r="H90"/>
  <c r="G90"/>
  <c r="F90"/>
  <c r="E90"/>
  <c r="D90"/>
  <c r="C90"/>
  <c r="B90"/>
  <c r="H81"/>
  <c r="H82" s="1"/>
  <c r="G81"/>
  <c r="G82" s="1"/>
  <c r="F81"/>
  <c r="F82" s="1"/>
  <c r="E81"/>
  <c r="E82" s="1"/>
  <c r="D81"/>
  <c r="D82" s="1"/>
  <c r="C81"/>
  <c r="C82" s="1"/>
  <c r="B81"/>
  <c r="B82" s="1"/>
  <c r="H80"/>
  <c r="G80"/>
  <c r="F80"/>
  <c r="E80"/>
  <c r="D80"/>
  <c r="C80"/>
  <c r="B80"/>
  <c r="H131" i="1"/>
  <c r="H132" s="1"/>
  <c r="G131"/>
  <c r="G132" s="1"/>
  <c r="F131"/>
  <c r="F132" s="1"/>
  <c r="E131"/>
  <c r="E132" s="1"/>
  <c r="D131"/>
  <c r="D132" s="1"/>
  <c r="C131"/>
  <c r="C132" s="1"/>
  <c r="B131"/>
  <c r="B132" s="1"/>
  <c r="H130"/>
  <c r="G130"/>
  <c r="F130"/>
  <c r="E130"/>
  <c r="D130"/>
  <c r="C130"/>
  <c r="B130"/>
  <c r="H121"/>
  <c r="H122" s="1"/>
  <c r="G121"/>
  <c r="G122" s="1"/>
  <c r="F121"/>
  <c r="F122" s="1"/>
  <c r="E121"/>
  <c r="E122" s="1"/>
  <c r="D121"/>
  <c r="D122" s="1"/>
  <c r="C121"/>
  <c r="C122" s="1"/>
  <c r="B121"/>
  <c r="B122" s="1"/>
  <c r="H120"/>
  <c r="G120"/>
  <c r="F120"/>
  <c r="E120"/>
  <c r="D120"/>
  <c r="C120"/>
  <c r="B120"/>
  <c r="H111"/>
  <c r="H112" s="1"/>
  <c r="G111"/>
  <c r="G112" s="1"/>
  <c r="F111"/>
  <c r="F112" s="1"/>
  <c r="E111"/>
  <c r="E112" s="1"/>
  <c r="D111"/>
  <c r="D112" s="1"/>
  <c r="C111"/>
  <c r="C112" s="1"/>
  <c r="B111"/>
  <c r="B112" s="1"/>
  <c r="H110"/>
  <c r="G110"/>
  <c r="F110"/>
  <c r="E110"/>
  <c r="D110"/>
  <c r="C110"/>
  <c r="B110"/>
  <c r="H101"/>
  <c r="H102" s="1"/>
  <c r="G101"/>
  <c r="G102" s="1"/>
  <c r="F101"/>
  <c r="F102" s="1"/>
  <c r="E101"/>
  <c r="E102" s="1"/>
  <c r="D101"/>
  <c r="D102" s="1"/>
  <c r="C101"/>
  <c r="C102" s="1"/>
  <c r="B101"/>
  <c r="B102" s="1"/>
  <c r="H100"/>
  <c r="G100"/>
  <c r="F100"/>
  <c r="E100"/>
  <c r="D100"/>
  <c r="C100"/>
  <c r="B100"/>
  <c r="H91"/>
  <c r="H92" s="1"/>
  <c r="G91"/>
  <c r="G92" s="1"/>
  <c r="F91"/>
  <c r="F92" s="1"/>
  <c r="E91"/>
  <c r="E92" s="1"/>
  <c r="D91"/>
  <c r="D92" s="1"/>
  <c r="C91"/>
  <c r="C92" s="1"/>
  <c r="B91"/>
  <c r="B92" s="1"/>
  <c r="H90"/>
  <c r="G90"/>
  <c r="F90"/>
  <c r="E90"/>
  <c r="D90"/>
  <c r="C90"/>
  <c r="B90"/>
  <c r="C81"/>
  <c r="C82" s="1"/>
  <c r="D81"/>
  <c r="D82" s="1"/>
  <c r="E81"/>
  <c r="E82" s="1"/>
  <c r="F81"/>
  <c r="F82" s="1"/>
  <c r="G81"/>
  <c r="G82" s="1"/>
  <c r="H81"/>
  <c r="H82" s="1"/>
  <c r="B81"/>
  <c r="C80"/>
  <c r="D80"/>
  <c r="E80"/>
  <c r="F80"/>
  <c r="G80"/>
  <c r="H80"/>
  <c r="B80"/>
  <c r="B82"/>
  <c r="F5" i="32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F4"/>
  <c r="E4"/>
  <c r="D4"/>
  <c r="C4"/>
  <c r="B4"/>
  <c r="F2"/>
  <c r="E2"/>
  <c r="D2"/>
  <c r="C2"/>
  <c r="B2"/>
  <c r="F5" i="31"/>
  <c r="F6"/>
  <c r="F7"/>
  <c r="F8"/>
  <c r="F9"/>
  <c r="F10"/>
  <c r="F11"/>
  <c r="F14"/>
  <c r="F15"/>
  <c r="F16"/>
  <c r="F17"/>
  <c r="F18"/>
  <c r="F19"/>
  <c r="F20"/>
  <c r="F21"/>
  <c r="F24"/>
  <c r="F25"/>
  <c r="F26"/>
  <c r="F27"/>
  <c r="F28"/>
  <c r="F29"/>
  <c r="F30"/>
  <c r="F31"/>
  <c r="F34"/>
  <c r="F35"/>
  <c r="F36"/>
  <c r="F37"/>
  <c r="F38"/>
  <c r="F39"/>
  <c r="F40"/>
  <c r="F41"/>
  <c r="F44"/>
  <c r="F45"/>
  <c r="F46"/>
  <c r="F47"/>
  <c r="F48"/>
  <c r="F49"/>
  <c r="F50"/>
  <c r="F51"/>
  <c r="F54"/>
  <c r="F55"/>
  <c r="F56"/>
  <c r="F57"/>
  <c r="F58"/>
  <c r="F59"/>
  <c r="F60"/>
  <c r="F61"/>
  <c r="F64"/>
  <c r="F65"/>
  <c r="F66"/>
  <c r="F67"/>
  <c r="F68"/>
  <c r="F69"/>
  <c r="F70"/>
  <c r="F71"/>
  <c r="E5"/>
  <c r="E6"/>
  <c r="E7"/>
  <c r="E8"/>
  <c r="E9"/>
  <c r="E10"/>
  <c r="E11"/>
  <c r="E14"/>
  <c r="E15"/>
  <c r="E16"/>
  <c r="E17"/>
  <c r="E18"/>
  <c r="E19"/>
  <c r="E20"/>
  <c r="E21"/>
  <c r="E24"/>
  <c r="E25"/>
  <c r="E26"/>
  <c r="E27"/>
  <c r="E28"/>
  <c r="E29"/>
  <c r="E30"/>
  <c r="E31"/>
  <c r="E34"/>
  <c r="E35"/>
  <c r="E36"/>
  <c r="E37"/>
  <c r="E38"/>
  <c r="E39"/>
  <c r="E40"/>
  <c r="E41"/>
  <c r="E44"/>
  <c r="E45"/>
  <c r="E46"/>
  <c r="E47"/>
  <c r="E48"/>
  <c r="E49"/>
  <c r="E50"/>
  <c r="E51"/>
  <c r="E54"/>
  <c r="E55"/>
  <c r="E56"/>
  <c r="E57"/>
  <c r="E58"/>
  <c r="E59"/>
  <c r="E60"/>
  <c r="E61"/>
  <c r="E64"/>
  <c r="E65"/>
  <c r="E66"/>
  <c r="E67"/>
  <c r="E68"/>
  <c r="E69"/>
  <c r="E70"/>
  <c r="E71"/>
  <c r="D5"/>
  <c r="D6"/>
  <c r="D7"/>
  <c r="D8"/>
  <c r="D9"/>
  <c r="D10"/>
  <c r="D11"/>
  <c r="D14"/>
  <c r="D15"/>
  <c r="D16"/>
  <c r="D17"/>
  <c r="D18"/>
  <c r="D19"/>
  <c r="D20"/>
  <c r="D21"/>
  <c r="D24"/>
  <c r="D25"/>
  <c r="D26"/>
  <c r="D27"/>
  <c r="D28"/>
  <c r="D29"/>
  <c r="D30"/>
  <c r="D31"/>
  <c r="D34"/>
  <c r="D35"/>
  <c r="D36"/>
  <c r="D37"/>
  <c r="D38"/>
  <c r="D39"/>
  <c r="D40"/>
  <c r="D41"/>
  <c r="D44"/>
  <c r="D45"/>
  <c r="D46"/>
  <c r="D47"/>
  <c r="D48"/>
  <c r="D49"/>
  <c r="D50"/>
  <c r="D51"/>
  <c r="D54"/>
  <c r="D55"/>
  <c r="D56"/>
  <c r="D57"/>
  <c r="D58"/>
  <c r="D59"/>
  <c r="D60"/>
  <c r="D61"/>
  <c r="D64"/>
  <c r="D65"/>
  <c r="D66"/>
  <c r="D67"/>
  <c r="D68"/>
  <c r="D69"/>
  <c r="D70"/>
  <c r="D71"/>
  <c r="C5"/>
  <c r="C6"/>
  <c r="C7"/>
  <c r="C8"/>
  <c r="C14"/>
  <c r="C15"/>
  <c r="C16"/>
  <c r="C17"/>
  <c r="C18"/>
  <c r="C24"/>
  <c r="C25"/>
  <c r="C26"/>
  <c r="C27"/>
  <c r="C28"/>
  <c r="C34"/>
  <c r="C35"/>
  <c r="C36"/>
  <c r="C37"/>
  <c r="C38"/>
  <c r="C44"/>
  <c r="C45"/>
  <c r="C46"/>
  <c r="C47"/>
  <c r="C48"/>
  <c r="C54"/>
  <c r="C55"/>
  <c r="C56"/>
  <c r="C57"/>
  <c r="C58"/>
  <c r="C64"/>
  <c r="C65"/>
  <c r="C66"/>
  <c r="C67"/>
  <c r="C68"/>
  <c r="B24"/>
  <c r="B25"/>
  <c r="B26"/>
  <c r="B27"/>
  <c r="B28"/>
  <c r="B34"/>
  <c r="B35"/>
  <c r="B36"/>
  <c r="B37"/>
  <c r="B38"/>
  <c r="B44"/>
  <c r="B45"/>
  <c r="B46"/>
  <c r="B47"/>
  <c r="B48"/>
  <c r="B54"/>
  <c r="B55"/>
  <c r="B56"/>
  <c r="B57"/>
  <c r="B58"/>
  <c r="B64"/>
  <c r="B65"/>
  <c r="B66"/>
  <c r="B67"/>
  <c r="B68"/>
  <c r="B5"/>
  <c r="B6"/>
  <c r="B7"/>
  <c r="B8"/>
  <c r="B14"/>
  <c r="B15"/>
  <c r="B16"/>
  <c r="B17"/>
  <c r="B18"/>
  <c r="F4"/>
  <c r="E4"/>
  <c r="D4"/>
  <c r="C4"/>
  <c r="B4"/>
  <c r="F2"/>
  <c r="E2"/>
  <c r="D2"/>
  <c r="C2"/>
  <c r="B2"/>
  <c r="F70" i="13"/>
  <c r="F71" s="1"/>
  <c r="E70"/>
  <c r="E71" s="1"/>
  <c r="D70"/>
  <c r="D71" s="1"/>
  <c r="C70"/>
  <c r="C71" s="1"/>
  <c r="B70"/>
  <c r="B71" s="1"/>
  <c r="F69"/>
  <c r="E69"/>
  <c r="D69"/>
  <c r="C69"/>
  <c r="B69"/>
  <c r="F60"/>
  <c r="F61" s="1"/>
  <c r="E60"/>
  <c r="E61" s="1"/>
  <c r="D60"/>
  <c r="D61" s="1"/>
  <c r="C60"/>
  <c r="C61" s="1"/>
  <c r="B60"/>
  <c r="B61" s="1"/>
  <c r="F59"/>
  <c r="E59"/>
  <c r="D59"/>
  <c r="C59"/>
  <c r="B59"/>
  <c r="F50"/>
  <c r="F51" s="1"/>
  <c r="E50"/>
  <c r="E51" s="1"/>
  <c r="D50"/>
  <c r="D51" s="1"/>
  <c r="C50"/>
  <c r="C51" s="1"/>
  <c r="B50"/>
  <c r="B51" s="1"/>
  <c r="F49"/>
  <c r="E49"/>
  <c r="D49"/>
  <c r="C49"/>
  <c r="B49"/>
  <c r="F40"/>
  <c r="F41" s="1"/>
  <c r="E40"/>
  <c r="E41" s="1"/>
  <c r="D40"/>
  <c r="D41" s="1"/>
  <c r="C40"/>
  <c r="C41" s="1"/>
  <c r="B40"/>
  <c r="B41" s="1"/>
  <c r="F39"/>
  <c r="E39"/>
  <c r="D39"/>
  <c r="C39"/>
  <c r="B39"/>
  <c r="F30"/>
  <c r="F31" s="1"/>
  <c r="E30"/>
  <c r="E31" s="1"/>
  <c r="D30"/>
  <c r="D31" s="1"/>
  <c r="C30"/>
  <c r="C31" s="1"/>
  <c r="B30"/>
  <c r="B31" s="1"/>
  <c r="F29"/>
  <c r="E29"/>
  <c r="D29"/>
  <c r="C29"/>
  <c r="B29"/>
  <c r="F20"/>
  <c r="F21" s="1"/>
  <c r="E20"/>
  <c r="E21" s="1"/>
  <c r="D20"/>
  <c r="D21" s="1"/>
  <c r="C20"/>
  <c r="C21" s="1"/>
  <c r="B20"/>
  <c r="B21" s="1"/>
  <c r="F19"/>
  <c r="E19"/>
  <c r="D19"/>
  <c r="C19"/>
  <c r="B19"/>
  <c r="F10"/>
  <c r="F11" s="1"/>
  <c r="E10"/>
  <c r="E11" s="1"/>
  <c r="D10"/>
  <c r="D11" s="1"/>
  <c r="C10"/>
  <c r="C11" s="1"/>
  <c r="B10"/>
  <c r="B11" s="1"/>
  <c r="F9"/>
  <c r="E9"/>
  <c r="D9"/>
  <c r="C9"/>
  <c r="B9"/>
  <c r="G69" i="12"/>
  <c r="G70"/>
  <c r="G71" s="1"/>
  <c r="G59"/>
  <c r="G60"/>
  <c r="G61" s="1"/>
  <c r="G49"/>
  <c r="G50"/>
  <c r="G51"/>
  <c r="G39"/>
  <c r="G40"/>
  <c r="G41" s="1"/>
  <c r="G29"/>
  <c r="G30"/>
  <c r="G31" s="1"/>
  <c r="G19"/>
  <c r="G20"/>
  <c r="G21" s="1"/>
  <c r="G9"/>
  <c r="G10"/>
  <c r="G11" s="1"/>
  <c r="F70"/>
  <c r="F71" s="1"/>
  <c r="E70"/>
  <c r="E71" s="1"/>
  <c r="D70"/>
  <c r="D71" s="1"/>
  <c r="C70"/>
  <c r="C71" s="1"/>
  <c r="B70"/>
  <c r="B71" s="1"/>
  <c r="F69"/>
  <c r="E69"/>
  <c r="D69"/>
  <c r="C69"/>
  <c r="B69"/>
  <c r="F60"/>
  <c r="F61" s="1"/>
  <c r="E60"/>
  <c r="E61" s="1"/>
  <c r="D60"/>
  <c r="D61" s="1"/>
  <c r="C60"/>
  <c r="C61" s="1"/>
  <c r="B60"/>
  <c r="B61" s="1"/>
  <c r="F59"/>
  <c r="E59"/>
  <c r="D59"/>
  <c r="C59"/>
  <c r="B59"/>
  <c r="F50"/>
  <c r="F51" s="1"/>
  <c r="E50"/>
  <c r="E51" s="1"/>
  <c r="D50"/>
  <c r="D51" s="1"/>
  <c r="C50"/>
  <c r="C51" s="1"/>
  <c r="B50"/>
  <c r="B51" s="1"/>
  <c r="F49"/>
  <c r="E49"/>
  <c r="D49"/>
  <c r="C49"/>
  <c r="B49"/>
  <c r="F40"/>
  <c r="F41" s="1"/>
  <c r="E40"/>
  <c r="E41" s="1"/>
  <c r="D40"/>
  <c r="D41" s="1"/>
  <c r="C40"/>
  <c r="C41" s="1"/>
  <c r="B40"/>
  <c r="B41" s="1"/>
  <c r="F39"/>
  <c r="E39"/>
  <c r="D39"/>
  <c r="C39"/>
  <c r="B39"/>
  <c r="F30"/>
  <c r="F31" s="1"/>
  <c r="E30"/>
  <c r="E31" s="1"/>
  <c r="D30"/>
  <c r="D31" s="1"/>
  <c r="C30"/>
  <c r="C31" s="1"/>
  <c r="B30"/>
  <c r="B31" s="1"/>
  <c r="F29"/>
  <c r="E29"/>
  <c r="D29"/>
  <c r="C29"/>
  <c r="B29"/>
  <c r="F20"/>
  <c r="F21" s="1"/>
  <c r="E20"/>
  <c r="E21" s="1"/>
  <c r="D20"/>
  <c r="D21" s="1"/>
  <c r="C20"/>
  <c r="C21" s="1"/>
  <c r="B20"/>
  <c r="B21" s="1"/>
  <c r="F19"/>
  <c r="E19"/>
  <c r="D19"/>
  <c r="C19"/>
  <c r="B19"/>
  <c r="F10"/>
  <c r="F11" s="1"/>
  <c r="E10"/>
  <c r="E11" s="1"/>
  <c r="D10"/>
  <c r="D11" s="1"/>
  <c r="C10"/>
  <c r="C11" s="1"/>
  <c r="B10"/>
  <c r="B11" s="1"/>
  <c r="F9"/>
  <c r="E9"/>
  <c r="D9"/>
  <c r="C9"/>
  <c r="B9"/>
  <c r="I70" i="11"/>
  <c r="I71" s="1"/>
  <c r="H70"/>
  <c r="H71" s="1"/>
  <c r="G70"/>
  <c r="G71" s="1"/>
  <c r="I69"/>
  <c r="H69"/>
  <c r="G69"/>
  <c r="I60"/>
  <c r="I61" s="1"/>
  <c r="H60"/>
  <c r="H61" s="1"/>
  <c r="G60"/>
  <c r="G61" s="1"/>
  <c r="I59"/>
  <c r="H59"/>
  <c r="G59"/>
  <c r="I50"/>
  <c r="I51" s="1"/>
  <c r="H50"/>
  <c r="H51" s="1"/>
  <c r="G50"/>
  <c r="G51" s="1"/>
  <c r="I49"/>
  <c r="H49"/>
  <c r="G49"/>
  <c r="I40"/>
  <c r="I41" s="1"/>
  <c r="H40"/>
  <c r="H41" s="1"/>
  <c r="G40"/>
  <c r="G41" s="1"/>
  <c r="I39"/>
  <c r="H39"/>
  <c r="G39"/>
  <c r="I30"/>
  <c r="I31" s="1"/>
  <c r="H30"/>
  <c r="H31" s="1"/>
  <c r="G30"/>
  <c r="G31" s="1"/>
  <c r="I29"/>
  <c r="H29"/>
  <c r="G29"/>
  <c r="I20"/>
  <c r="I21" s="1"/>
  <c r="H20"/>
  <c r="H21" s="1"/>
  <c r="G20"/>
  <c r="G21" s="1"/>
  <c r="I19"/>
  <c r="H19"/>
  <c r="G19"/>
  <c r="G9"/>
  <c r="H9"/>
  <c r="I9"/>
  <c r="G10"/>
  <c r="H10"/>
  <c r="H11" s="1"/>
  <c r="I10"/>
  <c r="G11"/>
  <c r="I11"/>
  <c r="F70"/>
  <c r="F71" s="1"/>
  <c r="E70"/>
  <c r="E71" s="1"/>
  <c r="D70"/>
  <c r="D71" s="1"/>
  <c r="C70"/>
  <c r="C71" s="1"/>
  <c r="B70"/>
  <c r="B71" s="1"/>
  <c r="F69"/>
  <c r="E69"/>
  <c r="D69"/>
  <c r="C69"/>
  <c r="B69"/>
  <c r="F60"/>
  <c r="F61" s="1"/>
  <c r="E60"/>
  <c r="E61" s="1"/>
  <c r="D60"/>
  <c r="D61" s="1"/>
  <c r="C60"/>
  <c r="C61" s="1"/>
  <c r="B60"/>
  <c r="B61" s="1"/>
  <c r="F59"/>
  <c r="E59"/>
  <c r="D59"/>
  <c r="C59"/>
  <c r="B59"/>
  <c r="F50"/>
  <c r="F51" s="1"/>
  <c r="E50"/>
  <c r="E51" s="1"/>
  <c r="D50"/>
  <c r="D51" s="1"/>
  <c r="C50"/>
  <c r="C51" s="1"/>
  <c r="B50"/>
  <c r="B51" s="1"/>
  <c r="F49"/>
  <c r="E49"/>
  <c r="D49"/>
  <c r="C49"/>
  <c r="B49"/>
  <c r="F40"/>
  <c r="F41" s="1"/>
  <c r="E40"/>
  <c r="E41" s="1"/>
  <c r="D40"/>
  <c r="D41" s="1"/>
  <c r="C40"/>
  <c r="C41" s="1"/>
  <c r="B40"/>
  <c r="B41" s="1"/>
  <c r="F39"/>
  <c r="E39"/>
  <c r="D39"/>
  <c r="C39"/>
  <c r="B39"/>
  <c r="F30"/>
  <c r="F31" s="1"/>
  <c r="E30"/>
  <c r="E31" s="1"/>
  <c r="D30"/>
  <c r="D31" s="1"/>
  <c r="C30"/>
  <c r="C31" s="1"/>
  <c r="B30"/>
  <c r="B31" s="1"/>
  <c r="F29"/>
  <c r="E29"/>
  <c r="D29"/>
  <c r="C29"/>
  <c r="B29"/>
  <c r="F20"/>
  <c r="F21" s="1"/>
  <c r="E20"/>
  <c r="E21" s="1"/>
  <c r="D20"/>
  <c r="D21" s="1"/>
  <c r="C20"/>
  <c r="C21" s="1"/>
  <c r="B20"/>
  <c r="B21" s="1"/>
  <c r="F19"/>
  <c r="E19"/>
  <c r="D19"/>
  <c r="C19"/>
  <c r="B19"/>
  <c r="F10"/>
  <c r="F11" s="1"/>
  <c r="E10"/>
  <c r="E11" s="1"/>
  <c r="D10"/>
  <c r="D11" s="1"/>
  <c r="C10"/>
  <c r="C11" s="1"/>
  <c r="B10"/>
  <c r="B11" s="1"/>
  <c r="F9"/>
  <c r="E9"/>
  <c r="D9"/>
  <c r="C9"/>
  <c r="B9"/>
  <c r="F70" i="10"/>
  <c r="F71" s="1"/>
  <c r="E70"/>
  <c r="E71" s="1"/>
  <c r="D70"/>
  <c r="D71" s="1"/>
  <c r="C70"/>
  <c r="C71" s="1"/>
  <c r="B70"/>
  <c r="B71" s="1"/>
  <c r="F69"/>
  <c r="E69"/>
  <c r="D69"/>
  <c r="C69"/>
  <c r="B69"/>
  <c r="F60"/>
  <c r="F61" s="1"/>
  <c r="E60"/>
  <c r="E61" s="1"/>
  <c r="D60"/>
  <c r="D61" s="1"/>
  <c r="C60"/>
  <c r="C61" s="1"/>
  <c r="B60"/>
  <c r="B61" s="1"/>
  <c r="F59"/>
  <c r="E59"/>
  <c r="D59"/>
  <c r="C59"/>
  <c r="B59"/>
  <c r="F50"/>
  <c r="F51" s="1"/>
  <c r="E50"/>
  <c r="E51" s="1"/>
  <c r="D50"/>
  <c r="D51" s="1"/>
  <c r="C50"/>
  <c r="C51" s="1"/>
  <c r="B50"/>
  <c r="B51" s="1"/>
  <c r="F49"/>
  <c r="E49"/>
  <c r="D49"/>
  <c r="C49"/>
  <c r="B49"/>
  <c r="F40"/>
  <c r="F41" s="1"/>
  <c r="E40"/>
  <c r="E41" s="1"/>
  <c r="D40"/>
  <c r="D41" s="1"/>
  <c r="C40"/>
  <c r="C41" s="1"/>
  <c r="B40"/>
  <c r="B41" s="1"/>
  <c r="F39"/>
  <c r="E39"/>
  <c r="D39"/>
  <c r="C39"/>
  <c r="B39"/>
  <c r="F30"/>
  <c r="F31" s="1"/>
  <c r="E30"/>
  <c r="E31" s="1"/>
  <c r="D30"/>
  <c r="D31" s="1"/>
  <c r="C30"/>
  <c r="C31" s="1"/>
  <c r="B30"/>
  <c r="B31" s="1"/>
  <c r="F29"/>
  <c r="E29"/>
  <c r="D29"/>
  <c r="C29"/>
  <c r="B29"/>
  <c r="F20"/>
  <c r="F21" s="1"/>
  <c r="E20"/>
  <c r="E21" s="1"/>
  <c r="D20"/>
  <c r="D21" s="1"/>
  <c r="C20"/>
  <c r="C21" s="1"/>
  <c r="B20"/>
  <c r="B21" s="1"/>
  <c r="F19"/>
  <c r="E19"/>
  <c r="D19"/>
  <c r="C19"/>
  <c r="B19"/>
  <c r="F10"/>
  <c r="F11" s="1"/>
  <c r="E10"/>
  <c r="E11" s="1"/>
  <c r="D10"/>
  <c r="D11" s="1"/>
  <c r="C10"/>
  <c r="C11" s="1"/>
  <c r="B10"/>
  <c r="B11" s="1"/>
  <c r="F9"/>
  <c r="E9"/>
  <c r="D9"/>
  <c r="C9"/>
  <c r="B9"/>
  <c r="F70" i="9"/>
  <c r="F71" s="1"/>
  <c r="E70"/>
  <c r="E71" s="1"/>
  <c r="D70"/>
  <c r="D71" s="1"/>
  <c r="C70"/>
  <c r="C71" s="1"/>
  <c r="B70"/>
  <c r="B71" s="1"/>
  <c r="F69"/>
  <c r="E69"/>
  <c r="D69"/>
  <c r="C69"/>
  <c r="B69"/>
  <c r="F60"/>
  <c r="F61" s="1"/>
  <c r="E60"/>
  <c r="E61" s="1"/>
  <c r="D60"/>
  <c r="D61" s="1"/>
  <c r="C60"/>
  <c r="C61" s="1"/>
  <c r="B60"/>
  <c r="B61" s="1"/>
  <c r="F59"/>
  <c r="E59"/>
  <c r="D59"/>
  <c r="C59"/>
  <c r="B59"/>
  <c r="F50"/>
  <c r="F51" s="1"/>
  <c r="E50"/>
  <c r="E51" s="1"/>
  <c r="D50"/>
  <c r="D51" s="1"/>
  <c r="C50"/>
  <c r="C51" s="1"/>
  <c r="B50"/>
  <c r="B51" s="1"/>
  <c r="F49"/>
  <c r="E49"/>
  <c r="D49"/>
  <c r="C49"/>
  <c r="B49"/>
  <c r="F40"/>
  <c r="F41" s="1"/>
  <c r="E40"/>
  <c r="E41" s="1"/>
  <c r="D40"/>
  <c r="D41" s="1"/>
  <c r="C40"/>
  <c r="C41" s="1"/>
  <c r="B40"/>
  <c r="B41" s="1"/>
  <c r="F39"/>
  <c r="E39"/>
  <c r="D39"/>
  <c r="C39"/>
  <c r="B39"/>
  <c r="F30"/>
  <c r="F31" s="1"/>
  <c r="E30"/>
  <c r="E31" s="1"/>
  <c r="D30"/>
  <c r="D31" s="1"/>
  <c r="C30"/>
  <c r="C31" s="1"/>
  <c r="B30"/>
  <c r="B31" s="1"/>
  <c r="F29"/>
  <c r="E29"/>
  <c r="D29"/>
  <c r="C29"/>
  <c r="B29"/>
  <c r="F20"/>
  <c r="F21" s="1"/>
  <c r="E20"/>
  <c r="E21" s="1"/>
  <c r="D20"/>
  <c r="D21" s="1"/>
  <c r="C20"/>
  <c r="C21" s="1"/>
  <c r="B20"/>
  <c r="B21" s="1"/>
  <c r="F19"/>
  <c r="E19"/>
  <c r="D19"/>
  <c r="C19"/>
  <c r="B19"/>
  <c r="F10"/>
  <c r="F11" s="1"/>
  <c r="E10"/>
  <c r="E11" s="1"/>
  <c r="D10"/>
  <c r="D11" s="1"/>
  <c r="C10"/>
  <c r="C11" s="1"/>
  <c r="B10"/>
  <c r="B11" s="1"/>
  <c r="F9"/>
  <c r="E9"/>
  <c r="D9"/>
  <c r="C9"/>
  <c r="B9"/>
  <c r="I69" i="7"/>
  <c r="I70"/>
  <c r="I71" s="1"/>
  <c r="I59"/>
  <c r="I60"/>
  <c r="I61"/>
  <c r="I49"/>
  <c r="I50"/>
  <c r="I51" s="1"/>
  <c r="I39"/>
  <c r="I40"/>
  <c r="I41" s="1"/>
  <c r="I29"/>
  <c r="I30"/>
  <c r="I31"/>
  <c r="I19"/>
  <c r="I20"/>
  <c r="I21" s="1"/>
  <c r="I9"/>
  <c r="I10"/>
  <c r="I11"/>
  <c r="H70" i="8"/>
  <c r="H71" s="1"/>
  <c r="G70"/>
  <c r="G71" s="1"/>
  <c r="F70"/>
  <c r="F71" s="1"/>
  <c r="E70"/>
  <c r="E71" s="1"/>
  <c r="D70"/>
  <c r="D71" s="1"/>
  <c r="C70"/>
  <c r="C71" s="1"/>
  <c r="B70"/>
  <c r="B71" s="1"/>
  <c r="H69"/>
  <c r="G69"/>
  <c r="F69"/>
  <c r="E69"/>
  <c r="D69"/>
  <c r="C69"/>
  <c r="B69"/>
  <c r="H60"/>
  <c r="H61" s="1"/>
  <c r="G60"/>
  <c r="G61" s="1"/>
  <c r="F60"/>
  <c r="F61" s="1"/>
  <c r="E60"/>
  <c r="E61" s="1"/>
  <c r="D60"/>
  <c r="D61" s="1"/>
  <c r="C60"/>
  <c r="C61" s="1"/>
  <c r="B60"/>
  <c r="B61" s="1"/>
  <c r="H59"/>
  <c r="G59"/>
  <c r="F59"/>
  <c r="E59"/>
  <c r="D59"/>
  <c r="C59"/>
  <c r="B59"/>
  <c r="H50"/>
  <c r="H51" s="1"/>
  <c r="G50"/>
  <c r="G51" s="1"/>
  <c r="F50"/>
  <c r="F51" s="1"/>
  <c r="E50"/>
  <c r="E51" s="1"/>
  <c r="D50"/>
  <c r="D51" s="1"/>
  <c r="C50"/>
  <c r="C51" s="1"/>
  <c r="B50"/>
  <c r="B51" s="1"/>
  <c r="H49"/>
  <c r="G49"/>
  <c r="F49"/>
  <c r="E49"/>
  <c r="D49"/>
  <c r="C49"/>
  <c r="B49"/>
  <c r="H40"/>
  <c r="H41" s="1"/>
  <c r="G40"/>
  <c r="G41" s="1"/>
  <c r="F40"/>
  <c r="F41" s="1"/>
  <c r="E40"/>
  <c r="E41" s="1"/>
  <c r="D40"/>
  <c r="D41" s="1"/>
  <c r="C40"/>
  <c r="C41" s="1"/>
  <c r="B40"/>
  <c r="B41" s="1"/>
  <c r="H39"/>
  <c r="G39"/>
  <c r="F39"/>
  <c r="E39"/>
  <c r="D39"/>
  <c r="C39"/>
  <c r="B39"/>
  <c r="H30"/>
  <c r="H31" s="1"/>
  <c r="G30"/>
  <c r="G31" s="1"/>
  <c r="F30"/>
  <c r="F31" s="1"/>
  <c r="E30"/>
  <c r="E31" s="1"/>
  <c r="D30"/>
  <c r="D31" s="1"/>
  <c r="C30"/>
  <c r="C31" s="1"/>
  <c r="B30"/>
  <c r="B31" s="1"/>
  <c r="H29"/>
  <c r="G29"/>
  <c r="F29"/>
  <c r="E29"/>
  <c r="D29"/>
  <c r="C29"/>
  <c r="B29"/>
  <c r="H20"/>
  <c r="H21" s="1"/>
  <c r="G20"/>
  <c r="G21" s="1"/>
  <c r="F20"/>
  <c r="F21" s="1"/>
  <c r="E20"/>
  <c r="E21" s="1"/>
  <c r="D20"/>
  <c r="D21" s="1"/>
  <c r="C20"/>
  <c r="C21" s="1"/>
  <c r="B20"/>
  <c r="B21" s="1"/>
  <c r="H19"/>
  <c r="G19"/>
  <c r="F19"/>
  <c r="E19"/>
  <c r="D19"/>
  <c r="C19"/>
  <c r="B19"/>
  <c r="H10"/>
  <c r="H11" s="1"/>
  <c r="G10"/>
  <c r="G11" s="1"/>
  <c r="F10"/>
  <c r="F11" s="1"/>
  <c r="E10"/>
  <c r="E11" s="1"/>
  <c r="D10"/>
  <c r="D11" s="1"/>
  <c r="C10"/>
  <c r="C11" s="1"/>
  <c r="B10"/>
  <c r="B11" s="1"/>
  <c r="H9"/>
  <c r="G9"/>
  <c r="F9"/>
  <c r="E9"/>
  <c r="D9"/>
  <c r="C9"/>
  <c r="B9"/>
  <c r="H70" i="7"/>
  <c r="H71" s="1"/>
  <c r="G70"/>
  <c r="G71" s="1"/>
  <c r="F70"/>
  <c r="F71" s="1"/>
  <c r="E70"/>
  <c r="E71" s="1"/>
  <c r="D70"/>
  <c r="D71" s="1"/>
  <c r="C70"/>
  <c r="C71" s="1"/>
  <c r="B70"/>
  <c r="B71" s="1"/>
  <c r="H69"/>
  <c r="G69"/>
  <c r="F69"/>
  <c r="E69"/>
  <c r="D69"/>
  <c r="C69"/>
  <c r="B69"/>
  <c r="H60"/>
  <c r="H61" s="1"/>
  <c r="G60"/>
  <c r="G61" s="1"/>
  <c r="F60"/>
  <c r="F61" s="1"/>
  <c r="E60"/>
  <c r="E61" s="1"/>
  <c r="D60"/>
  <c r="D61" s="1"/>
  <c r="C60"/>
  <c r="C61" s="1"/>
  <c r="B60"/>
  <c r="B61" s="1"/>
  <c r="H59"/>
  <c r="G59"/>
  <c r="F59"/>
  <c r="E59"/>
  <c r="D59"/>
  <c r="C59"/>
  <c r="B59"/>
  <c r="H50"/>
  <c r="H51" s="1"/>
  <c r="G50"/>
  <c r="G51" s="1"/>
  <c r="F50"/>
  <c r="F51" s="1"/>
  <c r="E50"/>
  <c r="E51" s="1"/>
  <c r="D50"/>
  <c r="D51" s="1"/>
  <c r="C50"/>
  <c r="C51" s="1"/>
  <c r="B50"/>
  <c r="B51" s="1"/>
  <c r="H49"/>
  <c r="G49"/>
  <c r="F49"/>
  <c r="E49"/>
  <c r="D49"/>
  <c r="C49"/>
  <c r="B49"/>
  <c r="H40"/>
  <c r="H41" s="1"/>
  <c r="G40"/>
  <c r="G41" s="1"/>
  <c r="F40"/>
  <c r="F41" s="1"/>
  <c r="E40"/>
  <c r="E41" s="1"/>
  <c r="D40"/>
  <c r="D41" s="1"/>
  <c r="C40"/>
  <c r="C41" s="1"/>
  <c r="B40"/>
  <c r="B41" s="1"/>
  <c r="H39"/>
  <c r="G39"/>
  <c r="F39"/>
  <c r="E39"/>
  <c r="D39"/>
  <c r="C39"/>
  <c r="B39"/>
  <c r="H30"/>
  <c r="H31" s="1"/>
  <c r="G30"/>
  <c r="G31" s="1"/>
  <c r="F30"/>
  <c r="F31" s="1"/>
  <c r="E30"/>
  <c r="E31" s="1"/>
  <c r="D30"/>
  <c r="D31" s="1"/>
  <c r="C30"/>
  <c r="C31" s="1"/>
  <c r="B30"/>
  <c r="B31" s="1"/>
  <c r="H29"/>
  <c r="G29"/>
  <c r="F29"/>
  <c r="E29"/>
  <c r="D29"/>
  <c r="C29"/>
  <c r="B29"/>
  <c r="H20"/>
  <c r="H21" s="1"/>
  <c r="G20"/>
  <c r="G21" s="1"/>
  <c r="F20"/>
  <c r="F21" s="1"/>
  <c r="E20"/>
  <c r="E21" s="1"/>
  <c r="D20"/>
  <c r="D21" s="1"/>
  <c r="C20"/>
  <c r="C21" s="1"/>
  <c r="B20"/>
  <c r="B21" s="1"/>
  <c r="H19"/>
  <c r="G19"/>
  <c r="F19"/>
  <c r="E19"/>
  <c r="D19"/>
  <c r="C19"/>
  <c r="B19"/>
  <c r="H10"/>
  <c r="H11" s="1"/>
  <c r="G10"/>
  <c r="G11" s="1"/>
  <c r="F10"/>
  <c r="F11" s="1"/>
  <c r="E10"/>
  <c r="E11" s="1"/>
  <c r="D10"/>
  <c r="D11" s="1"/>
  <c r="C10"/>
  <c r="C11" s="1"/>
  <c r="B10"/>
  <c r="B11" s="1"/>
  <c r="H9"/>
  <c r="G9"/>
  <c r="F9"/>
  <c r="E9"/>
  <c r="D9"/>
  <c r="C9"/>
  <c r="B9"/>
  <c r="L70" i="6"/>
  <c r="L71" s="1"/>
  <c r="K70"/>
  <c r="K71" s="1"/>
  <c r="J70"/>
  <c r="J71" s="1"/>
  <c r="I70"/>
  <c r="I71" s="1"/>
  <c r="L69"/>
  <c r="K69"/>
  <c r="J69"/>
  <c r="I69"/>
  <c r="L60"/>
  <c r="L61" s="1"/>
  <c r="K60"/>
  <c r="K61" s="1"/>
  <c r="J60"/>
  <c r="J61" s="1"/>
  <c r="I60"/>
  <c r="I61" s="1"/>
  <c r="L59"/>
  <c r="K59"/>
  <c r="J59"/>
  <c r="I59"/>
  <c r="L50"/>
  <c r="L51" s="1"/>
  <c r="K50"/>
  <c r="K51" s="1"/>
  <c r="J50"/>
  <c r="J51" s="1"/>
  <c r="I50"/>
  <c r="I51" s="1"/>
  <c r="L49"/>
  <c r="K49"/>
  <c r="J49"/>
  <c r="I49"/>
  <c r="L40"/>
  <c r="L41" s="1"/>
  <c r="K40"/>
  <c r="K41" s="1"/>
  <c r="J40"/>
  <c r="J41" s="1"/>
  <c r="I40"/>
  <c r="I41" s="1"/>
  <c r="L39"/>
  <c r="K39"/>
  <c r="J39"/>
  <c r="I39"/>
  <c r="L30"/>
  <c r="L31" s="1"/>
  <c r="K30"/>
  <c r="K31" s="1"/>
  <c r="J30"/>
  <c r="J31" s="1"/>
  <c r="I30"/>
  <c r="I31" s="1"/>
  <c r="L29"/>
  <c r="K29"/>
  <c r="J29"/>
  <c r="I29"/>
  <c r="L20"/>
  <c r="L21" s="1"/>
  <c r="K20"/>
  <c r="K21" s="1"/>
  <c r="J20"/>
  <c r="J21" s="1"/>
  <c r="I20"/>
  <c r="I21" s="1"/>
  <c r="L19"/>
  <c r="K19"/>
  <c r="J19"/>
  <c r="I19"/>
  <c r="I9"/>
  <c r="J9"/>
  <c r="K9"/>
  <c r="L9"/>
  <c r="I10"/>
  <c r="J10"/>
  <c r="K10"/>
  <c r="L10"/>
  <c r="I11"/>
  <c r="J11"/>
  <c r="K11"/>
  <c r="L11"/>
  <c r="H70"/>
  <c r="H71" s="1"/>
  <c r="G70"/>
  <c r="G71" s="1"/>
  <c r="F70"/>
  <c r="F71" s="1"/>
  <c r="E70"/>
  <c r="E71" s="1"/>
  <c r="D70"/>
  <c r="D71" s="1"/>
  <c r="C70"/>
  <c r="C71" s="1"/>
  <c r="B70"/>
  <c r="B71" s="1"/>
  <c r="H69"/>
  <c r="G69"/>
  <c r="F69"/>
  <c r="E69"/>
  <c r="D69"/>
  <c r="C69"/>
  <c r="B69"/>
  <c r="H60"/>
  <c r="H61" s="1"/>
  <c r="G60"/>
  <c r="G61" s="1"/>
  <c r="F60"/>
  <c r="F61" s="1"/>
  <c r="E60"/>
  <c r="E61" s="1"/>
  <c r="D60"/>
  <c r="D61" s="1"/>
  <c r="C60"/>
  <c r="C61" s="1"/>
  <c r="B60"/>
  <c r="B61" s="1"/>
  <c r="H59"/>
  <c r="G59"/>
  <c r="F59"/>
  <c r="E59"/>
  <c r="D59"/>
  <c r="C59"/>
  <c r="B59"/>
  <c r="H50"/>
  <c r="H51" s="1"/>
  <c r="G50"/>
  <c r="G51" s="1"/>
  <c r="F50"/>
  <c r="F51" s="1"/>
  <c r="E50"/>
  <c r="E51" s="1"/>
  <c r="D50"/>
  <c r="D51" s="1"/>
  <c r="C50"/>
  <c r="C51" s="1"/>
  <c r="B50"/>
  <c r="B51" s="1"/>
  <c r="H49"/>
  <c r="G49"/>
  <c r="F49"/>
  <c r="E49"/>
  <c r="D49"/>
  <c r="C49"/>
  <c r="B49"/>
  <c r="H40"/>
  <c r="H41" s="1"/>
  <c r="G40"/>
  <c r="G41" s="1"/>
  <c r="F40"/>
  <c r="F41" s="1"/>
  <c r="E40"/>
  <c r="E41" s="1"/>
  <c r="D40"/>
  <c r="D41" s="1"/>
  <c r="C40"/>
  <c r="C41" s="1"/>
  <c r="B40"/>
  <c r="B41" s="1"/>
  <c r="H39"/>
  <c r="G39"/>
  <c r="F39"/>
  <c r="E39"/>
  <c r="D39"/>
  <c r="C39"/>
  <c r="B39"/>
  <c r="H30"/>
  <c r="H31" s="1"/>
  <c r="G30"/>
  <c r="G31" s="1"/>
  <c r="F30"/>
  <c r="F31" s="1"/>
  <c r="E30"/>
  <c r="E31" s="1"/>
  <c r="D30"/>
  <c r="D31" s="1"/>
  <c r="C30"/>
  <c r="C31" s="1"/>
  <c r="B30"/>
  <c r="B31" s="1"/>
  <c r="H29"/>
  <c r="G29"/>
  <c r="F29"/>
  <c r="E29"/>
  <c r="D29"/>
  <c r="C29"/>
  <c r="B29"/>
  <c r="H20"/>
  <c r="H21" s="1"/>
  <c r="G20"/>
  <c r="G21" s="1"/>
  <c r="F20"/>
  <c r="F21" s="1"/>
  <c r="E20"/>
  <c r="E21" s="1"/>
  <c r="D20"/>
  <c r="D21" s="1"/>
  <c r="C20"/>
  <c r="C21" s="1"/>
  <c r="B20"/>
  <c r="B21" s="1"/>
  <c r="H19"/>
  <c r="G19"/>
  <c r="F19"/>
  <c r="E19"/>
  <c r="D19"/>
  <c r="C19"/>
  <c r="B19"/>
  <c r="H10"/>
  <c r="H11" s="1"/>
  <c r="G10"/>
  <c r="G11" s="1"/>
  <c r="F10"/>
  <c r="F11" s="1"/>
  <c r="E10"/>
  <c r="E11" s="1"/>
  <c r="D10"/>
  <c r="D11" s="1"/>
  <c r="C10"/>
  <c r="C11" s="1"/>
  <c r="B10"/>
  <c r="B11" s="1"/>
  <c r="H9"/>
  <c r="G9"/>
  <c r="F9"/>
  <c r="E9"/>
  <c r="D9"/>
  <c r="C9"/>
  <c r="B9"/>
  <c r="H71" i="5"/>
  <c r="F71"/>
  <c r="D71"/>
  <c r="B71"/>
  <c r="H70"/>
  <c r="G70"/>
  <c r="G71" s="1"/>
  <c r="F70"/>
  <c r="E70"/>
  <c r="E71" s="1"/>
  <c r="D70"/>
  <c r="C70"/>
  <c r="C71" s="1"/>
  <c r="B70"/>
  <c r="H69"/>
  <c r="G69"/>
  <c r="F69"/>
  <c r="E69"/>
  <c r="D69"/>
  <c r="C69"/>
  <c r="B69"/>
  <c r="G61"/>
  <c r="E61"/>
  <c r="C61"/>
  <c r="H60"/>
  <c r="H61" s="1"/>
  <c r="G60"/>
  <c r="F60"/>
  <c r="F61" s="1"/>
  <c r="E60"/>
  <c r="D60"/>
  <c r="D61" s="1"/>
  <c r="C60"/>
  <c r="B60"/>
  <c r="B61" s="1"/>
  <c r="H59"/>
  <c r="G59"/>
  <c r="F59"/>
  <c r="E59"/>
  <c r="D59"/>
  <c r="C59"/>
  <c r="B59"/>
  <c r="H51"/>
  <c r="F51"/>
  <c r="D51"/>
  <c r="B51"/>
  <c r="H50"/>
  <c r="G50"/>
  <c r="G51" s="1"/>
  <c r="F50"/>
  <c r="E50"/>
  <c r="E51" s="1"/>
  <c r="D50"/>
  <c r="C50"/>
  <c r="C51" s="1"/>
  <c r="B50"/>
  <c r="H49"/>
  <c r="G49"/>
  <c r="F49"/>
  <c r="E49"/>
  <c r="D49"/>
  <c r="C49"/>
  <c r="B49"/>
  <c r="G41"/>
  <c r="E41"/>
  <c r="C41"/>
  <c r="H40"/>
  <c r="H41" s="1"/>
  <c r="G40"/>
  <c r="F40"/>
  <c r="F41" s="1"/>
  <c r="E40"/>
  <c r="D40"/>
  <c r="D41" s="1"/>
  <c r="C40"/>
  <c r="B40"/>
  <c r="B41" s="1"/>
  <c r="H39"/>
  <c r="G39"/>
  <c r="F39"/>
  <c r="E39"/>
  <c r="D39"/>
  <c r="C39"/>
  <c r="B39"/>
  <c r="H31"/>
  <c r="F31"/>
  <c r="D31"/>
  <c r="B31"/>
  <c r="H30"/>
  <c r="G30"/>
  <c r="G31" s="1"/>
  <c r="F30"/>
  <c r="E30"/>
  <c r="E31" s="1"/>
  <c r="D30"/>
  <c r="C30"/>
  <c r="C31" s="1"/>
  <c r="B30"/>
  <c r="H29"/>
  <c r="G29"/>
  <c r="F29"/>
  <c r="E29"/>
  <c r="D29"/>
  <c r="C29"/>
  <c r="B29"/>
  <c r="G21"/>
  <c r="E21"/>
  <c r="C21"/>
  <c r="H20"/>
  <c r="H21" s="1"/>
  <c r="G20"/>
  <c r="F20"/>
  <c r="F21" s="1"/>
  <c r="E20"/>
  <c r="D20"/>
  <c r="D21" s="1"/>
  <c r="C20"/>
  <c r="B20"/>
  <c r="B21" s="1"/>
  <c r="H19"/>
  <c r="G19"/>
  <c r="F19"/>
  <c r="E19"/>
  <c r="D19"/>
  <c r="C19"/>
  <c r="B19"/>
  <c r="H11"/>
  <c r="F11"/>
  <c r="D11"/>
  <c r="B11"/>
  <c r="H10"/>
  <c r="G10"/>
  <c r="G11" s="1"/>
  <c r="F10"/>
  <c r="E10"/>
  <c r="E11" s="1"/>
  <c r="D10"/>
  <c r="C10"/>
  <c r="C11" s="1"/>
  <c r="B10"/>
  <c r="H9"/>
  <c r="G9"/>
  <c r="F9"/>
  <c r="E9"/>
  <c r="D9"/>
  <c r="C9"/>
  <c r="B9"/>
  <c r="H70" i="4"/>
  <c r="H71" s="1"/>
  <c r="G70"/>
  <c r="G71" s="1"/>
  <c r="F70"/>
  <c r="F71" s="1"/>
  <c r="E70"/>
  <c r="E71" s="1"/>
  <c r="D70"/>
  <c r="D71" s="1"/>
  <c r="C70"/>
  <c r="C71" s="1"/>
  <c r="C71" i="31" s="1"/>
  <c r="B70" i="4"/>
  <c r="B71" s="1"/>
  <c r="H69"/>
  <c r="G69"/>
  <c r="F69"/>
  <c r="E69"/>
  <c r="D69"/>
  <c r="C69"/>
  <c r="C69" i="31" s="1"/>
  <c r="B69" i="4"/>
  <c r="H60"/>
  <c r="H61" s="1"/>
  <c r="G60"/>
  <c r="G61" s="1"/>
  <c r="F60"/>
  <c r="F61" s="1"/>
  <c r="E60"/>
  <c r="E61" s="1"/>
  <c r="D60"/>
  <c r="D61" s="1"/>
  <c r="C60"/>
  <c r="C61" s="1"/>
  <c r="C61" i="31" s="1"/>
  <c r="B60" i="4"/>
  <c r="B61" s="1"/>
  <c r="H59"/>
  <c r="G59"/>
  <c r="F59"/>
  <c r="E59"/>
  <c r="D59"/>
  <c r="C59"/>
  <c r="C59" i="31" s="1"/>
  <c r="B59" i="4"/>
  <c r="H50"/>
  <c r="H51" s="1"/>
  <c r="G50"/>
  <c r="G51" s="1"/>
  <c r="F50"/>
  <c r="F51" s="1"/>
  <c r="E50"/>
  <c r="E51" s="1"/>
  <c r="D50"/>
  <c r="D51" s="1"/>
  <c r="C50"/>
  <c r="C51" s="1"/>
  <c r="C51" i="31" s="1"/>
  <c r="B50" i="4"/>
  <c r="B51" s="1"/>
  <c r="H49"/>
  <c r="G49"/>
  <c r="F49"/>
  <c r="E49"/>
  <c r="D49"/>
  <c r="C49"/>
  <c r="C49" i="31" s="1"/>
  <c r="B49" i="4"/>
  <c r="H40"/>
  <c r="H41" s="1"/>
  <c r="G40"/>
  <c r="G41" s="1"/>
  <c r="F40"/>
  <c r="F41" s="1"/>
  <c r="E40"/>
  <c r="E41" s="1"/>
  <c r="D40"/>
  <c r="D41" s="1"/>
  <c r="C40"/>
  <c r="C41" s="1"/>
  <c r="C41" i="31" s="1"/>
  <c r="B40" i="4"/>
  <c r="B41" s="1"/>
  <c r="H39"/>
  <c r="G39"/>
  <c r="F39"/>
  <c r="E39"/>
  <c r="D39"/>
  <c r="C39"/>
  <c r="C39" i="31" s="1"/>
  <c r="B39" i="4"/>
  <c r="H30"/>
  <c r="H31" s="1"/>
  <c r="G30"/>
  <c r="G31" s="1"/>
  <c r="F30"/>
  <c r="F31" s="1"/>
  <c r="E30"/>
  <c r="E31" s="1"/>
  <c r="D30"/>
  <c r="D31" s="1"/>
  <c r="C30"/>
  <c r="C31" s="1"/>
  <c r="C31" i="31" s="1"/>
  <c r="B30" i="4"/>
  <c r="B31" s="1"/>
  <c r="H29"/>
  <c r="G29"/>
  <c r="F29"/>
  <c r="E29"/>
  <c r="D29"/>
  <c r="C29"/>
  <c r="C29" i="31" s="1"/>
  <c r="B29" i="4"/>
  <c r="H20"/>
  <c r="H21" s="1"/>
  <c r="G20"/>
  <c r="G21" s="1"/>
  <c r="F20"/>
  <c r="F21" s="1"/>
  <c r="E20"/>
  <c r="E21" s="1"/>
  <c r="D20"/>
  <c r="D21" s="1"/>
  <c r="C20"/>
  <c r="C21" s="1"/>
  <c r="C21" i="31" s="1"/>
  <c r="B20" i="4"/>
  <c r="B21" s="1"/>
  <c r="H19"/>
  <c r="G19"/>
  <c r="F19"/>
  <c r="E19"/>
  <c r="D19"/>
  <c r="C19"/>
  <c r="C19" i="31" s="1"/>
  <c r="B19" i="4"/>
  <c r="H10"/>
  <c r="H11" s="1"/>
  <c r="G10"/>
  <c r="G11" s="1"/>
  <c r="F10"/>
  <c r="F11" s="1"/>
  <c r="E10"/>
  <c r="E11" s="1"/>
  <c r="D10"/>
  <c r="D11" s="1"/>
  <c r="C10"/>
  <c r="C11" s="1"/>
  <c r="C11" i="31" s="1"/>
  <c r="B10" i="4"/>
  <c r="B11" s="1"/>
  <c r="H9"/>
  <c r="G9"/>
  <c r="F9"/>
  <c r="E9"/>
  <c r="D9"/>
  <c r="C9"/>
  <c r="C9" i="31" s="1"/>
  <c r="B9" i="4"/>
  <c r="H70" i="1"/>
  <c r="H71" s="1"/>
  <c r="G70"/>
  <c r="G71" s="1"/>
  <c r="F70"/>
  <c r="F71" s="1"/>
  <c r="E70"/>
  <c r="E71" s="1"/>
  <c r="D70"/>
  <c r="D71" s="1"/>
  <c r="C70"/>
  <c r="C71" s="1"/>
  <c r="B70"/>
  <c r="B70" i="31" s="1"/>
  <c r="H60" i="1"/>
  <c r="H61" s="1"/>
  <c r="G60"/>
  <c r="G61" s="1"/>
  <c r="F60"/>
  <c r="F61" s="1"/>
  <c r="E60"/>
  <c r="E61" s="1"/>
  <c r="D60"/>
  <c r="D61" s="1"/>
  <c r="C60"/>
  <c r="C61" s="1"/>
  <c r="B60"/>
  <c r="B60" i="31" s="1"/>
  <c r="H50" i="1"/>
  <c r="H51" s="1"/>
  <c r="G50"/>
  <c r="G51" s="1"/>
  <c r="F50"/>
  <c r="F51" s="1"/>
  <c r="E50"/>
  <c r="E51" s="1"/>
  <c r="D50"/>
  <c r="D51" s="1"/>
  <c r="C50"/>
  <c r="C51" s="1"/>
  <c r="B50"/>
  <c r="B50" i="31" s="1"/>
  <c r="H40" i="1"/>
  <c r="H41" s="1"/>
  <c r="G40"/>
  <c r="G41" s="1"/>
  <c r="F40"/>
  <c r="F41" s="1"/>
  <c r="E40"/>
  <c r="E41" s="1"/>
  <c r="D40"/>
  <c r="D41" s="1"/>
  <c r="C40"/>
  <c r="C41" s="1"/>
  <c r="B40"/>
  <c r="B40" i="31" s="1"/>
  <c r="H30" i="1"/>
  <c r="H31" s="1"/>
  <c r="G30"/>
  <c r="G31" s="1"/>
  <c r="F30"/>
  <c r="F31" s="1"/>
  <c r="E30"/>
  <c r="E31" s="1"/>
  <c r="D30"/>
  <c r="D31" s="1"/>
  <c r="C30"/>
  <c r="C31" s="1"/>
  <c r="B30"/>
  <c r="B30" i="31" s="1"/>
  <c r="H20" i="1"/>
  <c r="H21" s="1"/>
  <c r="G20"/>
  <c r="G21" s="1"/>
  <c r="F20"/>
  <c r="F21" s="1"/>
  <c r="E20"/>
  <c r="E21" s="1"/>
  <c r="D20"/>
  <c r="D21" s="1"/>
  <c r="C20"/>
  <c r="C21" s="1"/>
  <c r="B20"/>
  <c r="B21" s="1"/>
  <c r="B21" i="31" s="1"/>
  <c r="H10" i="1"/>
  <c r="H11" s="1"/>
  <c r="C10"/>
  <c r="C11" s="1"/>
  <c r="D10"/>
  <c r="D11" s="1"/>
  <c r="E10"/>
  <c r="E11" s="1"/>
  <c r="F10"/>
  <c r="F11" s="1"/>
  <c r="G10"/>
  <c r="G11" s="1"/>
  <c r="B10"/>
  <c r="B11" s="1"/>
  <c r="B11" i="31" s="1"/>
  <c r="B19" i="1"/>
  <c r="B19" i="31" s="1"/>
  <c r="C19" i="1"/>
  <c r="D19"/>
  <c r="E19"/>
  <c r="F19"/>
  <c r="G19"/>
  <c r="H19"/>
  <c r="H69"/>
  <c r="G69"/>
  <c r="F69"/>
  <c r="E69"/>
  <c r="D69"/>
  <c r="C69"/>
  <c r="B69"/>
  <c r="B69" i="31" s="1"/>
  <c r="H59" i="1"/>
  <c r="G59"/>
  <c r="F59"/>
  <c r="E59"/>
  <c r="D59"/>
  <c r="C59"/>
  <c r="B59"/>
  <c r="B59" i="31" s="1"/>
  <c r="H49" i="1"/>
  <c r="G49"/>
  <c r="F49"/>
  <c r="E49"/>
  <c r="D49"/>
  <c r="C49"/>
  <c r="B49"/>
  <c r="B49" i="31" s="1"/>
  <c r="H39" i="1"/>
  <c r="G39"/>
  <c r="F39"/>
  <c r="E39"/>
  <c r="D39"/>
  <c r="C39"/>
  <c r="B39"/>
  <c r="B39" i="31" s="1"/>
  <c r="H29" i="1"/>
  <c r="G29"/>
  <c r="F29"/>
  <c r="E29"/>
  <c r="D29"/>
  <c r="C29"/>
  <c r="B29"/>
  <c r="B29" i="31" s="1"/>
  <c r="C9" i="1"/>
  <c r="D9"/>
  <c r="E9"/>
  <c r="F9"/>
  <c r="G9"/>
  <c r="H9"/>
  <c r="B9"/>
  <c r="B9" i="31" s="1"/>
  <c r="C70" l="1"/>
  <c r="C60"/>
  <c r="C50"/>
  <c r="C40"/>
  <c r="C30"/>
  <c r="C20"/>
  <c r="C10"/>
  <c r="B31" i="1"/>
  <c r="B31" i="31" s="1"/>
  <c r="B51" i="1"/>
  <c r="B51" i="31" s="1"/>
  <c r="B71" i="1"/>
  <c r="B71" i="31" s="1"/>
  <c r="B20"/>
  <c r="B10"/>
  <c r="B41" i="1"/>
  <c r="B41" i="31" s="1"/>
  <c r="B61" i="1"/>
  <c r="B61" i="31" s="1"/>
</calcChain>
</file>

<file path=xl/connections.xml><?xml version="1.0" encoding="utf-8"?>
<connections xmlns="http://schemas.openxmlformats.org/spreadsheetml/2006/main">
  <connection id="1" name="10-noninc.log" type="6" refreshedVersion="3" background="1">
    <textPr codePage="437" sourceFile="C:\cygwin\home\gregkar\EclipseWorkspace\orchestra\experiments\outputs\tods\dbserv4\Xmas-rch-bug\scalabilityInt\2000\10-noninc.log.csv">
      <textFields count="2">
        <textField/>
        <textField/>
      </textFields>
    </textPr>
  </connection>
  <connection id="2" name="10-noninc.log1" type="6" refreshedVersion="3" background="1">
    <textPr codePage="437" sourceFile="C:\cygwin\home\gregkar\EclipseWorkspace\orchestra\experiments\outputs\tods\dbserv4\Xmas-rch-bug\scalabilityInt\4000\10-noninc.log.csv">
      <textFields count="2">
        <textField/>
        <textField/>
      </textFields>
    </textPr>
  </connection>
  <connection id="3" name="10p.log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4" name="10p.log1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5" name="10p.log11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6" name="10p.log111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7" name="10p.log112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8" name="10p.log1121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9" name="10p.log113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10" name="10p.log1131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11" name="10p.log11311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12" name="10p.log11312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13" name="10p.log11313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14" name="10p.log114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15" name="10p.log1141" type="6" refreshedVersion="3" background="1" saveData="1">
    <textPr codePage="437" sourceFile="C:\cygwin\home\gkarvoun\EclipseWorkspace\sharq\experiments\outputs\tods\dbserv4\Xmas-rch-bug\scalabilityInt\2000\10p.log.csv" space="1" consecutive="1">
      <textFields count="3">
        <textField/>
        <textField/>
        <textField/>
      </textFields>
    </textPr>
  </connection>
  <connection id="16" name="10p.log2" type="6" refreshedVersion="3" background="1">
    <textPr codePage="437" sourceFile="C:\cygwin\home\gkarvoun\EclipseWorkspace\sharq\experiments\outputs\tods\dbserv4\Xmas-rch-bug\scalabilityInt\4000\10p.log.csv" space="1" consecutive="1">
      <textFields count="3">
        <textField/>
        <textField/>
        <textField/>
      </textFields>
    </textPr>
  </connection>
  <connection id="17" name="10p.log3" type="6" refreshedVersion="3" background="1">
    <textPr codePage="437" sourceFile="C:\cygwin\home\gkarvoun\EclipseWorkspace\sharq\experiments\outputs\tods\dbserv4\Xmas-rch-bug\scalabilityInt\6000\10p.log.csv">
      <textFields>
        <textField/>
      </textFields>
    </textPr>
  </connection>
  <connection id="18" name="10p.log4" type="6" refreshedVersion="3" background="1" saveData="1">
    <textPr codePage="437" sourceFile="C:\cygwin\home\gkarvoun\EclipseWorkspace\sharq\experiments\outputs\tods\dbserv4\Xmas-rch-bug\scalabilityInt\10000\10p.log.csv">
      <textFields>
        <textField/>
      </textFields>
    </textPr>
  </connection>
  <connection id="19" name="10p.log5" type="6" refreshedVersion="3" background="1">
    <textPr codePage="437" sourceFile="C:\cygwin\home\gkarvoun\EclipseWorkspace\sharq\experiments\outputs\tods\dbserv4\Xmas-rch-bug\scalabilityString\4000\10p.log.csv">
      <textFields>
        <textField/>
      </textFields>
    </textPr>
  </connection>
  <connection id="20" name="10p.log6" type="6" refreshedVersion="3" background="1" saveData="1">
    <textPr codePage="437" sourceFile="C:\cygwin\home\gkarvoun\EclipseWorkspace\sharq\experiments\outputs\tods\dbserv4\Xmas-rch-bug\scalabilityString\6000\10p.log.csv">
      <textFields>
        <textField/>
      </textFields>
    </textPr>
  </connection>
  <connection id="21" name="10p.log7" type="6" refreshedVersion="3" background="1">
    <textPr codePage="437" sourceFile="C:\cygwin\home\gkarvoun\EclipseWorkspace\sharq\experiments\outputs\tods\dbserv4\Xmas-rch-bug\scalabilityString\8000\10p.log.csv">
      <textFields>
        <textField/>
      </textFields>
    </textPr>
  </connection>
  <connection id="22" name="10p.log8" type="6" refreshedVersion="3" background="1">
    <textPr codePage="437" sourceFile="C:\cygwin\home\gkarvoun\EclipseWorkspace\sharq\experiments\outputs\tods\dbserv4\Xmas-rch-bug\scalabilityString\10000\10p.log.csv">
      <textFields>
        <textField/>
      </textFields>
    </textPr>
  </connection>
  <connection id="23" name="12p.log" type="6" refreshedVersion="3" background="1">
    <textPr codePage="437" sourceFile="C:\cygwin\home\gkarvoun\EclipseWorkspace\sharq\experiments\outputs\tods\dbserv4\Xmas-rch-bug\scalabilityInt\6000\12p.log.csv">
      <textFields>
        <textField/>
      </textFields>
    </textPr>
  </connection>
  <connection id="24" name="12p.log1" type="6" refreshedVersion="3" background="1" saveData="1">
    <textPr codePage="437" sourceFile="C:\cygwin\home\gkarvoun\EclipseWorkspace\sharq\experiments\outputs\tods\dbserv4\Xmas-rch-bug\scalabilityInt\10000\12p.log.csv">
      <textFields>
        <textField/>
      </textFields>
    </textPr>
  </connection>
  <connection id="25" name="12p.log2" type="6" refreshedVersion="3" background="1" saveData="1">
    <textPr codePage="437" sourceFile="C:\cygwin\home\gkarvoun\EclipseWorkspace\sharq\experiments\outputs\tods\dbserv4\Xmas-rch-bug\scalabilityString\6000\12p.log.csv">
      <textFields>
        <textField/>
      </textFields>
    </textPr>
  </connection>
  <connection id="26" name="12p.log3" type="6" refreshedVersion="3" background="1">
    <textPr codePage="437" sourceFile="C:\cygwin\home\gkarvoun\EclipseWorkspace\sharq\experiments\outputs\tods\dbserv4\Xmas-rch-bug\scalabilityString\8000\12p.log.csv">
      <textFields>
        <textField/>
      </textFields>
    </textPr>
  </connection>
  <connection id="27" name="14p.log" type="6" refreshedVersion="3" background="1">
    <textPr codePage="437" sourceFile="C:\cygwin\home\gkarvoun\EclipseWorkspace\sharq\experiments\outputs\tods\dbserv4\Xmas-rch-bug\scalabilityInt\6000\14p.log.csv">
      <textFields>
        <textField/>
      </textFields>
    </textPr>
  </connection>
  <connection id="28" name="14p.log1" type="6" refreshedVersion="3" background="1" saveData="1">
    <textPr codePage="437" sourceFile="C:\cygwin\home\gkarvoun\EclipseWorkspace\sharq\experiments\outputs\tods\dbserv4\Xmas-rch-bug\scalabilityInt\10000\14p.log.csv">
      <textFields>
        <textField/>
      </textFields>
    </textPr>
  </connection>
  <connection id="29" name="14p.log2" type="6" refreshedVersion="3" background="1" saveData="1">
    <textPr codePage="437" sourceFile="C:\cygwin\home\gkarvoun\EclipseWorkspace\sharq\experiments\outputs\tods\dbserv4\Xmas-rch-bug\scalabilityString\6000\14p.log.csv">
      <textFields>
        <textField/>
      </textFields>
    </textPr>
  </connection>
  <connection id="30" name="15-noninc.log" type="6" refreshedVersion="3" background="1">
    <textPr codePage="437" sourceFile="C:\cygwin\home\gregkar\EclipseWorkspace\orchestra\experiments\outputs\tods\dbserv4\Xmas-rch-bug\scalabilityInt\4000\15-noninc.log.csv">
      <textFields count="2">
        <textField/>
        <textField/>
      </textFields>
    </textPr>
  </connection>
  <connection id="31" name="15p.log" type="6" refreshedVersion="3" background="1">
    <textPr codePage="437" sourceFile="C:\cygwin\home\gkarvoun\EclipseWorkspace\sharq\experiments\outputs\tods\dbserv4\Xmas-rch-bug\scalabilityInt\4000\15p.log.csv" space="1" consecutive="1">
      <textFields count="3">
        <textField/>
        <textField/>
        <textField/>
      </textFields>
    </textPr>
  </connection>
  <connection id="32" name="15p.log1" type="6" refreshedVersion="3" background="1">
    <textPr codePage="437" sourceFile="C:\cygwin\home\gkarvoun\EclipseWorkspace\sharq\experiments\outputs\tods\dbserv4\Xmas-rch-bug\scalabilityString\4000\15p.log.csv">
      <textFields>
        <textField/>
      </textFields>
    </textPr>
  </connection>
  <connection id="33" name="16p.log" type="6" refreshedVersion="3" background="1">
    <textPr codePage="437" sourceFile="C:\cygwin\home\gkarvoun\EclipseWorkspace\sharq\experiments\outputs\tods\dbserv4\Xmas-rch-bug\scalabilityInt\6000\16p.log.csv">
      <textFields>
        <textField/>
      </textFields>
    </textPr>
  </connection>
  <connection id="34" name="16p.log1" type="6" refreshedVersion="3" background="1" saveData="1">
    <textPr codePage="437" sourceFile="C:\cygwin\home\gkarvoun\EclipseWorkspace\sharq\experiments\outputs\tods\dbserv4\Xmas-rch-bug\scalabilityString\6000\16p.log.csv">
      <textFields>
        <textField/>
      </textFields>
    </textPr>
  </connection>
  <connection id="35" name="18p.log" type="6" refreshedVersion="3" background="1">
    <textPr codePage="437" sourceFile="C:\cygwin\home\gkarvoun\EclipseWorkspace\sharq\experiments\outputs\tods\dbserv4\Xmas-rch-bug\scalabilityInt\6000\18p.log.csv">
      <textFields>
        <textField/>
      </textFields>
    </textPr>
  </connection>
  <connection id="36" name="20-noninc.log" type="6" refreshedVersion="3" background="1" saveData="1">
    <textPr codePage="437" sourceFile="C:\cygwin\home\gregkar\EclipseWorkspace\orchestra\experiments\outputs\tods\dbserv4\Xmas-rch-bug\scalabilityInt\2000\20-noninc.log.csv">
      <textFields count="2">
        <textField/>
        <textField/>
      </textFields>
    </textPr>
  </connection>
  <connection id="37" name="20-noninc.log1" type="6" refreshedVersion="3" background="1">
    <textPr codePage="437" sourceFile="C:\cygwin\home\gregkar\EclipseWorkspace\orchestra\experiments\outputs\tods\dbserv4\Xmas-rch-bug\scalabilityInt\2000\20-noninc.log.csv">
      <textFields count="2">
        <textField/>
        <textField/>
      </textFields>
    </textPr>
  </connection>
  <connection id="38" name="20-noninc.log2" type="6" refreshedVersion="3" background="1">
    <textPr codePage="437" sourceFile="C:\cygwin\home\gregkar\EclipseWorkspace\orchestra\experiments\outputs\tods\dbserv4\Xmas-rch-bug\scalabilityInt\4000\20-noninc.log.csv">
      <textFields count="2">
        <textField/>
        <textField/>
      </textFields>
    </textPr>
  </connection>
  <connection id="39" name="20p.log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40" name="20p.log1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41" name="20p.log11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42" name="20p.log111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43" name="20p.log112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44" name="20p.log1121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45" name="20p.log113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46" name="20p.log1131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47" name="20p.log11311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48" name="20p.log11312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49" name="20p.log11313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50" name="20p.log114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51" name="20p.log1141" type="6" refreshedVersion="3" background="1" saveData="1">
    <textPr codePage="437" sourceFile="C:\cygwin\home\gkarvoun\EclipseWorkspace\sharq\experiments\outputs\tods\dbserv4\Xmas-rch-bug\scalabilityInt\2000\20p.log.csv" space="1" consecutive="1">
      <textFields count="3">
        <textField/>
        <textField/>
        <textField/>
      </textFields>
    </textPr>
  </connection>
  <connection id="52" name="20p.log2" type="6" refreshedVersion="3" background="1">
    <textPr codePage="437" sourceFile="C:\cygwin\home\gkarvoun\EclipseWorkspace\sharq\experiments\outputs\tods\dbserv4\Xmas-rch-bug\scalabilityInt\4000\20p.log.csv" space="1" consecutive="1">
      <textFields count="3">
        <textField/>
        <textField/>
        <textField/>
      </textFields>
    </textPr>
  </connection>
  <connection id="53" name="20p.log3" type="6" refreshedVersion="3" background="1">
    <textPr codePage="437" sourceFile="C:\cygwin\home\gkarvoun\EclipseWorkspace\sharq\experiments\outputs\tods\dbserv4\Xmas-rch-bug\scalabilityInt\6000\20p.log.csv">
      <textFields>
        <textField/>
      </textFields>
    </textPr>
  </connection>
  <connection id="54" name="20p.log4" type="6" refreshedVersion="3" background="1">
    <textPr codePage="437" sourceFile="C:\cygwin\home\gkarvoun\EclipseWorkspace\sharq\experiments\outputs\tods\dbserv4\Xmas-rch-bug\scalabilityString\4000\20p.log.csv">
      <textFields>
        <textField/>
      </textFields>
    </textPr>
  </connection>
  <connection id="55" name="22p.log" type="6" refreshedVersion="3" background="1">
    <textPr codePage="437" sourceFile="C:\cygwin\home\gkarvoun\EclipseWorkspace\sharq\experiments\outputs\tods\dbserv4\Xmas-rch-bug\scalabilityInt\6000\22p.log.csv">
      <textFields>
        <textField/>
      </textFields>
    </textPr>
  </connection>
  <connection id="56" name="25-noninc.log" type="6" refreshedVersion="3" background="1">
    <textPr codePage="437" sourceFile="C:\cygwin\home\gregkar\EclipseWorkspace\orchestra\experiments\outputs\tods\dbserv4\Xmas-rch-bug\scalabilityInt\4000\25-noninc.log.csv">
      <textFields count="2">
        <textField/>
        <textField/>
      </textFields>
    </textPr>
  </connection>
  <connection id="57" name="25p.log" type="6" refreshedVersion="3" background="1">
    <textPr codePage="437" sourceFile="C:\cygwin\home\gkarvoun\EclipseWorkspace\sharq\experiments\outputs\tods\dbserv4\Xmas-rch-bug\scalabilityInt\4000\25p.log.csv" space="1" consecutive="1">
      <textFields count="3">
        <textField/>
        <textField/>
        <textField/>
      </textFields>
    </textPr>
  </connection>
  <connection id="58" name="25p.log1" type="6" refreshedVersion="3" background="1">
    <textPr codePage="437" sourceFile="C:\cygwin\home\gkarvoun\EclipseWorkspace\sharq\experiments\outputs\tods\dbserv4\Xmas-rch-bug\scalabilityString\4000\25p.log.csv">
      <textFields>
        <textField/>
      </textFields>
    </textPr>
  </connection>
  <connection id="59" name="2p.log" type="6" refreshedVersion="3" background="1">
    <textPr codePage="437" sourceFile="C:\cygwin\home\gkarvoun\EclipseWorkspace\sharq\experiments\outputs\tods\dbserv4\Xmas-rch-bug\scalabilityInt\6000\2p.log.csv" space="1" consecutive="1">
      <textFields count="3">
        <textField/>
        <textField/>
        <textField/>
      </textFields>
    </textPr>
  </connection>
  <connection id="60" name="2p.log1" type="6" refreshedVersion="3" background="1" saveData="1">
    <textPr codePage="437" sourceFile="C:\cygwin\home\gkarvoun\EclipseWorkspace\sharq\experiments\outputs\tods\dbserv4\Xmas-rch-bug\scalabilityInt\10000\2p.log.csv">
      <textFields>
        <textField/>
      </textFields>
    </textPr>
  </connection>
  <connection id="61" name="2p.log2" type="6" refreshedVersion="3" background="1" saveData="1">
    <textPr codePage="437" sourceFile="C:\cygwin\home\gkarvoun\EclipseWorkspace\sharq\experiments\outputs\tods\dbserv4\Xmas-rch-bug\scalabilityString\6000\2p.log.csv">
      <textFields>
        <textField/>
      </textFields>
    </textPr>
  </connection>
  <connection id="62" name="2p.log3" type="6" refreshedVersion="3" background="1">
    <textPr codePage="437" sourceFile="C:\cygwin\home\gkarvoun\EclipseWorkspace\sharq\experiments\outputs\tods\dbserv4\Xmas-rch-bug\scalabilityString\8000\2p.log.csv">
      <textFields>
        <textField/>
      </textFields>
    </textPr>
  </connection>
  <connection id="63" name="2p.log4" type="6" refreshedVersion="3" background="1">
    <textPr codePage="437" sourceFile="C:\cygwin\home\gkarvoun\EclipseWorkspace\sharq\experiments\outputs\tods\dbserv4\Xmas-rch-bug\scalabilityString\10000\2p.log.csv">
      <textFields>
        <textField/>
      </textFields>
    </textPr>
  </connection>
  <connection id="64" name="30-noninc.log" type="6" refreshedVersion="3" background="1" saveData="1">
    <textPr codePage="437" sourceFile="C:\cygwin\home\gregkar\EclipseWorkspace\orchestra\experiments\outputs\tods\dbserv4\Xmas-rch-bug\scalabilityInt\2000\30-noninc.log.csv">
      <textFields count="2">
        <textField/>
        <textField/>
      </textFields>
    </textPr>
  </connection>
  <connection id="65" name="30-noninc.log1" type="6" refreshedVersion="3" background="1">
    <textPr codePage="437" sourceFile="C:\cygwin\home\gregkar\EclipseWorkspace\orchestra\experiments\outputs\tods\dbserv4\Xmas-rch-bug\scalabilityInt\2000\30-noninc.log.csv">
      <textFields count="2">
        <textField/>
        <textField/>
      </textFields>
    </textPr>
  </connection>
  <connection id="66" name="30-noninc.log2" type="6" refreshedVersion="3" background="1">
    <textPr codePage="437" sourceFile="C:\cygwin\home\gregkar\EclipseWorkspace\orchestra\experiments\outputs\tods\dbserv4\Xmas-rch-bug\scalabilityInt\4000\30-noninc.log.csv">
      <textFields count="2">
        <textField/>
        <textField/>
      </textFields>
    </textPr>
  </connection>
  <connection id="67" name="30p.log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68" name="30p.log1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69" name="30p.log11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70" name="30p.log111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71" name="30p.log112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72" name="30p.log1121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73" name="30p.log113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74" name="30p.log1131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75" name="30p.log11311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76" name="30p.log11312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77" name="30p.log11313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78" name="30p.log114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79" name="30p.log1141" type="6" refreshedVersion="3" background="1" saveData="1">
    <textPr codePage="437" sourceFile="C:\cygwin\home\gkarvoun\EclipseWorkspace\sharq\experiments\outputs\tods\dbserv4\Xmas-rch-bug\scalabilityInt\2000\30p.log.csv" space="1" consecutive="1">
      <textFields count="3">
        <textField/>
        <textField/>
        <textField/>
      </textFields>
    </textPr>
  </connection>
  <connection id="80" name="30p.log2" type="6" refreshedVersion="3" background="1">
    <textPr codePage="437" sourceFile="C:\cygwin\home\gkarvoun\EclipseWorkspace\sharq\experiments\outputs\tods\dbserv4\Xmas-rch-bug\scalabilityInt\4000\30p.log.csv" space="1" consecutive="1">
      <textFields count="3">
        <textField/>
        <textField/>
        <textField/>
      </textFields>
    </textPr>
  </connection>
  <connection id="81" name="35-noninc.log" type="6" refreshedVersion="3" background="1">
    <textPr codePage="437" sourceFile="C:\cygwin\home\gregkar\EclipseWorkspace\orchestra\experiments\outputs\tods\dbserv4\Xmas-rch-bug\scalabilityInt\4000\35-noninc.log.csv">
      <textFields count="2">
        <textField/>
        <textField/>
      </textFields>
    </textPr>
  </connection>
  <connection id="82" name="35p.log" type="6" refreshedVersion="3" background="1" saveData="1">
    <textPr codePage="437" sourceFile="C:\cygwin\home\gkarvoun\EclipseWorkspace\sharq\experiments\outputs\tods\dbserv4\Xmas-rch-bug\scalabilityInt\4000\35p.log.csv" space="1" consecutive="1">
      <textFields count="3">
        <textField/>
        <textField/>
        <textField/>
      </textFields>
    </textPr>
  </connection>
  <connection id="83" name="40p.log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84" name="40p.log1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85" name="40p.log11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86" name="40p.log111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87" name="40p.log112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88" name="40p.log1121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89" name="40p.log113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90" name="40p.log1131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91" name="40p.log11311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92" name="40p.log11312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93" name="40p.log11313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94" name="40p.log114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95" name="40p.log1141" type="6" refreshedVersion="3" background="1" saveData="1">
    <textPr codePage="437" sourceFile="C:\cygwin\home\gkarvoun\EclipseWorkspace\sharq\experiments\outputs\tods\dbserv4\Xmas-rch-bug\scalabilityInt\2000\40p.log.csv" space="1" consecutive="1">
      <textFields count="3">
        <textField/>
        <textField/>
        <textField/>
      </textFields>
    </textPr>
  </connection>
  <connection id="96" name="4p.log" type="6" refreshedVersion="3" background="1">
    <textPr codePage="437" sourceFile="C:\cygwin\home\gkarvoun\EclipseWorkspace\sharq\experiments\outputs\tods\dbserv4\Xmas-rch-bug\scalabilityInt\6000\4p.log.csv" comma="1">
      <textFields>
        <textField/>
      </textFields>
    </textPr>
  </connection>
  <connection id="97" name="4p.log1" type="6" refreshedVersion="3" background="1" saveData="1">
    <textPr codePage="437" sourceFile="C:\cygwin\home\gkarvoun\EclipseWorkspace\sharq\experiments\outputs\tods\dbserv4\Xmas-rch-bug\scalabilityInt\10000\4p.log.csv">
      <textFields>
        <textField/>
      </textFields>
    </textPr>
  </connection>
  <connection id="98" name="4p.log2" type="6" refreshedVersion="3" background="1" saveData="1">
    <textPr codePage="437" sourceFile="C:\cygwin\home\gkarvoun\EclipseWorkspace\sharq\experiments\outputs\tods\dbserv4\Xmas-rch-bug\scalabilityString\6000\4p.log.csv">
      <textFields>
        <textField/>
      </textFields>
    </textPr>
  </connection>
  <connection id="99" name="4p.log3" type="6" refreshedVersion="3" background="1">
    <textPr codePage="437" sourceFile="C:\cygwin\home\gkarvoun\EclipseWorkspace\sharq\experiments\outputs\tods\dbserv4\Xmas-rch-bug\scalabilityString\8000\4p.log.csv">
      <textFields>
        <textField/>
      </textFields>
    </textPr>
  </connection>
  <connection id="100" name="4p.log4" type="6" refreshedVersion="3" background="1">
    <textPr codePage="437" sourceFile="C:\cygwin\home\gkarvoun\EclipseWorkspace\sharq\experiments\outputs\tods\dbserv4\Xmas-rch-bug\scalabilityString\10000\4p.log.csv">
      <textFields>
        <textField/>
      </textFields>
    </textPr>
  </connection>
  <connection id="101" name="50-noninc.log" type="6" refreshedVersion="3" background="1">
    <textPr codePage="437" sourceFile="C:\cygwin\home\gregkar\EclipseWorkspace\orchestra\experiments\outputs\tods\dbserv4\Xmas-rch-bug\scalabilityInt\2000\50-noninc.log.csv">
      <textFields count="2">
        <textField/>
        <textField/>
      </textFields>
    </textPr>
  </connection>
  <connection id="102" name="50-noninc.log1" type="6" refreshedVersion="3" background="1">
    <textPr codePage="437" sourceFile="C:\cygwin\home\gregkar\EclipseWorkspace\orchestra\experiments\outputs\tods\dbserv4\Xmas-rch-bug\scalabilityInt\2000\50-noninc.log.csv">
      <textFields count="2">
        <textField/>
        <textField/>
      </textFields>
    </textPr>
  </connection>
  <connection id="103" name="50p.log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04" name="50p.log1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05" name="50p.log11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06" name="50p.log111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07" name="50p.log112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08" name="50p.log1121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09" name="50p.log113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10" name="50p.log1131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11" name="50p.log11311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12" name="50p.log11312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13" name="50p.log11313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14" name="50p.log114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15" name="50p.log1141" type="6" refreshedVersion="3" background="1" saveData="1">
    <textPr codePage="437" sourceFile="C:\cygwin\home\gkarvoun\EclipseWorkspace\sharq\experiments\outputs\tods\dbserv4\Xmas-rch-bug\scalabilityInt\2000\50p.log.csv" space="1" consecutive="1">
      <textFields count="3">
        <textField/>
        <textField/>
        <textField/>
      </textFields>
    </textPr>
  </connection>
  <connection id="116" name="5-noninc.log" type="6" refreshedVersion="3" background="1">
    <textPr codePage="437" sourceFile="C:\cygwin\home\gregkar\EclipseWorkspace\orchestra\experiments\outputs\tods\dbserv4\Xmas-rch-bug\scalabilityInt\4000\5-noninc.log.csv">
      <textFields count="2">
        <textField/>
        <textField/>
      </textFields>
    </textPr>
  </connection>
  <connection id="117" name="5p.log" type="6" refreshedVersion="3" background="1">
    <textPr codePage="437" sourceFile="C:\cygwin\home\gkarvoun\EclipseWorkspace\sharq\experiments\outputs\tods\dbserv4\Xmas-rch-bug\scalabilityInt\4000\5p.log.csv" space="1" consecutive="1">
      <textFields count="3">
        <textField/>
        <textField/>
        <textField/>
      </textFields>
    </textPr>
  </connection>
  <connection id="118" name="5p.log1" type="6" refreshedVersion="3" background="1">
    <textPr codePage="437" sourceFile="C:\cygwin\home\gkarvoun\EclipseWorkspace\sharq\experiments\outputs\tods\dbserv4\Xmas-rch-bug\scalabilityString\4000\5p.log.csv">
      <textFields>
        <textField/>
      </textFields>
    </textPr>
  </connection>
  <connection id="119" name="60p.log" type="6" refreshedVersion="3" background="1" saveData="1">
    <textPr codePage="437" sourceFile="C:\cygwin\home\gkarvoun\EclipseWorkspace\sharq\experiments\outputs\tods\dbserv4\Xmas-rch-bug\scalabilityInt\2000\60p.log.csv" space="1" consecutive="1">
      <textFields count="3">
        <textField/>
        <textField/>
        <textField/>
      </textFields>
    </textPr>
  </connection>
  <connection id="120" name="60p.log1" type="6" refreshedVersion="3" background="1" saveData="1">
    <textPr codePage="437" sourceFile="C:\cygwin\home\gkarvoun\EclipseWorkspace\sharq\experiments\outputs\tods\dbserv4\Xmas-rch-bug\scalabilityInt\2000\60p.log.csv" space="1" consecutive="1">
      <textFields count="3">
        <textField/>
        <textField/>
        <textField/>
      </textFields>
    </textPr>
  </connection>
  <connection id="121" name="60p.log11" type="6" refreshedVersion="3" background="1" saveData="1">
    <textPr codePage="437" sourceFile="C:\cygwin\home\gkarvoun\EclipseWorkspace\sharq\experiments\outputs\tods\dbserv4\Xmas-rch-bug\scalabilityInt\2000\60p.log.csv" space="1" consecutive="1">
      <textFields count="3">
        <textField/>
        <textField/>
        <textField/>
      </textFields>
    </textPr>
  </connection>
  <connection id="122" name="60p.log111" type="6" refreshedVersion="3" background="1" saveData="1">
    <textPr codePage="437" sourceFile="C:\cygwin\home\gkarvoun\EclipseWorkspace\sharq\experiments\outputs\tods\dbserv4\Xmas-rch-bug\scalabilityInt\2000\60p.log.csv" space="1" consecutive="1">
      <textFields count="3">
        <textField/>
        <textField/>
        <textField/>
      </textFields>
    </textPr>
  </connection>
  <connection id="123" name="60p.log112" type="6" refreshedVersion="3" background="1" saveData="1">
    <textPr codePage="437" sourceFile="C:\cygwin\home\gkarvoun\EclipseWorkspace\sharq\experiments\outputs\tods\dbserv4\Xmas-rch-bug\scalabilityInt\2000\60p.log.csv" space="1" consecutive="1">
      <textFields count="3">
        <textField/>
        <textField/>
        <textField/>
      </textFields>
    </textPr>
  </connection>
  <connection id="124" name="60p.log1121" type="6" refreshedVersion="3" background="1" saveData="1">
    <textPr codePage="437" sourceFile="C:\cygwin\home\gkarvoun\EclipseWorkspace\sharq\experiments\outputs\tods\dbserv4\Xmas-rch-bug\scalabilityInt\2000\60p.log.csv" space="1" consecutive="1">
      <textFields count="3">
        <textField/>
        <textField/>
        <textField/>
      </textFields>
    </textPr>
  </connection>
  <connection id="125" name="60p.log113" type="6" refreshedVersion="3" background="1" saveData="1">
    <textPr codePage="437" sourceFile="C:\cygwin\home\gkarvoun\EclipseWorkspace\sharq\experiments\outputs\tods\dbserv4\Xmas-rch-bug\scalabilityInt\2000\60p.log.csv" space="1" consecutive="1">
      <textFields count="3">
        <textField/>
        <textField/>
        <textField/>
      </textFields>
    </textPr>
  </connection>
  <connection id="126" name="60p.log114" type="6" refreshedVersion="3" background="1" saveData="1">
    <textPr codePage="437" sourceFile="C:\cygwin\home\gkarvoun\EclipseWorkspace\sharq\experiments\outputs\tods\dbserv4\Xmas-rch-bug\scalabilityInt\2000\60p.log.csv" space="1" consecutive="1">
      <textFields count="3">
        <textField/>
        <textField/>
        <textField/>
      </textFields>
    </textPr>
  </connection>
  <connection id="127" name="6p.log" type="6" refreshedVersion="3" background="1">
    <textPr codePage="437" sourceFile="C:\cygwin\home\gkarvoun\EclipseWorkspace\sharq\experiments\outputs\tods\dbserv4\Xmas-rch-bug\scalabilityInt\6000\6p.log.csv" space="1" consecutive="1">
      <textFields count="3">
        <textField/>
        <textField/>
        <textField/>
      </textFields>
    </textPr>
  </connection>
  <connection id="128" name="6p.log1" type="6" refreshedVersion="3" background="1" saveData="1">
    <textPr codePage="437" sourceFile="C:\cygwin\home\gkarvoun\EclipseWorkspace\sharq\experiments\outputs\tods\dbserv4\Xmas-rch-bug\scalabilityInt\10000\6p.log.csv">
      <textFields>
        <textField/>
      </textFields>
    </textPr>
  </connection>
  <connection id="129" name="6p.log2" type="6" refreshedVersion="3" background="1" saveData="1">
    <textPr codePage="437" sourceFile="C:\cygwin\home\gkarvoun\EclipseWorkspace\sharq\experiments\outputs\tods\dbserv4\Xmas-rch-bug\scalabilityString\6000\6p.log.csv">
      <textFields>
        <textField/>
      </textFields>
    </textPr>
  </connection>
  <connection id="130" name="6p.log3" type="6" refreshedVersion="3" background="1">
    <textPr codePage="437" sourceFile="C:\cygwin\home\gkarvoun\EclipseWorkspace\sharq\experiments\outputs\tods\dbserv4\Xmas-rch-bug\scalabilityString\8000\6p.log.csv">
      <textFields>
        <textField/>
      </textFields>
    </textPr>
  </connection>
  <connection id="131" name="6p.log4" type="6" refreshedVersion="3" background="1">
    <textPr codePage="437" sourceFile="C:\cygwin\home\gkarvoun\EclipseWorkspace\sharq\experiments\outputs\tods\dbserv4\Xmas-rch-bug\scalabilityString\10000\6p.log.csv">
      <textFields>
        <textField/>
      </textFields>
    </textPr>
  </connection>
  <connection id="132" name="70-noninc.log" type="6" refreshedVersion="3" background="1">
    <textPr codePage="437" sourceFile="C:\cygwin\home\gregkar\EclipseWorkspace\orchestra\experiments\outputs\tods\dbserv4\Xmas-rch-bug\scalabilityInt\2000\70-noninc.log.csv">
      <textFields count="2">
        <textField/>
        <textField/>
      </textFields>
    </textPr>
  </connection>
  <connection id="133" name="70p.log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34" name="70p.log1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35" name="70p.log11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36" name="70p.log111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37" name="70p.log112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38" name="70p.log1121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39" name="70p.log113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40" name="70p.log1131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41" name="70p.log11311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42" name="70p.log11312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43" name="70p.log11313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44" name="70p.log114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45" name="70p.log1141" type="6" refreshedVersion="3" background="1" saveData="1">
    <textPr codePage="437" sourceFile="C:\cygwin\home\gkarvoun\EclipseWorkspace\sharq\experiments\outputs\tods\dbserv4\Xmas-rch-bug\scalabilityInt\2000\70p.log.csv" space="1" consecutive="1">
      <textFields count="3">
        <textField/>
        <textField/>
        <textField/>
      </textFields>
    </textPr>
  </connection>
  <connection id="146" name="8p.log" type="6" refreshedVersion="3" background="1">
    <textPr codePage="437" sourceFile="C:\cygwin\home\gkarvoun\EclipseWorkspace\sharq\experiments\outputs\tods\dbserv4\Xmas-rch-bug\scalabilityInt\6000\8p.log.csv" space="1" consecutive="1">
      <textFields count="3">
        <textField/>
        <textField/>
        <textField/>
      </textFields>
    </textPr>
  </connection>
  <connection id="147" name="8p.log1" type="6" refreshedVersion="3" background="1" saveData="1">
    <textPr codePage="437" sourceFile="C:\cygwin\home\gkarvoun\EclipseWorkspace\sharq\experiments\outputs\tods\dbserv4\Xmas-rch-bug\scalabilityInt\10000\8p.log.csv">
      <textFields>
        <textField/>
      </textFields>
    </textPr>
  </connection>
  <connection id="148" name="8p.log2" type="6" refreshedVersion="3" background="1" saveData="1">
    <textPr codePage="437" sourceFile="C:\cygwin\home\gkarvoun\EclipseWorkspace\sharq\experiments\outputs\tods\dbserv4\Xmas-rch-bug\scalabilityString\6000\8p.log.csv">
      <textFields>
        <textField/>
      </textFields>
    </textPr>
  </connection>
  <connection id="149" name="8p.log3" type="6" refreshedVersion="3" background="1">
    <textPr codePage="437" sourceFile="C:\cygwin\home\gkarvoun\EclipseWorkspace\sharq\experiments\outputs\tods\dbserv4\Xmas-rch-bug\scalabilityString\8000\8p.log.csv">
      <textFields>
        <textField/>
      </textFields>
    </textPr>
  </connection>
  <connection id="150" name="8p.log4" type="6" refreshedVersion="3" background="1">
    <textPr codePage="437" sourceFile="C:\cygwin\home\gkarvoun\EclipseWorkspace\sharq\experiments\outputs\tods\dbserv4\Xmas-rch-bug\scalabilityString\10000\8p.log.csv">
      <textFields>
        <textField/>
      </textFields>
    </textPr>
  </connection>
</connections>
</file>

<file path=xl/sharedStrings.xml><?xml version="1.0" encoding="utf-8"?>
<sst xmlns="http://schemas.openxmlformats.org/spreadsheetml/2006/main" count="1496" uniqueCount="34">
  <si>
    <t>scalabilityInt - 2000 tuples/peer</t>
  </si>
  <si>
    <t>incremental deletions 1%</t>
  </si>
  <si>
    <t>incremental deletions 10%</t>
  </si>
  <si>
    <t>incremental deletions 50%</t>
  </si>
  <si>
    <t>incremental insertions 1%</t>
  </si>
  <si>
    <t>incremental insertions 10%</t>
  </si>
  <si>
    <t>incremental insertions 50%</t>
  </si>
  <si>
    <t>initial solution</t>
  </si>
  <si>
    <t>RUN 1</t>
  </si>
  <si>
    <t>RUN 2</t>
  </si>
  <si>
    <t>RUN 3</t>
  </si>
  <si>
    <t>RUN 4</t>
  </si>
  <si>
    <t>RUN 5</t>
  </si>
  <si>
    <t>AVG</t>
  </si>
  <si>
    <t>#peers</t>
  </si>
  <si>
    <t>STDEV</t>
  </si>
  <si>
    <t>CONFIDENCE</t>
  </si>
  <si>
    <t>sec</t>
  </si>
  <si>
    <t>scalabilityInt - tuples/peer:</t>
  </si>
  <si>
    <t>scalabilityStr - tuples/peer:</t>
  </si>
  <si>
    <t>#tuples</t>
  </si>
  <si>
    <t>scalabilityInt - vs #peers:</t>
  </si>
  <si>
    <t>2k</t>
  </si>
  <si>
    <t>4k</t>
  </si>
  <si>
    <t>6k</t>
  </si>
  <si>
    <t>8k</t>
  </si>
  <si>
    <t>10k</t>
  </si>
  <si>
    <t>non-incremental deletions 1%</t>
  </si>
  <si>
    <t>non-incremental deletions 10%</t>
  </si>
  <si>
    <t>non-incremental deletions 50%</t>
  </si>
  <si>
    <t>non-incremental insertions 1%</t>
  </si>
  <si>
    <t>non-incremental insertions 10%</t>
  </si>
  <si>
    <t>non-incremental insertions 50%</t>
  </si>
  <si>
    <t>------------------------------------------------------------------------------------------------------------------------------------------------------------------------------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</si>
</sst>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worksheet" Target="worksheets/sheet7.xml"/><Relationship Id="rId18" Type="http://schemas.openxmlformats.org/officeDocument/2006/relationships/chartsheet" Target="chartsheets/sheet9.xml"/><Relationship Id="rId26" Type="http://schemas.openxmlformats.org/officeDocument/2006/relationships/worksheet" Target="worksheets/sheet14.xml"/><Relationship Id="rId3" Type="http://schemas.openxmlformats.org/officeDocument/2006/relationships/worksheet" Target="worksheets/sheet2.xml"/><Relationship Id="rId21" Type="http://schemas.openxmlformats.org/officeDocument/2006/relationships/worksheet" Target="worksheets/sheet11.xml"/><Relationship Id="rId34" Type="http://schemas.openxmlformats.org/officeDocument/2006/relationships/calcChain" Target="calcChain.xml"/><Relationship Id="rId7" Type="http://schemas.openxmlformats.org/officeDocument/2006/relationships/worksheet" Target="worksheets/sheet4.xml"/><Relationship Id="rId12" Type="http://schemas.openxmlformats.org/officeDocument/2006/relationships/chartsheet" Target="chartsheets/sheet6.xml"/><Relationship Id="rId17" Type="http://schemas.openxmlformats.org/officeDocument/2006/relationships/worksheet" Target="worksheets/sheet9.xml"/><Relationship Id="rId25" Type="http://schemas.openxmlformats.org/officeDocument/2006/relationships/worksheet" Target="worksheets/sheet13.xml"/><Relationship Id="rId33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8.xml"/><Relationship Id="rId20" Type="http://schemas.openxmlformats.org/officeDocument/2006/relationships/chartsheet" Target="chartsheets/sheet1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6.xml"/><Relationship Id="rId24" Type="http://schemas.openxmlformats.org/officeDocument/2006/relationships/chartsheet" Target="chartsheets/sheet12.xml"/><Relationship Id="rId32" Type="http://schemas.openxmlformats.org/officeDocument/2006/relationships/styles" Target="styles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8.xml"/><Relationship Id="rId23" Type="http://schemas.openxmlformats.org/officeDocument/2006/relationships/worksheet" Target="worksheets/sheet12.xml"/><Relationship Id="rId28" Type="http://schemas.openxmlformats.org/officeDocument/2006/relationships/chartsheet" Target="chartsheets/sheet14.xml"/><Relationship Id="rId10" Type="http://schemas.openxmlformats.org/officeDocument/2006/relationships/chartsheet" Target="chartsheets/sheet5.xml"/><Relationship Id="rId19" Type="http://schemas.openxmlformats.org/officeDocument/2006/relationships/worksheet" Target="worksheets/sheet10.xml"/><Relationship Id="rId31" Type="http://schemas.openxmlformats.org/officeDocument/2006/relationships/connections" Target="connections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4" Type="http://schemas.openxmlformats.org/officeDocument/2006/relationships/chartsheet" Target="chartsheets/sheet7.xml"/><Relationship Id="rId22" Type="http://schemas.openxmlformats.org/officeDocument/2006/relationships/chartsheet" Target="chartsheets/sheet11.xml"/><Relationship Id="rId27" Type="http://schemas.openxmlformats.org/officeDocument/2006/relationships/chartsheet" Target="chartsheets/sheet13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309264754368611"/>
          <c:y val="3.2938076416337295E-2"/>
          <c:w val="0.83877349159248293"/>
          <c:h val="0.77997364953886716"/>
        </c:manualLayout>
      </c:layout>
      <c:lineChart>
        <c:grouping val="standard"/>
        <c:ser>
          <c:idx val="0"/>
          <c:order val="0"/>
          <c:tx>
            <c:strRef>
              <c:f>'int - 2k'!$A$3</c:f>
              <c:strCache>
                <c:ptCount val="1"/>
                <c:pt idx="0">
                  <c:v>initial solution</c:v>
                </c:pt>
              </c:strCache>
            </c:strRef>
          </c:tx>
          <c:spPr>
            <a:ln w="38100"/>
          </c:spPr>
          <c:marker>
            <c:symbol val="circle"/>
            <c:size val="15"/>
            <c:spPr>
              <a:solidFill>
                <a:schemeClr val="accent1"/>
              </a:solidFill>
            </c:spPr>
          </c:marker>
          <c:cat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cat>
          <c:val>
            <c:numRef>
              <c:f>'int - 2k'!$B$9:$H$9</c:f>
              <c:numCache>
                <c:formatCode>General</c:formatCode>
                <c:ptCount val="7"/>
                <c:pt idx="0">
                  <c:v>5.9643333333333333</c:v>
                </c:pt>
                <c:pt idx="1">
                  <c:v>24.387666666666668</c:v>
                </c:pt>
                <c:pt idx="2">
                  <c:v>40.814999999999998</c:v>
                </c:pt>
                <c:pt idx="3">
                  <c:v>70.664666666666662</c:v>
                </c:pt>
                <c:pt idx="4">
                  <c:v>82.046333333333337</c:v>
                </c:pt>
                <c:pt idx="5">
                  <c:v>123.84933333333333</c:v>
                </c:pt>
                <c:pt idx="6">
                  <c:v>110.26133333333334</c:v>
                </c:pt>
              </c:numCache>
            </c:numRef>
          </c:val>
        </c:ser>
        <c:ser>
          <c:idx val="1"/>
          <c:order val="1"/>
          <c:tx>
            <c:strRef>
              <c:f>'int - 2k'!$A$13</c:f>
              <c:strCache>
                <c:ptCount val="1"/>
                <c:pt idx="0">
                  <c:v>incremental deletions 1%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triangle"/>
            <c:size val="15"/>
            <c:spPr>
              <a:noFill/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cat>
          <c:val>
            <c:numRef>
              <c:f>'int - 2k'!$B$19:$H$19</c:f>
              <c:numCache>
                <c:formatCode>General</c:formatCode>
                <c:ptCount val="7"/>
                <c:pt idx="0">
                  <c:v>0.86333333333333329</c:v>
                </c:pt>
                <c:pt idx="1">
                  <c:v>1.56</c:v>
                </c:pt>
                <c:pt idx="2">
                  <c:v>3.6403333333333334</c:v>
                </c:pt>
                <c:pt idx="3">
                  <c:v>4.8463333333333329</c:v>
                </c:pt>
                <c:pt idx="4">
                  <c:v>6.6820000000000004</c:v>
                </c:pt>
                <c:pt idx="5">
                  <c:v>11.710333333333333</c:v>
                </c:pt>
                <c:pt idx="6">
                  <c:v>9.7816666666666663</c:v>
                </c:pt>
              </c:numCache>
            </c:numRef>
          </c:val>
        </c:ser>
        <c:ser>
          <c:idx val="2"/>
          <c:order val="2"/>
          <c:tx>
            <c:strRef>
              <c:f>'int - 2k'!$A$23</c:f>
              <c:strCache>
                <c:ptCount val="1"/>
                <c:pt idx="0">
                  <c:v>incremental deletions 10%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diamond"/>
            <c:size val="18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cat>
          <c:val>
            <c:numRef>
              <c:f>'int - 2k'!$B$29:$H$29</c:f>
              <c:numCache>
                <c:formatCode>General</c:formatCode>
                <c:ptCount val="7"/>
                <c:pt idx="0">
                  <c:v>1.1546666666666667</c:v>
                </c:pt>
                <c:pt idx="1">
                  <c:v>1.8983333333333334</c:v>
                </c:pt>
                <c:pt idx="2">
                  <c:v>4.3259999999999996</c:v>
                </c:pt>
                <c:pt idx="3">
                  <c:v>5.7513333333333332</c:v>
                </c:pt>
                <c:pt idx="4">
                  <c:v>8.3513333333333328</c:v>
                </c:pt>
                <c:pt idx="5">
                  <c:v>13.587333333333333</c:v>
                </c:pt>
                <c:pt idx="6">
                  <c:v>14.050666666666666</c:v>
                </c:pt>
              </c:numCache>
            </c:numRef>
          </c:val>
        </c:ser>
        <c:ser>
          <c:idx val="3"/>
          <c:order val="3"/>
          <c:tx>
            <c:strRef>
              <c:f>'int - 2k'!$A$33</c:f>
              <c:strCache>
                <c:ptCount val="1"/>
                <c:pt idx="0">
                  <c:v>incremental deletions 50%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5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cat>
          <c:val>
            <c:numRef>
              <c:f>'int - 2k'!$B$39:$H$39</c:f>
              <c:numCache>
                <c:formatCode>General</c:formatCode>
                <c:ptCount val="7"/>
                <c:pt idx="0">
                  <c:v>2.3969999999999998</c:v>
                </c:pt>
                <c:pt idx="1">
                  <c:v>2.8963333333333332</c:v>
                </c:pt>
                <c:pt idx="2">
                  <c:v>5.4446666666666665</c:v>
                </c:pt>
                <c:pt idx="3">
                  <c:v>12.209666666666667</c:v>
                </c:pt>
                <c:pt idx="4">
                  <c:v>16.675999999999998</c:v>
                </c:pt>
                <c:pt idx="5">
                  <c:v>24.892666666666667</c:v>
                </c:pt>
                <c:pt idx="6">
                  <c:v>19.068666666666665</c:v>
                </c:pt>
              </c:numCache>
            </c:numRef>
          </c:val>
        </c:ser>
        <c:ser>
          <c:idx val="4"/>
          <c:order val="4"/>
          <c:tx>
            <c:strRef>
              <c:f>'int - 2k'!$A$43</c:f>
              <c:strCache>
                <c:ptCount val="1"/>
                <c:pt idx="0">
                  <c:v>incremental insertions 1%</c:v>
                </c:pt>
              </c:strCache>
            </c:strRef>
          </c:tx>
          <c:spPr>
            <a:ln w="38100">
              <a:solidFill>
                <a:srgbClr val="1F497D"/>
              </a:solidFill>
            </a:ln>
          </c:spPr>
          <c:marker>
            <c:symbol val="triangle"/>
            <c:size val="15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cat>
          <c:val>
            <c:numRef>
              <c:f>'int - 2k'!$B$49:$H$49</c:f>
              <c:numCache>
                <c:formatCode>General</c:formatCode>
                <c:ptCount val="7"/>
                <c:pt idx="0">
                  <c:v>1.1906666666666668</c:v>
                </c:pt>
                <c:pt idx="1">
                  <c:v>5.2050000000000001</c:v>
                </c:pt>
                <c:pt idx="2">
                  <c:v>8.7409999999999997</c:v>
                </c:pt>
                <c:pt idx="3">
                  <c:v>21.055</c:v>
                </c:pt>
                <c:pt idx="4">
                  <c:v>23.769666666666666</c:v>
                </c:pt>
                <c:pt idx="5">
                  <c:v>31.699666666666666</c:v>
                </c:pt>
                <c:pt idx="6">
                  <c:v>33.369</c:v>
                </c:pt>
              </c:numCache>
            </c:numRef>
          </c:val>
        </c:ser>
        <c:ser>
          <c:idx val="5"/>
          <c:order val="5"/>
          <c:tx>
            <c:strRef>
              <c:f>'int - 2k'!$A$53</c:f>
              <c:strCache>
                <c:ptCount val="1"/>
                <c:pt idx="0">
                  <c:v>incremental insertions 10%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diamond"/>
            <c:size val="18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cat>
          <c:val>
            <c:numRef>
              <c:f>'int - 2k'!$B$59:$H$59</c:f>
              <c:numCache>
                <c:formatCode>General</c:formatCode>
                <c:ptCount val="7"/>
                <c:pt idx="0">
                  <c:v>1.5183333333333333</c:v>
                </c:pt>
                <c:pt idx="1">
                  <c:v>6.9313333333333329</c:v>
                </c:pt>
                <c:pt idx="2">
                  <c:v>12.033333333333333</c:v>
                </c:pt>
                <c:pt idx="3">
                  <c:v>19.084333333333333</c:v>
                </c:pt>
                <c:pt idx="4">
                  <c:v>32.895333333333333</c:v>
                </c:pt>
                <c:pt idx="5">
                  <c:v>39.509666666666668</c:v>
                </c:pt>
                <c:pt idx="6">
                  <c:v>80.003</c:v>
                </c:pt>
              </c:numCache>
            </c:numRef>
          </c:val>
        </c:ser>
        <c:ser>
          <c:idx val="6"/>
          <c:order val="6"/>
          <c:tx>
            <c:strRef>
              <c:f>'int - 2k'!$A$63</c:f>
              <c:strCache>
                <c:ptCount val="1"/>
                <c:pt idx="0">
                  <c:v>incremental insertions 50%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square"/>
            <c:size val="15"/>
            <c:spPr>
              <a:solidFill>
                <a:schemeClr val="tx2"/>
              </a:solidFill>
              <a:ln w="12700">
                <a:solidFill>
                  <a:schemeClr val="tx2"/>
                </a:solidFill>
              </a:ln>
            </c:spPr>
          </c:marker>
          <c:cat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cat>
          <c:val>
            <c:numRef>
              <c:f>'int - 2k'!$B$69:$H$69</c:f>
              <c:numCache>
                <c:formatCode>General</c:formatCode>
                <c:ptCount val="7"/>
                <c:pt idx="0">
                  <c:v>3.3069999999999999</c:v>
                </c:pt>
                <c:pt idx="1">
                  <c:v>16.770333333333333</c:v>
                </c:pt>
                <c:pt idx="2">
                  <c:v>31.282333333333334</c:v>
                </c:pt>
                <c:pt idx="3">
                  <c:v>54.174333333333337</c:v>
                </c:pt>
                <c:pt idx="4">
                  <c:v>68.843333333333334</c:v>
                </c:pt>
                <c:pt idx="5">
                  <c:v>84.391666666666666</c:v>
                </c:pt>
                <c:pt idx="6">
                  <c:v>84.635666666666665</c:v>
                </c:pt>
              </c:numCache>
            </c:numRef>
          </c:val>
        </c:ser>
        <c:marker val="1"/>
        <c:axId val="63567744"/>
        <c:axId val="63451904"/>
      </c:lineChart>
      <c:catAx>
        <c:axId val="63567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Number of peers</a:t>
                </a:r>
              </a:p>
            </c:rich>
          </c:tx>
          <c:layout>
            <c:manualLayout>
              <c:xMode val="edge"/>
              <c:yMode val="edge"/>
              <c:x val="0.38773491592482723"/>
              <c:y val="0.9126043039086517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451904"/>
        <c:crosses val="autoZero"/>
        <c:auto val="1"/>
        <c:lblAlgn val="ctr"/>
        <c:lblOffset val="100"/>
        <c:tickLblSkip val="1"/>
        <c:tickMarkSkip val="1"/>
      </c:catAx>
      <c:valAx>
        <c:axId val="63451904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Time (sec)</a:t>
                </a:r>
              </a:p>
            </c:rich>
          </c:tx>
          <c:layout>
            <c:manualLayout>
              <c:xMode val="edge"/>
              <c:yMode val="edge"/>
              <c:x val="6.5941312232113422E-3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567744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496208374546677"/>
          <c:y val="4.0404040404040414E-2"/>
          <c:w val="0.43224530168150344"/>
          <c:h val="0.32601924759405104"/>
        </c:manualLayout>
      </c:layout>
      <c:spPr>
        <a:noFill/>
        <a:ln w="25400">
          <a:noFill/>
        </a:ln>
      </c:spPr>
      <c:txPr>
        <a:bodyPr/>
        <a:lstStyle/>
        <a:p>
          <a:pPr>
            <a:defRPr sz="2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309264754368611"/>
          <c:y val="3.2938076416337295E-2"/>
          <c:w val="0.83877349159248304"/>
          <c:h val="0.77997364953886739"/>
        </c:manualLayout>
      </c:layout>
      <c:lineChart>
        <c:grouping val="standard"/>
        <c:ser>
          <c:idx val="0"/>
          <c:order val="0"/>
          <c:tx>
            <c:strRef>
              <c:f>'int - 4k'!$A$3</c:f>
              <c:strCache>
                <c:ptCount val="1"/>
                <c:pt idx="0">
                  <c:v>initial solution</c:v>
                </c:pt>
              </c:strCache>
            </c:strRef>
          </c:tx>
          <c:spPr>
            <a:ln w="38100"/>
          </c:spPr>
          <c:marker>
            <c:symbol val="circle"/>
            <c:size val="15"/>
            <c:spPr>
              <a:solidFill>
                <a:schemeClr val="accent1"/>
              </a:solidFill>
            </c:spPr>
          </c:marker>
          <c:cat>
            <c:numRef>
              <c:f>'int - 4k'!$B$2:$H$2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'int - 4k'!$B$9:$H$9</c:f>
              <c:numCache>
                <c:formatCode>General</c:formatCode>
                <c:ptCount val="7"/>
                <c:pt idx="0">
                  <c:v>4.0819999999999999</c:v>
                </c:pt>
                <c:pt idx="1">
                  <c:v>11.757666666666667</c:v>
                </c:pt>
                <c:pt idx="2">
                  <c:v>33.176000000000002</c:v>
                </c:pt>
                <c:pt idx="3">
                  <c:v>51.816000000000003</c:v>
                </c:pt>
                <c:pt idx="4">
                  <c:v>39.982999999999997</c:v>
                </c:pt>
                <c:pt idx="5">
                  <c:v>86.647999999999996</c:v>
                </c:pt>
                <c:pt idx="6">
                  <c:v>77.605333333333334</c:v>
                </c:pt>
              </c:numCache>
            </c:numRef>
          </c:val>
        </c:ser>
        <c:ser>
          <c:idx val="1"/>
          <c:order val="1"/>
          <c:tx>
            <c:strRef>
              <c:f>'int - 4k'!$A$13</c:f>
              <c:strCache>
                <c:ptCount val="1"/>
                <c:pt idx="0">
                  <c:v>incremental deletions 1%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triangle"/>
            <c:size val="15"/>
            <c:spPr>
              <a:noFill/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'int - 4k'!$B$2:$H$2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'int - 4k'!$B$19:$H$19</c:f>
              <c:numCache>
                <c:formatCode>General</c:formatCode>
                <c:ptCount val="7"/>
                <c:pt idx="0">
                  <c:v>0.312</c:v>
                </c:pt>
                <c:pt idx="1">
                  <c:v>1.0813333333333333</c:v>
                </c:pt>
                <c:pt idx="2">
                  <c:v>1.534</c:v>
                </c:pt>
                <c:pt idx="3">
                  <c:v>2.5063333333333335</c:v>
                </c:pt>
                <c:pt idx="4">
                  <c:v>3.1823333333333332</c:v>
                </c:pt>
                <c:pt idx="5">
                  <c:v>3.7806666666666668</c:v>
                </c:pt>
                <c:pt idx="6">
                  <c:v>3.8533333333333335</c:v>
                </c:pt>
              </c:numCache>
            </c:numRef>
          </c:val>
        </c:ser>
        <c:ser>
          <c:idx val="2"/>
          <c:order val="2"/>
          <c:tx>
            <c:strRef>
              <c:f>'int - 4k'!$A$23</c:f>
              <c:strCache>
                <c:ptCount val="1"/>
                <c:pt idx="0">
                  <c:v>incremental deletions 10%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diamond"/>
            <c:size val="18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'int - 4k'!$B$2:$H$2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'int - 4k'!$B$29:$H$29</c:f>
              <c:numCache>
                <c:formatCode>General</c:formatCode>
                <c:ptCount val="7"/>
                <c:pt idx="0">
                  <c:v>0.35366666666666668</c:v>
                </c:pt>
                <c:pt idx="1">
                  <c:v>1.6796666666666666</c:v>
                </c:pt>
                <c:pt idx="2">
                  <c:v>2.0746666666666669</c:v>
                </c:pt>
                <c:pt idx="3">
                  <c:v>2.9169999999999998</c:v>
                </c:pt>
                <c:pt idx="4">
                  <c:v>4.222666666666667</c:v>
                </c:pt>
                <c:pt idx="5">
                  <c:v>4.7110000000000003</c:v>
                </c:pt>
                <c:pt idx="6">
                  <c:v>4.4509999999999996</c:v>
                </c:pt>
              </c:numCache>
            </c:numRef>
          </c:val>
        </c:ser>
        <c:ser>
          <c:idx val="3"/>
          <c:order val="3"/>
          <c:tx>
            <c:strRef>
              <c:f>'int - 4k'!$A$33</c:f>
              <c:strCache>
                <c:ptCount val="1"/>
                <c:pt idx="0">
                  <c:v>incremental deletions 50%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5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'int - 4k'!$B$2:$H$2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'int - 4k'!$B$39:$H$39</c:f>
              <c:numCache>
                <c:formatCode>General</c:formatCode>
                <c:ptCount val="7"/>
                <c:pt idx="0">
                  <c:v>0.58733333333333337</c:v>
                </c:pt>
                <c:pt idx="1">
                  <c:v>4.3159999999999998</c:v>
                </c:pt>
                <c:pt idx="2">
                  <c:v>4.136333333333333</c:v>
                </c:pt>
                <c:pt idx="3">
                  <c:v>4.9613333333333332</c:v>
                </c:pt>
                <c:pt idx="4">
                  <c:v>8.3356666666666666</c:v>
                </c:pt>
                <c:pt idx="5">
                  <c:v>10.608333333333333</c:v>
                </c:pt>
                <c:pt idx="6">
                  <c:v>10.732666666666667</c:v>
                </c:pt>
              </c:numCache>
            </c:numRef>
          </c:val>
        </c:ser>
        <c:ser>
          <c:idx val="4"/>
          <c:order val="4"/>
          <c:tx>
            <c:strRef>
              <c:f>'int - 4k'!$A$43</c:f>
              <c:strCache>
                <c:ptCount val="1"/>
                <c:pt idx="0">
                  <c:v>incremental insertions 1%</c:v>
                </c:pt>
              </c:strCache>
            </c:strRef>
          </c:tx>
          <c:spPr>
            <a:ln w="38100">
              <a:solidFill>
                <a:srgbClr val="1F497D"/>
              </a:solidFill>
            </a:ln>
          </c:spPr>
          <c:marker>
            <c:symbol val="triangle"/>
            <c:size val="15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'int - 4k'!$B$2:$H$2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'int - 4k'!$B$49:$H$49</c:f>
              <c:numCache>
                <c:formatCode>General</c:formatCode>
                <c:ptCount val="7"/>
                <c:pt idx="0">
                  <c:v>0.76400000000000001</c:v>
                </c:pt>
                <c:pt idx="1">
                  <c:v>1.7783333333333333</c:v>
                </c:pt>
                <c:pt idx="2">
                  <c:v>5.7823333333333338</c:v>
                </c:pt>
                <c:pt idx="3">
                  <c:v>12.532</c:v>
                </c:pt>
                <c:pt idx="4">
                  <c:v>7.1289999999999996</c:v>
                </c:pt>
                <c:pt idx="5">
                  <c:v>20.847000000000001</c:v>
                </c:pt>
                <c:pt idx="6">
                  <c:v>17.092666666666666</c:v>
                </c:pt>
              </c:numCache>
            </c:numRef>
          </c:val>
        </c:ser>
        <c:ser>
          <c:idx val="5"/>
          <c:order val="5"/>
          <c:tx>
            <c:strRef>
              <c:f>'int - 4k'!$A$53</c:f>
              <c:strCache>
                <c:ptCount val="1"/>
                <c:pt idx="0">
                  <c:v>incremental insertions 10%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diamond"/>
            <c:size val="18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'int - 4k'!$B$2:$H$2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'int - 4k'!$B$59:$H$59</c:f>
              <c:numCache>
                <c:formatCode>General</c:formatCode>
                <c:ptCount val="7"/>
                <c:pt idx="0">
                  <c:v>1.0503333333333333</c:v>
                </c:pt>
                <c:pt idx="1">
                  <c:v>2.4543333333333335</c:v>
                </c:pt>
                <c:pt idx="2">
                  <c:v>8.1276666666666664</c:v>
                </c:pt>
                <c:pt idx="3">
                  <c:v>15.834</c:v>
                </c:pt>
                <c:pt idx="4">
                  <c:v>10.155666666666667</c:v>
                </c:pt>
                <c:pt idx="5">
                  <c:v>29.26</c:v>
                </c:pt>
                <c:pt idx="6">
                  <c:v>24.117999999999999</c:v>
                </c:pt>
              </c:numCache>
            </c:numRef>
          </c:val>
        </c:ser>
        <c:ser>
          <c:idx val="6"/>
          <c:order val="6"/>
          <c:tx>
            <c:strRef>
              <c:f>'int - 4k'!$A$63</c:f>
              <c:strCache>
                <c:ptCount val="1"/>
                <c:pt idx="0">
                  <c:v>incremental insertions 50%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square"/>
            <c:size val="15"/>
            <c:spPr>
              <a:solidFill>
                <a:schemeClr val="tx2"/>
              </a:solidFill>
              <a:ln w="12700">
                <a:solidFill>
                  <a:schemeClr val="tx2"/>
                </a:solidFill>
              </a:ln>
            </c:spPr>
          </c:marker>
          <c:cat>
            <c:numRef>
              <c:f>'int - 4k'!$B$2:$H$2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'int - 4k'!$B$69:$H$69</c:f>
              <c:numCache>
                <c:formatCode>General</c:formatCode>
                <c:ptCount val="7"/>
                <c:pt idx="0">
                  <c:v>2.4596666666666667</c:v>
                </c:pt>
                <c:pt idx="1">
                  <c:v>6.1</c:v>
                </c:pt>
                <c:pt idx="2">
                  <c:v>20.076666666666668</c:v>
                </c:pt>
                <c:pt idx="3">
                  <c:v>39.270666666666664</c:v>
                </c:pt>
                <c:pt idx="4">
                  <c:v>30.768666666666668</c:v>
                </c:pt>
                <c:pt idx="5">
                  <c:v>65.739000000000004</c:v>
                </c:pt>
                <c:pt idx="6">
                  <c:v>68.62</c:v>
                </c:pt>
              </c:numCache>
            </c:numRef>
          </c:val>
        </c:ser>
        <c:marker val="1"/>
        <c:axId val="68391296"/>
        <c:axId val="68393600"/>
      </c:lineChart>
      <c:catAx>
        <c:axId val="68391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Number of peers</a:t>
                </a:r>
              </a:p>
            </c:rich>
          </c:tx>
          <c:layout>
            <c:manualLayout>
              <c:xMode val="edge"/>
              <c:yMode val="edge"/>
              <c:x val="0.38773491592482739"/>
              <c:y val="0.9126043039086517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393600"/>
        <c:crosses val="autoZero"/>
        <c:auto val="1"/>
        <c:lblAlgn val="ctr"/>
        <c:lblOffset val="100"/>
        <c:tickLblSkip val="1"/>
        <c:tickMarkSkip val="1"/>
      </c:catAx>
      <c:valAx>
        <c:axId val="68393600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Time (sec)</a:t>
                </a:r>
              </a:p>
            </c:rich>
          </c:tx>
          <c:layout>
            <c:manualLayout>
              <c:xMode val="edge"/>
              <c:yMode val="edge"/>
              <c:x val="6.5941312232113422E-3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391296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496208374546686"/>
          <c:y val="4.0404040404040414E-2"/>
          <c:w val="0.43224530168150344"/>
          <c:h val="0.32601924759405115"/>
        </c:manualLayout>
      </c:layout>
      <c:spPr>
        <a:noFill/>
        <a:ln w="25400">
          <a:noFill/>
        </a:ln>
      </c:spPr>
      <c:txPr>
        <a:bodyPr/>
        <a:lstStyle/>
        <a:p>
          <a:pPr>
            <a:defRPr sz="2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309264754368611"/>
          <c:y val="3.2938076416337295E-2"/>
          <c:w val="0.83877349159248316"/>
          <c:h val="0.77997364953886761"/>
        </c:manualLayout>
      </c:layout>
      <c:lineChart>
        <c:grouping val="standard"/>
        <c:ser>
          <c:idx val="0"/>
          <c:order val="0"/>
          <c:tx>
            <c:strRef>
              <c:f>'int - 6k'!$A$3</c:f>
              <c:strCache>
                <c:ptCount val="1"/>
                <c:pt idx="0">
                  <c:v>initial solution</c:v>
                </c:pt>
              </c:strCache>
            </c:strRef>
          </c:tx>
          <c:spPr>
            <a:ln w="38100"/>
          </c:spPr>
          <c:marker>
            <c:symbol val="circle"/>
            <c:size val="15"/>
            <c:spPr>
              <a:solidFill>
                <a:schemeClr val="accent1"/>
              </a:solidFill>
            </c:spPr>
          </c:marker>
          <c:cat>
            <c:numRef>
              <c:f>'int - 6k'!$B$2:$L$2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'int - 6k'!$B$9:$L$9</c:f>
              <c:numCache>
                <c:formatCode>General</c:formatCode>
                <c:ptCount val="11"/>
                <c:pt idx="0">
                  <c:v>1.3883333333333334</c:v>
                </c:pt>
                <c:pt idx="1">
                  <c:v>4.5030000000000001</c:v>
                </c:pt>
                <c:pt idx="2">
                  <c:v>10.295999999999999</c:v>
                </c:pt>
                <c:pt idx="3">
                  <c:v>19.541666666666668</c:v>
                </c:pt>
                <c:pt idx="4">
                  <c:v>17.305666666666667</c:v>
                </c:pt>
                <c:pt idx="5">
                  <c:v>42.708333333333336</c:v>
                </c:pt>
                <c:pt idx="6">
                  <c:v>44.418666666666667</c:v>
                </c:pt>
                <c:pt idx="7">
                  <c:v>77.319000000000003</c:v>
                </c:pt>
                <c:pt idx="8">
                  <c:v>93.923333333333332</c:v>
                </c:pt>
                <c:pt idx="9">
                  <c:v>84.157666666666671</c:v>
                </c:pt>
                <c:pt idx="10">
                  <c:v>63.409333333333336</c:v>
                </c:pt>
              </c:numCache>
            </c:numRef>
          </c:val>
        </c:ser>
        <c:ser>
          <c:idx val="1"/>
          <c:order val="1"/>
          <c:tx>
            <c:strRef>
              <c:f>'int - 6k'!$A$13</c:f>
              <c:strCache>
                <c:ptCount val="1"/>
                <c:pt idx="0">
                  <c:v>incremental deletions 1%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triangle"/>
            <c:size val="15"/>
            <c:spPr>
              <a:noFill/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'int - 6k'!$B$2:$L$2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'int - 6k'!$B$19:$L$19</c:f>
              <c:numCache>
                <c:formatCode>General</c:formatCode>
                <c:ptCount val="11"/>
                <c:pt idx="0">
                  <c:v>0.12466666666666666</c:v>
                </c:pt>
                <c:pt idx="1">
                  <c:v>0.34333333333333332</c:v>
                </c:pt>
                <c:pt idx="2">
                  <c:v>0.57699999999999996</c:v>
                </c:pt>
                <c:pt idx="3">
                  <c:v>0.86799999999999999</c:v>
                </c:pt>
                <c:pt idx="4">
                  <c:v>1.2893333333333334</c:v>
                </c:pt>
                <c:pt idx="5">
                  <c:v>1.3416666666666666</c:v>
                </c:pt>
                <c:pt idx="6">
                  <c:v>1.5186666666666666</c:v>
                </c:pt>
                <c:pt idx="7">
                  <c:v>2.621</c:v>
                </c:pt>
                <c:pt idx="8">
                  <c:v>2.5270000000000001</c:v>
                </c:pt>
                <c:pt idx="9">
                  <c:v>2.3663333333333334</c:v>
                </c:pt>
                <c:pt idx="10">
                  <c:v>1.9446666666666668</c:v>
                </c:pt>
              </c:numCache>
            </c:numRef>
          </c:val>
        </c:ser>
        <c:ser>
          <c:idx val="2"/>
          <c:order val="2"/>
          <c:tx>
            <c:strRef>
              <c:f>'int - 6k'!$A$23</c:f>
              <c:strCache>
                <c:ptCount val="1"/>
                <c:pt idx="0">
                  <c:v>incremental deletions 10%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diamond"/>
            <c:size val="18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'int - 6k'!$B$2:$L$2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'int - 6k'!$B$29:$L$29</c:f>
              <c:numCache>
                <c:formatCode>General</c:formatCode>
                <c:ptCount val="11"/>
                <c:pt idx="0">
                  <c:v>0.14566666666666667</c:v>
                </c:pt>
                <c:pt idx="1">
                  <c:v>0.45800000000000002</c:v>
                </c:pt>
                <c:pt idx="2">
                  <c:v>0.95166666666666666</c:v>
                </c:pt>
                <c:pt idx="3">
                  <c:v>1.3313333333333333</c:v>
                </c:pt>
                <c:pt idx="4">
                  <c:v>2.1683333333333334</c:v>
                </c:pt>
                <c:pt idx="5">
                  <c:v>1.9496666666666667</c:v>
                </c:pt>
                <c:pt idx="6">
                  <c:v>1.9550000000000001</c:v>
                </c:pt>
                <c:pt idx="7">
                  <c:v>2.9119999999999999</c:v>
                </c:pt>
                <c:pt idx="8">
                  <c:v>3.5363333333333333</c:v>
                </c:pt>
                <c:pt idx="9">
                  <c:v>3.1566666666666667</c:v>
                </c:pt>
                <c:pt idx="10">
                  <c:v>2.3816666666666668</c:v>
                </c:pt>
              </c:numCache>
            </c:numRef>
          </c:val>
        </c:ser>
        <c:ser>
          <c:idx val="3"/>
          <c:order val="3"/>
          <c:tx>
            <c:strRef>
              <c:f>'int - 6k'!$A$33</c:f>
              <c:strCache>
                <c:ptCount val="1"/>
                <c:pt idx="0">
                  <c:v>incremental deletions 50%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5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'int - 6k'!$B$2:$L$2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'int - 6k'!$B$39:$L$39</c:f>
              <c:numCache>
                <c:formatCode>General</c:formatCode>
                <c:ptCount val="11"/>
                <c:pt idx="0">
                  <c:v>0.30666666666666664</c:v>
                </c:pt>
                <c:pt idx="1">
                  <c:v>1.139</c:v>
                </c:pt>
                <c:pt idx="2">
                  <c:v>2.8493333333333335</c:v>
                </c:pt>
                <c:pt idx="3">
                  <c:v>3.51</c:v>
                </c:pt>
                <c:pt idx="4">
                  <c:v>6.1879999999999997</c:v>
                </c:pt>
                <c:pt idx="5">
                  <c:v>5.2569999999999997</c:v>
                </c:pt>
                <c:pt idx="6">
                  <c:v>4.2483333333333331</c:v>
                </c:pt>
                <c:pt idx="7">
                  <c:v>6.9313333333333329</c:v>
                </c:pt>
                <c:pt idx="8">
                  <c:v>8.9703333333333326</c:v>
                </c:pt>
                <c:pt idx="9">
                  <c:v>6.7653333333333334</c:v>
                </c:pt>
                <c:pt idx="10">
                  <c:v>4.3263333333333334</c:v>
                </c:pt>
              </c:numCache>
            </c:numRef>
          </c:val>
        </c:ser>
        <c:ser>
          <c:idx val="4"/>
          <c:order val="4"/>
          <c:tx>
            <c:strRef>
              <c:f>'int - 6k'!$A$43</c:f>
              <c:strCache>
                <c:ptCount val="1"/>
                <c:pt idx="0">
                  <c:v>incremental insertions 1%</c:v>
                </c:pt>
              </c:strCache>
            </c:strRef>
          </c:tx>
          <c:spPr>
            <a:ln w="38100">
              <a:solidFill>
                <a:srgbClr val="1F497D"/>
              </a:solidFill>
            </a:ln>
          </c:spPr>
          <c:marker>
            <c:symbol val="triangle"/>
            <c:size val="15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'int - 6k'!$B$2:$L$2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'int - 6k'!$B$49:$L$49</c:f>
              <c:numCache>
                <c:formatCode>General</c:formatCode>
                <c:ptCount val="11"/>
                <c:pt idx="0">
                  <c:v>0.23933333333333334</c:v>
                </c:pt>
                <c:pt idx="1">
                  <c:v>0.97733333333333339</c:v>
                </c:pt>
                <c:pt idx="2">
                  <c:v>2.0230000000000001</c:v>
                </c:pt>
                <c:pt idx="3">
                  <c:v>7.1036666666666664</c:v>
                </c:pt>
                <c:pt idx="4">
                  <c:v>2.4026666666666667</c:v>
                </c:pt>
                <c:pt idx="5">
                  <c:v>6.0633333333333335</c:v>
                </c:pt>
                <c:pt idx="6">
                  <c:v>7.8520000000000003</c:v>
                </c:pt>
                <c:pt idx="7">
                  <c:v>16.162333333333333</c:v>
                </c:pt>
                <c:pt idx="8">
                  <c:v>30.601666666666667</c:v>
                </c:pt>
                <c:pt idx="9">
                  <c:v>18.074999999999999</c:v>
                </c:pt>
                <c:pt idx="10">
                  <c:v>11.122666666666667</c:v>
                </c:pt>
              </c:numCache>
            </c:numRef>
          </c:val>
        </c:ser>
        <c:ser>
          <c:idx val="5"/>
          <c:order val="5"/>
          <c:tx>
            <c:strRef>
              <c:f>'int - 6k'!$A$53</c:f>
              <c:strCache>
                <c:ptCount val="1"/>
                <c:pt idx="0">
                  <c:v>incremental insertions 10%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diamond"/>
            <c:size val="18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'int - 6k'!$B$2:$L$2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'int - 6k'!$B$59:$L$59</c:f>
              <c:numCache>
                <c:formatCode>General</c:formatCode>
                <c:ptCount val="11"/>
                <c:pt idx="0">
                  <c:v>0.34833333333333333</c:v>
                </c:pt>
                <c:pt idx="1">
                  <c:v>1.2946666666666666</c:v>
                </c:pt>
                <c:pt idx="2">
                  <c:v>2.6986666666666665</c:v>
                </c:pt>
                <c:pt idx="3">
                  <c:v>9.3550000000000004</c:v>
                </c:pt>
                <c:pt idx="4">
                  <c:v>3.4996666666666667</c:v>
                </c:pt>
                <c:pt idx="5">
                  <c:v>8.6996666666666673</c:v>
                </c:pt>
                <c:pt idx="6">
                  <c:v>11.206333333333333</c:v>
                </c:pt>
                <c:pt idx="7">
                  <c:v>21.861000000000001</c:v>
                </c:pt>
                <c:pt idx="8">
                  <c:v>26.103999999999999</c:v>
                </c:pt>
                <c:pt idx="9">
                  <c:v>23.571666666666665</c:v>
                </c:pt>
                <c:pt idx="10">
                  <c:v>16.297000000000001</c:v>
                </c:pt>
              </c:numCache>
            </c:numRef>
          </c:val>
        </c:ser>
        <c:ser>
          <c:idx val="6"/>
          <c:order val="6"/>
          <c:tx>
            <c:strRef>
              <c:f>'int - 6k'!$A$63</c:f>
              <c:strCache>
                <c:ptCount val="1"/>
                <c:pt idx="0">
                  <c:v>incremental insertions 50%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square"/>
            <c:size val="15"/>
            <c:spPr>
              <a:solidFill>
                <a:schemeClr val="tx2"/>
              </a:solidFill>
              <a:ln w="12700">
                <a:solidFill>
                  <a:schemeClr val="tx2"/>
                </a:solidFill>
              </a:ln>
            </c:spPr>
          </c:marker>
          <c:cat>
            <c:numRef>
              <c:f>'int - 6k'!$B$2:$L$2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'int - 6k'!$B$69:$L$69</c:f>
              <c:numCache>
                <c:formatCode>General</c:formatCode>
                <c:ptCount val="11"/>
                <c:pt idx="0">
                  <c:v>0.76966666666666672</c:v>
                </c:pt>
                <c:pt idx="1">
                  <c:v>2.7816666666666667</c:v>
                </c:pt>
                <c:pt idx="2">
                  <c:v>6.6766666666666667</c:v>
                </c:pt>
                <c:pt idx="3">
                  <c:v>16.270333333333333</c:v>
                </c:pt>
                <c:pt idx="4">
                  <c:v>8.7826666666666675</c:v>
                </c:pt>
                <c:pt idx="5">
                  <c:v>21.085666666666668</c:v>
                </c:pt>
                <c:pt idx="6">
                  <c:v>27.596</c:v>
                </c:pt>
                <c:pt idx="7">
                  <c:v>49.301666666666669</c:v>
                </c:pt>
                <c:pt idx="8">
                  <c:v>64.11666666666666</c:v>
                </c:pt>
                <c:pt idx="9">
                  <c:v>60.518333333333331</c:v>
                </c:pt>
                <c:pt idx="10">
                  <c:v>46.503999999999998</c:v>
                </c:pt>
              </c:numCache>
            </c:numRef>
          </c:val>
        </c:ser>
        <c:marker val="1"/>
        <c:axId val="68630400"/>
        <c:axId val="68632960"/>
      </c:lineChart>
      <c:catAx>
        <c:axId val="68630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Number of peers</a:t>
                </a:r>
              </a:p>
            </c:rich>
          </c:tx>
          <c:layout>
            <c:manualLayout>
              <c:xMode val="edge"/>
              <c:yMode val="edge"/>
              <c:x val="0.38773491592482751"/>
              <c:y val="0.9126043039086517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632960"/>
        <c:crosses val="autoZero"/>
        <c:auto val="1"/>
        <c:lblAlgn val="ctr"/>
        <c:lblOffset val="100"/>
        <c:tickLblSkip val="1"/>
        <c:tickMarkSkip val="1"/>
      </c:catAx>
      <c:valAx>
        <c:axId val="68632960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Time (sec)</a:t>
                </a:r>
              </a:p>
            </c:rich>
          </c:tx>
          <c:layout>
            <c:manualLayout>
              <c:xMode val="edge"/>
              <c:yMode val="edge"/>
              <c:x val="6.5941312232113422E-3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630400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496208374546694"/>
          <c:y val="4.0404040404040414E-2"/>
          <c:w val="0.43224530168150344"/>
          <c:h val="0.32601924759405126"/>
        </c:manualLayout>
      </c:layout>
      <c:spPr>
        <a:noFill/>
        <a:ln w="25400">
          <a:noFill/>
        </a:ln>
      </c:spPr>
      <c:txPr>
        <a:bodyPr/>
        <a:lstStyle/>
        <a:p>
          <a:pPr>
            <a:defRPr sz="2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309264754368611"/>
          <c:y val="3.2938076416337295E-2"/>
          <c:w val="0.83877349159248316"/>
          <c:h val="0.77997364953886761"/>
        </c:manualLayout>
      </c:layout>
      <c:lineChart>
        <c:grouping val="standard"/>
        <c:ser>
          <c:idx val="0"/>
          <c:order val="0"/>
          <c:tx>
            <c:strRef>
              <c:f>'int - 8k'!$A$3</c:f>
              <c:strCache>
                <c:ptCount val="1"/>
                <c:pt idx="0">
                  <c:v>initial solution</c:v>
                </c:pt>
              </c:strCache>
            </c:strRef>
          </c:tx>
          <c:spPr>
            <a:ln w="38100"/>
          </c:spPr>
          <c:marker>
            <c:symbol val="circle"/>
            <c:size val="15"/>
            <c:spPr>
              <a:solidFill>
                <a:schemeClr val="accent1"/>
              </a:solidFill>
            </c:spPr>
          </c:marker>
          <c:cat>
            <c:numRef>
              <c:f>'int - 8k'!$B$2:$I$2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'int - 8k'!$B$9:$I$9</c:f>
              <c:numCache>
                <c:formatCode>General</c:formatCode>
                <c:ptCount val="8"/>
                <c:pt idx="0">
                  <c:v>1.8153333333333332</c:v>
                </c:pt>
                <c:pt idx="1">
                  <c:v>5.8813333333333331</c:v>
                </c:pt>
                <c:pt idx="2">
                  <c:v>13.281333333333333</c:v>
                </c:pt>
                <c:pt idx="3">
                  <c:v>24.632666666666665</c:v>
                </c:pt>
                <c:pt idx="4">
                  <c:v>23.259666666666668</c:v>
                </c:pt>
                <c:pt idx="5">
                  <c:v>48.022333333333336</c:v>
                </c:pt>
                <c:pt idx="6">
                  <c:v>60.205666666666666</c:v>
                </c:pt>
                <c:pt idx="7">
                  <c:v>96.632666666666665</c:v>
                </c:pt>
              </c:numCache>
            </c:numRef>
          </c:val>
        </c:ser>
        <c:ser>
          <c:idx val="1"/>
          <c:order val="1"/>
          <c:tx>
            <c:strRef>
              <c:f>'int - 8k'!$A$13</c:f>
              <c:strCache>
                <c:ptCount val="1"/>
                <c:pt idx="0">
                  <c:v>incremental deletions 1%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triangle"/>
            <c:size val="15"/>
            <c:spPr>
              <a:noFill/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'int - 8k'!$B$2:$I$2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'int - 8k'!$B$19:$I$19</c:f>
              <c:numCache>
                <c:formatCode>General</c:formatCode>
                <c:ptCount val="8"/>
                <c:pt idx="0">
                  <c:v>0.14066666666666666</c:v>
                </c:pt>
                <c:pt idx="1">
                  <c:v>0.39</c:v>
                </c:pt>
                <c:pt idx="2">
                  <c:v>0.70733333333333337</c:v>
                </c:pt>
                <c:pt idx="3">
                  <c:v>1.0556666666666668</c:v>
                </c:pt>
                <c:pt idx="4">
                  <c:v>1.57</c:v>
                </c:pt>
                <c:pt idx="5">
                  <c:v>1.581</c:v>
                </c:pt>
                <c:pt idx="6">
                  <c:v>1.9136666666666666</c:v>
                </c:pt>
                <c:pt idx="7">
                  <c:v>2.5009999999999999</c:v>
                </c:pt>
              </c:numCache>
            </c:numRef>
          </c:val>
        </c:ser>
        <c:ser>
          <c:idx val="2"/>
          <c:order val="2"/>
          <c:tx>
            <c:strRef>
              <c:f>'int - 8k'!$A$23</c:f>
              <c:strCache>
                <c:ptCount val="1"/>
                <c:pt idx="0">
                  <c:v>incremental deletions 10%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diamond"/>
            <c:size val="18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'int - 8k'!$B$2:$I$2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'int - 8k'!$B$29:$I$29</c:f>
              <c:numCache>
                <c:formatCode>General</c:formatCode>
                <c:ptCount val="8"/>
                <c:pt idx="0">
                  <c:v>0.17666666666666667</c:v>
                </c:pt>
                <c:pt idx="1">
                  <c:v>0.55666666666666664</c:v>
                </c:pt>
                <c:pt idx="2">
                  <c:v>1.2063333333333333</c:v>
                </c:pt>
                <c:pt idx="3">
                  <c:v>1.5756666666666668</c:v>
                </c:pt>
                <c:pt idx="4">
                  <c:v>2.7353333333333332</c:v>
                </c:pt>
                <c:pt idx="5">
                  <c:v>2.4336666666666669</c:v>
                </c:pt>
                <c:pt idx="6">
                  <c:v>2.5483333333333333</c:v>
                </c:pt>
                <c:pt idx="7">
                  <c:v>3.5826666666666669</c:v>
                </c:pt>
              </c:numCache>
            </c:numRef>
          </c:val>
        </c:ser>
        <c:ser>
          <c:idx val="3"/>
          <c:order val="3"/>
          <c:tx>
            <c:strRef>
              <c:f>'int - 8k'!$A$33</c:f>
              <c:strCache>
                <c:ptCount val="1"/>
                <c:pt idx="0">
                  <c:v>incremental deletions 50%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5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'int - 8k'!$B$2:$I$2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'int - 8k'!$B$39:$I$39</c:f>
              <c:numCache>
                <c:formatCode>General</c:formatCode>
                <c:ptCount val="8"/>
                <c:pt idx="0">
                  <c:v>0.40566666666666668</c:v>
                </c:pt>
                <c:pt idx="1">
                  <c:v>1.498</c:v>
                </c:pt>
                <c:pt idx="2">
                  <c:v>3.7333333333333334</c:v>
                </c:pt>
                <c:pt idx="3">
                  <c:v>4.3833333333333337</c:v>
                </c:pt>
                <c:pt idx="4">
                  <c:v>7.9770000000000003</c:v>
                </c:pt>
                <c:pt idx="5">
                  <c:v>6.754666666666667</c:v>
                </c:pt>
                <c:pt idx="6">
                  <c:v>5.8186666666666671</c:v>
                </c:pt>
                <c:pt idx="7">
                  <c:v>9.4433333333333334</c:v>
                </c:pt>
              </c:numCache>
            </c:numRef>
          </c:val>
        </c:ser>
        <c:ser>
          <c:idx val="4"/>
          <c:order val="4"/>
          <c:tx>
            <c:strRef>
              <c:f>'int - 8k'!$A$43</c:f>
              <c:strCache>
                <c:ptCount val="1"/>
                <c:pt idx="0">
                  <c:v>incremental insertions 1%</c:v>
                </c:pt>
              </c:strCache>
            </c:strRef>
          </c:tx>
          <c:spPr>
            <a:ln w="38100">
              <a:solidFill>
                <a:srgbClr val="1F497D"/>
              </a:solidFill>
            </a:ln>
          </c:spPr>
          <c:marker>
            <c:symbol val="triangle"/>
            <c:size val="15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'int - 8k'!$B$2:$I$2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'int - 8k'!$B$49:$I$49</c:f>
              <c:numCache>
                <c:formatCode>General</c:formatCode>
                <c:ptCount val="8"/>
                <c:pt idx="0">
                  <c:v>0.29099999999999998</c:v>
                </c:pt>
                <c:pt idx="1">
                  <c:v>1.2636666666666667</c:v>
                </c:pt>
                <c:pt idx="2">
                  <c:v>2.7146666666666666</c:v>
                </c:pt>
                <c:pt idx="3">
                  <c:v>3.968</c:v>
                </c:pt>
                <c:pt idx="4">
                  <c:v>3.0523333333333333</c:v>
                </c:pt>
                <c:pt idx="5">
                  <c:v>10.327</c:v>
                </c:pt>
                <c:pt idx="6">
                  <c:v>31.402999999999999</c:v>
                </c:pt>
                <c:pt idx="7">
                  <c:v>21.491333333333333</c:v>
                </c:pt>
              </c:numCache>
            </c:numRef>
          </c:val>
        </c:ser>
        <c:ser>
          <c:idx val="5"/>
          <c:order val="5"/>
          <c:tx>
            <c:strRef>
              <c:f>'int - 8k'!$A$53</c:f>
              <c:strCache>
                <c:ptCount val="1"/>
                <c:pt idx="0">
                  <c:v>incremental insertions 10%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diamond"/>
            <c:size val="18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'int - 8k'!$B$2:$I$2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'int - 8k'!$B$59:$I$59</c:f>
              <c:numCache>
                <c:formatCode>General</c:formatCode>
                <c:ptCount val="8"/>
                <c:pt idx="0">
                  <c:v>0.40566666666666668</c:v>
                </c:pt>
                <c:pt idx="1">
                  <c:v>1.675</c:v>
                </c:pt>
                <c:pt idx="2">
                  <c:v>3.9206666666666665</c:v>
                </c:pt>
                <c:pt idx="3">
                  <c:v>5.7303333333333333</c:v>
                </c:pt>
                <c:pt idx="4">
                  <c:v>4.5083333333333337</c:v>
                </c:pt>
                <c:pt idx="5">
                  <c:v>13.930666666666667</c:v>
                </c:pt>
                <c:pt idx="6">
                  <c:v>37.768000000000001</c:v>
                </c:pt>
                <c:pt idx="7">
                  <c:v>29.036999999999999</c:v>
                </c:pt>
              </c:numCache>
            </c:numRef>
          </c:val>
        </c:ser>
        <c:ser>
          <c:idx val="6"/>
          <c:order val="6"/>
          <c:tx>
            <c:strRef>
              <c:f>'int - 8k'!$A$63</c:f>
              <c:strCache>
                <c:ptCount val="1"/>
                <c:pt idx="0">
                  <c:v>incremental insertions 50%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square"/>
            <c:size val="15"/>
            <c:spPr>
              <a:solidFill>
                <a:schemeClr val="tx2"/>
              </a:solidFill>
              <a:ln w="12700">
                <a:solidFill>
                  <a:schemeClr val="tx2"/>
                </a:solidFill>
              </a:ln>
            </c:spPr>
          </c:marker>
          <c:cat>
            <c:numRef>
              <c:f>'int - 8k'!$B$2:$I$2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'int - 8k'!$B$69:$I$69</c:f>
              <c:numCache>
                <c:formatCode>General</c:formatCode>
                <c:ptCount val="8"/>
                <c:pt idx="0">
                  <c:v>0.93100000000000005</c:v>
                </c:pt>
                <c:pt idx="1">
                  <c:v>3.4473333333333334</c:v>
                </c:pt>
                <c:pt idx="2">
                  <c:v>9.0269999999999992</c:v>
                </c:pt>
                <c:pt idx="3">
                  <c:v>14.174666666666667</c:v>
                </c:pt>
                <c:pt idx="4">
                  <c:v>11.643000000000001</c:v>
                </c:pt>
                <c:pt idx="5">
                  <c:v>30.321000000000002</c:v>
                </c:pt>
                <c:pt idx="6">
                  <c:v>39.915333333333336</c:v>
                </c:pt>
                <c:pt idx="7">
                  <c:v>68.712999999999994</c:v>
                </c:pt>
              </c:numCache>
            </c:numRef>
          </c:val>
        </c:ser>
        <c:marker val="1"/>
        <c:axId val="71323008"/>
        <c:axId val="71341952"/>
      </c:lineChart>
      <c:catAx>
        <c:axId val="71323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Number of peers</a:t>
                </a:r>
              </a:p>
            </c:rich>
          </c:tx>
          <c:layout>
            <c:manualLayout>
              <c:xMode val="edge"/>
              <c:yMode val="edge"/>
              <c:x val="0.38773491592482751"/>
              <c:y val="0.9126043039086517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341952"/>
        <c:crosses val="autoZero"/>
        <c:auto val="1"/>
        <c:lblAlgn val="ctr"/>
        <c:lblOffset val="100"/>
        <c:tickLblSkip val="1"/>
        <c:tickMarkSkip val="1"/>
      </c:catAx>
      <c:valAx>
        <c:axId val="7134195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Time (sec)</a:t>
                </a:r>
              </a:p>
            </c:rich>
          </c:tx>
          <c:layout>
            <c:manualLayout>
              <c:xMode val="edge"/>
              <c:yMode val="edge"/>
              <c:x val="6.5941312232113422E-3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323008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496208374546694"/>
          <c:y val="4.0404040404040414E-2"/>
          <c:w val="0.43224530168150344"/>
          <c:h val="0.32601924759405126"/>
        </c:manualLayout>
      </c:layout>
      <c:spPr>
        <a:noFill/>
        <a:ln w="25400">
          <a:noFill/>
        </a:ln>
      </c:spPr>
      <c:txPr>
        <a:bodyPr/>
        <a:lstStyle/>
        <a:p>
          <a:pPr>
            <a:defRPr sz="2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309264754368611"/>
          <c:y val="3.2938076416337295E-2"/>
          <c:w val="0.83877349159248316"/>
          <c:h val="0.77997364953886761"/>
        </c:manualLayout>
      </c:layout>
      <c:lineChart>
        <c:grouping val="standard"/>
        <c:ser>
          <c:idx val="0"/>
          <c:order val="0"/>
          <c:tx>
            <c:strRef>
              <c:f>'int - 10k'!$A$3</c:f>
              <c:strCache>
                <c:ptCount val="1"/>
                <c:pt idx="0">
                  <c:v>initial solution</c:v>
                </c:pt>
              </c:strCache>
            </c:strRef>
          </c:tx>
          <c:spPr>
            <a:ln w="38100"/>
          </c:spPr>
          <c:marker>
            <c:symbol val="circle"/>
            <c:size val="15"/>
            <c:spPr>
              <a:solidFill>
                <a:schemeClr val="accent1"/>
              </a:solidFill>
            </c:spPr>
          </c:marker>
          <c:cat>
            <c:numRef>
              <c:f>'int - 10k'!$B$2:$H$2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'int - 10k'!$B$9:$H$9</c:f>
              <c:numCache>
                <c:formatCode>General</c:formatCode>
                <c:ptCount val="7"/>
                <c:pt idx="0">
                  <c:v>2.2413333333333334</c:v>
                </c:pt>
                <c:pt idx="1">
                  <c:v>7.2746666666666666</c:v>
                </c:pt>
                <c:pt idx="2">
                  <c:v>15.901999999999999</c:v>
                </c:pt>
                <c:pt idx="3">
                  <c:v>29.916</c:v>
                </c:pt>
                <c:pt idx="4">
                  <c:v>28.443999999999999</c:v>
                </c:pt>
                <c:pt idx="5">
                  <c:v>60.83</c:v>
                </c:pt>
                <c:pt idx="6">
                  <c:v>80.632000000000005</c:v>
                </c:pt>
              </c:numCache>
            </c:numRef>
          </c:val>
        </c:ser>
        <c:ser>
          <c:idx val="1"/>
          <c:order val="1"/>
          <c:tx>
            <c:strRef>
              <c:f>'int - 10k'!$A$13</c:f>
              <c:strCache>
                <c:ptCount val="1"/>
                <c:pt idx="0">
                  <c:v>incremental deletions 1%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triangle"/>
            <c:size val="15"/>
            <c:spPr>
              <a:noFill/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'int - 10k'!$B$2:$H$2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'int - 10k'!$B$19:$H$19</c:f>
              <c:numCache>
                <c:formatCode>General</c:formatCode>
                <c:ptCount val="7"/>
                <c:pt idx="0">
                  <c:v>0.156</c:v>
                </c:pt>
                <c:pt idx="1">
                  <c:v>0.39</c:v>
                </c:pt>
                <c:pt idx="2">
                  <c:v>0.7436666666666667</c:v>
                </c:pt>
                <c:pt idx="3">
                  <c:v>1.024</c:v>
                </c:pt>
                <c:pt idx="4">
                  <c:v>1.6536666666666666</c:v>
                </c:pt>
                <c:pt idx="5">
                  <c:v>1.7003333333333333</c:v>
                </c:pt>
                <c:pt idx="6">
                  <c:v>2.0646666666666667</c:v>
                </c:pt>
              </c:numCache>
            </c:numRef>
          </c:val>
        </c:ser>
        <c:ser>
          <c:idx val="2"/>
          <c:order val="2"/>
          <c:tx>
            <c:strRef>
              <c:f>'int - 10k'!$A$23</c:f>
              <c:strCache>
                <c:ptCount val="1"/>
                <c:pt idx="0">
                  <c:v>incremental deletions 10%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diamond"/>
            <c:size val="18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'int - 10k'!$B$2:$H$2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'int - 10k'!$B$29:$H$29</c:f>
              <c:numCache>
                <c:formatCode>General</c:formatCode>
                <c:ptCount val="7"/>
                <c:pt idx="0">
                  <c:v>0.19233333333333333</c:v>
                </c:pt>
                <c:pt idx="1">
                  <c:v>0.60299999999999998</c:v>
                </c:pt>
                <c:pt idx="2">
                  <c:v>1.3879999999999999</c:v>
                </c:pt>
                <c:pt idx="3">
                  <c:v>1.7316666666666667</c:v>
                </c:pt>
                <c:pt idx="4">
                  <c:v>3.1456666666666666</c:v>
                </c:pt>
                <c:pt idx="5">
                  <c:v>2.8079999999999998</c:v>
                </c:pt>
                <c:pt idx="6">
                  <c:v>2.9066666666666667</c:v>
                </c:pt>
              </c:numCache>
            </c:numRef>
          </c:val>
        </c:ser>
        <c:ser>
          <c:idx val="3"/>
          <c:order val="3"/>
          <c:tx>
            <c:strRef>
              <c:f>'int - 10k'!$A$33</c:f>
              <c:strCache>
                <c:ptCount val="1"/>
                <c:pt idx="0">
                  <c:v>incremental deletions 50%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5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'int - 10k'!$B$2:$H$2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'int - 10k'!$B$39:$H$39</c:f>
              <c:numCache>
                <c:formatCode>General</c:formatCode>
                <c:ptCount val="7"/>
                <c:pt idx="0">
                  <c:v>0.47799999999999998</c:v>
                </c:pt>
                <c:pt idx="1">
                  <c:v>1.7473333333333334</c:v>
                </c:pt>
                <c:pt idx="2">
                  <c:v>4.6276666666666664</c:v>
                </c:pt>
                <c:pt idx="3">
                  <c:v>5.2830000000000004</c:v>
                </c:pt>
                <c:pt idx="4">
                  <c:v>9.6663333333333341</c:v>
                </c:pt>
                <c:pt idx="5">
                  <c:v>8.6006666666666671</c:v>
                </c:pt>
                <c:pt idx="6">
                  <c:v>7.4363333333333337</c:v>
                </c:pt>
              </c:numCache>
            </c:numRef>
          </c:val>
        </c:ser>
        <c:ser>
          <c:idx val="4"/>
          <c:order val="4"/>
          <c:tx>
            <c:strRef>
              <c:f>'int - 10k'!$A$43</c:f>
              <c:strCache>
                <c:ptCount val="1"/>
                <c:pt idx="0">
                  <c:v>incremental insertions 1%</c:v>
                </c:pt>
              </c:strCache>
            </c:strRef>
          </c:tx>
          <c:spPr>
            <a:ln w="38100">
              <a:solidFill>
                <a:srgbClr val="1F497D"/>
              </a:solidFill>
            </a:ln>
          </c:spPr>
          <c:marker>
            <c:symbol val="triangle"/>
            <c:size val="15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'int - 10k'!$B$2:$H$2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'int - 10k'!$B$49:$H$49</c:f>
              <c:numCache>
                <c:formatCode>General</c:formatCode>
                <c:ptCount val="7"/>
                <c:pt idx="0">
                  <c:v>0.34833333333333333</c:v>
                </c:pt>
                <c:pt idx="1">
                  <c:v>1.1023333333333334</c:v>
                </c:pt>
                <c:pt idx="2">
                  <c:v>3.1303333333333332</c:v>
                </c:pt>
                <c:pt idx="3">
                  <c:v>5.0493333333333332</c:v>
                </c:pt>
                <c:pt idx="4">
                  <c:v>12.230666666666666</c:v>
                </c:pt>
                <c:pt idx="5">
                  <c:v>13.452333333333334</c:v>
                </c:pt>
                <c:pt idx="6">
                  <c:v>18.986999999999998</c:v>
                </c:pt>
              </c:numCache>
            </c:numRef>
          </c:val>
        </c:ser>
        <c:ser>
          <c:idx val="5"/>
          <c:order val="5"/>
          <c:tx>
            <c:strRef>
              <c:f>'int - 10k'!$A$53</c:f>
              <c:strCache>
                <c:ptCount val="1"/>
                <c:pt idx="0">
                  <c:v>incremental insertions 10%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diamond"/>
            <c:size val="18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'int - 10k'!$B$2:$H$2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'int - 10k'!$B$59:$H$59</c:f>
              <c:numCache>
                <c:formatCode>General</c:formatCode>
                <c:ptCount val="7"/>
                <c:pt idx="0">
                  <c:v>0.48399999999999999</c:v>
                </c:pt>
                <c:pt idx="1">
                  <c:v>1.6273333333333333</c:v>
                </c:pt>
                <c:pt idx="2">
                  <c:v>4.3890000000000002</c:v>
                </c:pt>
                <c:pt idx="3">
                  <c:v>7.3479999999999999</c:v>
                </c:pt>
                <c:pt idx="4">
                  <c:v>14.528666666666666</c:v>
                </c:pt>
                <c:pt idx="5">
                  <c:v>18.075666666666667</c:v>
                </c:pt>
                <c:pt idx="6">
                  <c:v>33.182000000000002</c:v>
                </c:pt>
              </c:numCache>
            </c:numRef>
          </c:val>
        </c:ser>
        <c:ser>
          <c:idx val="6"/>
          <c:order val="6"/>
          <c:tx>
            <c:strRef>
              <c:f>'int - 10k'!$A$63</c:f>
              <c:strCache>
                <c:ptCount val="1"/>
                <c:pt idx="0">
                  <c:v>incremental insertions 50%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square"/>
            <c:size val="15"/>
            <c:spPr>
              <a:solidFill>
                <a:schemeClr val="tx2"/>
              </a:solidFill>
              <a:ln w="12700">
                <a:solidFill>
                  <a:schemeClr val="tx2"/>
                </a:solidFill>
              </a:ln>
            </c:spPr>
          </c:marker>
          <c:cat>
            <c:numRef>
              <c:f>'int - 10k'!$B$2:$H$2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'int - 10k'!$B$69:$H$69</c:f>
              <c:numCache>
                <c:formatCode>General</c:formatCode>
                <c:ptCount val="7"/>
                <c:pt idx="0">
                  <c:v>1.165</c:v>
                </c:pt>
                <c:pt idx="1">
                  <c:v>3.988</c:v>
                </c:pt>
                <c:pt idx="2">
                  <c:v>10.441666666666666</c:v>
                </c:pt>
                <c:pt idx="3">
                  <c:v>17.981666666666666</c:v>
                </c:pt>
                <c:pt idx="4">
                  <c:v>19.853999999999999</c:v>
                </c:pt>
                <c:pt idx="5">
                  <c:v>39.572333333333333</c:v>
                </c:pt>
                <c:pt idx="6">
                  <c:v>71.811999999999998</c:v>
                </c:pt>
              </c:numCache>
            </c:numRef>
          </c:val>
        </c:ser>
        <c:marker val="1"/>
        <c:axId val="72471680"/>
        <c:axId val="72473984"/>
      </c:lineChart>
      <c:catAx>
        <c:axId val="72471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Number of peers</a:t>
                </a:r>
              </a:p>
            </c:rich>
          </c:tx>
          <c:layout>
            <c:manualLayout>
              <c:xMode val="edge"/>
              <c:yMode val="edge"/>
              <c:x val="0.38773491592482751"/>
              <c:y val="0.9126043039086517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473984"/>
        <c:crosses val="autoZero"/>
        <c:auto val="1"/>
        <c:lblAlgn val="ctr"/>
        <c:lblOffset val="100"/>
        <c:tickLblSkip val="1"/>
        <c:tickMarkSkip val="1"/>
      </c:catAx>
      <c:valAx>
        <c:axId val="72473984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Time (sec)</a:t>
                </a:r>
              </a:p>
            </c:rich>
          </c:tx>
          <c:layout>
            <c:manualLayout>
              <c:xMode val="edge"/>
              <c:yMode val="edge"/>
              <c:x val="6.5941312232113422E-3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471680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496208374546694"/>
          <c:y val="4.0404040404040414E-2"/>
          <c:w val="0.43224530168150344"/>
          <c:h val="0.32601924759405126"/>
        </c:manualLayout>
      </c:layout>
      <c:spPr>
        <a:noFill/>
        <a:ln w="25400">
          <a:noFill/>
        </a:ln>
      </c:spPr>
      <c:txPr>
        <a:bodyPr/>
        <a:lstStyle/>
        <a:p>
          <a:pPr>
            <a:defRPr sz="2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309264754368611"/>
          <c:y val="3.2938076416337295E-2"/>
          <c:w val="0.83877349159248316"/>
          <c:h val="0.77997364953886761"/>
        </c:manualLayout>
      </c:layout>
      <c:lineChart>
        <c:grouping val="standard"/>
        <c:ser>
          <c:idx val="0"/>
          <c:order val="0"/>
          <c:tx>
            <c:strRef>
              <c:f>'int - 10p'!$A$3</c:f>
              <c:strCache>
                <c:ptCount val="1"/>
                <c:pt idx="0">
                  <c:v>initial solution</c:v>
                </c:pt>
              </c:strCache>
            </c:strRef>
          </c:tx>
          <c:spPr>
            <a:ln w="38100"/>
          </c:spPr>
          <c:marker>
            <c:symbol val="circle"/>
            <c:size val="15"/>
            <c:spPr>
              <a:solidFill>
                <a:schemeClr val="accent1"/>
              </a:solidFill>
            </c:spPr>
          </c:marker>
          <c:cat>
            <c:strRef>
              <c:f>'int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'int - 10p'!$B$9:$F$9</c:f>
              <c:numCache>
                <c:formatCode>General</c:formatCode>
                <c:ptCount val="5"/>
                <c:pt idx="0">
                  <c:v>5.9643333333333333</c:v>
                </c:pt>
                <c:pt idx="1">
                  <c:v>11.757666666666667</c:v>
                </c:pt>
                <c:pt idx="2">
                  <c:v>17.305666666666667</c:v>
                </c:pt>
                <c:pt idx="3">
                  <c:v>23.259666666666668</c:v>
                </c:pt>
                <c:pt idx="4">
                  <c:v>28.443999999999999</c:v>
                </c:pt>
              </c:numCache>
            </c:numRef>
          </c:val>
        </c:ser>
        <c:ser>
          <c:idx val="1"/>
          <c:order val="1"/>
          <c:tx>
            <c:strRef>
              <c:f>'int - 10p'!$A$13</c:f>
              <c:strCache>
                <c:ptCount val="1"/>
                <c:pt idx="0">
                  <c:v>incremental deletions 1%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triangle"/>
            <c:size val="15"/>
            <c:spPr>
              <a:noFill/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strRef>
              <c:f>'int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'int - 10p'!$B$19:$F$19</c:f>
              <c:numCache>
                <c:formatCode>General</c:formatCode>
                <c:ptCount val="5"/>
                <c:pt idx="0">
                  <c:v>0.86333333333333329</c:v>
                </c:pt>
                <c:pt idx="1">
                  <c:v>1.0813333333333333</c:v>
                </c:pt>
                <c:pt idx="2">
                  <c:v>1.2893333333333334</c:v>
                </c:pt>
                <c:pt idx="3">
                  <c:v>1.57</c:v>
                </c:pt>
                <c:pt idx="4">
                  <c:v>1.6536666666666666</c:v>
                </c:pt>
              </c:numCache>
            </c:numRef>
          </c:val>
        </c:ser>
        <c:ser>
          <c:idx val="2"/>
          <c:order val="2"/>
          <c:tx>
            <c:strRef>
              <c:f>'int - 10p'!$A$23</c:f>
              <c:strCache>
                <c:ptCount val="1"/>
                <c:pt idx="0">
                  <c:v>incremental deletions 10%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diamond"/>
            <c:size val="18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strRef>
              <c:f>'int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'int - 10p'!$B$29:$F$29</c:f>
              <c:numCache>
                <c:formatCode>General</c:formatCode>
                <c:ptCount val="5"/>
                <c:pt idx="0">
                  <c:v>1.1546666666666667</c:v>
                </c:pt>
                <c:pt idx="1">
                  <c:v>1.6796666666666666</c:v>
                </c:pt>
                <c:pt idx="2">
                  <c:v>2.1683333333333334</c:v>
                </c:pt>
                <c:pt idx="3">
                  <c:v>2.7353333333333332</c:v>
                </c:pt>
                <c:pt idx="4">
                  <c:v>3.1456666666666666</c:v>
                </c:pt>
              </c:numCache>
            </c:numRef>
          </c:val>
        </c:ser>
        <c:ser>
          <c:idx val="3"/>
          <c:order val="3"/>
          <c:tx>
            <c:strRef>
              <c:f>'int - 10p'!$A$33</c:f>
              <c:strCache>
                <c:ptCount val="1"/>
                <c:pt idx="0">
                  <c:v>incremental deletions 50%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5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strRef>
              <c:f>'int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'int - 10p'!$B$39:$F$39</c:f>
              <c:numCache>
                <c:formatCode>General</c:formatCode>
                <c:ptCount val="5"/>
                <c:pt idx="0">
                  <c:v>2.3969999999999998</c:v>
                </c:pt>
                <c:pt idx="1">
                  <c:v>4.3159999999999998</c:v>
                </c:pt>
                <c:pt idx="2">
                  <c:v>6.1879999999999997</c:v>
                </c:pt>
                <c:pt idx="3">
                  <c:v>7.9770000000000003</c:v>
                </c:pt>
                <c:pt idx="4">
                  <c:v>9.6663333333333341</c:v>
                </c:pt>
              </c:numCache>
            </c:numRef>
          </c:val>
        </c:ser>
        <c:ser>
          <c:idx val="4"/>
          <c:order val="4"/>
          <c:tx>
            <c:strRef>
              <c:f>'int - 10p'!$A$43</c:f>
              <c:strCache>
                <c:ptCount val="1"/>
                <c:pt idx="0">
                  <c:v>incremental insertions 1%</c:v>
                </c:pt>
              </c:strCache>
            </c:strRef>
          </c:tx>
          <c:spPr>
            <a:ln w="38100">
              <a:solidFill>
                <a:srgbClr val="1F497D"/>
              </a:solidFill>
            </a:ln>
          </c:spPr>
          <c:marker>
            <c:symbol val="triangle"/>
            <c:size val="15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strRef>
              <c:f>'int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'int - 10p'!$B$49:$F$49</c:f>
              <c:numCache>
                <c:formatCode>General</c:formatCode>
                <c:ptCount val="5"/>
                <c:pt idx="0">
                  <c:v>1.1906666666666668</c:v>
                </c:pt>
                <c:pt idx="1">
                  <c:v>1.7783333333333333</c:v>
                </c:pt>
                <c:pt idx="2">
                  <c:v>2.4026666666666667</c:v>
                </c:pt>
                <c:pt idx="3">
                  <c:v>3.0523333333333333</c:v>
                </c:pt>
                <c:pt idx="4">
                  <c:v>12.230666666666666</c:v>
                </c:pt>
              </c:numCache>
            </c:numRef>
          </c:val>
        </c:ser>
        <c:ser>
          <c:idx val="5"/>
          <c:order val="5"/>
          <c:tx>
            <c:strRef>
              <c:f>'int - 10p'!$A$53</c:f>
              <c:strCache>
                <c:ptCount val="1"/>
                <c:pt idx="0">
                  <c:v>incremental insertions 10%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diamond"/>
            <c:size val="18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strRef>
              <c:f>'int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'int - 10p'!$B$59:$F$59</c:f>
              <c:numCache>
                <c:formatCode>General</c:formatCode>
                <c:ptCount val="5"/>
                <c:pt idx="0">
                  <c:v>1.5183333333333333</c:v>
                </c:pt>
                <c:pt idx="1">
                  <c:v>2.4543333333333335</c:v>
                </c:pt>
                <c:pt idx="2">
                  <c:v>3.4996666666666667</c:v>
                </c:pt>
                <c:pt idx="3">
                  <c:v>4.5083333333333337</c:v>
                </c:pt>
                <c:pt idx="4">
                  <c:v>14.528666666666666</c:v>
                </c:pt>
              </c:numCache>
            </c:numRef>
          </c:val>
        </c:ser>
        <c:ser>
          <c:idx val="6"/>
          <c:order val="6"/>
          <c:tx>
            <c:strRef>
              <c:f>'int - 10p'!$A$63</c:f>
              <c:strCache>
                <c:ptCount val="1"/>
                <c:pt idx="0">
                  <c:v>incremental insertions 50%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square"/>
            <c:size val="15"/>
            <c:spPr>
              <a:solidFill>
                <a:schemeClr val="tx2"/>
              </a:solidFill>
              <a:ln w="12700">
                <a:solidFill>
                  <a:schemeClr val="tx2"/>
                </a:solidFill>
              </a:ln>
            </c:spPr>
          </c:marker>
          <c:cat>
            <c:strRef>
              <c:f>'int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'int - 10p'!$B$69:$F$69</c:f>
              <c:numCache>
                <c:formatCode>General</c:formatCode>
                <c:ptCount val="5"/>
                <c:pt idx="0">
                  <c:v>3.3069999999999999</c:v>
                </c:pt>
                <c:pt idx="1">
                  <c:v>6.1</c:v>
                </c:pt>
                <c:pt idx="2">
                  <c:v>8.7826666666666675</c:v>
                </c:pt>
                <c:pt idx="3">
                  <c:v>11.643000000000001</c:v>
                </c:pt>
                <c:pt idx="4">
                  <c:v>19.853999999999999</c:v>
                </c:pt>
              </c:numCache>
            </c:numRef>
          </c:val>
        </c:ser>
        <c:marker val="1"/>
        <c:axId val="72276224"/>
        <c:axId val="72758016"/>
      </c:lineChart>
      <c:catAx>
        <c:axId val="72276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Number of tuples</a:t>
                </a:r>
              </a:p>
            </c:rich>
          </c:tx>
          <c:layout>
            <c:manualLayout>
              <c:xMode val="edge"/>
              <c:yMode val="edge"/>
              <c:x val="0.38773491592482751"/>
              <c:y val="0.9126043039086517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758016"/>
        <c:crosses val="autoZero"/>
        <c:auto val="1"/>
        <c:lblAlgn val="ctr"/>
        <c:lblOffset val="100"/>
        <c:tickLblSkip val="1"/>
        <c:tickMarkSkip val="1"/>
      </c:catAx>
      <c:valAx>
        <c:axId val="7275801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Time (sec)</a:t>
                </a:r>
              </a:p>
            </c:rich>
          </c:tx>
          <c:layout>
            <c:manualLayout>
              <c:xMode val="edge"/>
              <c:yMode val="edge"/>
              <c:x val="6.5941312232113422E-3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762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496208374546694"/>
          <c:y val="4.0404040404040414E-2"/>
          <c:w val="0.43224530168150344"/>
          <c:h val="0.32601924759405126"/>
        </c:manualLayout>
      </c:layout>
      <c:spPr>
        <a:noFill/>
        <a:ln w="25400">
          <a:noFill/>
        </a:ln>
      </c:spPr>
      <c:txPr>
        <a:bodyPr/>
        <a:lstStyle/>
        <a:p>
          <a:pPr>
            <a:defRPr sz="2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6023738872403567"/>
          <c:y val="3.2938076416337295E-2"/>
          <c:w val="0.83877349159248304"/>
          <c:h val="0.77997364953886739"/>
        </c:manualLayout>
      </c:layout>
      <c:lineChart>
        <c:grouping val="standard"/>
        <c:ser>
          <c:idx val="0"/>
          <c:order val="0"/>
          <c:tx>
            <c:strRef>
              <c:f>'str - 2k'!$A$3</c:f>
              <c:strCache>
                <c:ptCount val="1"/>
                <c:pt idx="0">
                  <c:v>initial solution</c:v>
                </c:pt>
              </c:strCache>
            </c:strRef>
          </c:tx>
          <c:spPr>
            <a:ln w="38100"/>
          </c:spPr>
          <c:marker>
            <c:symbol val="circle"/>
            <c:size val="15"/>
            <c:spPr>
              <a:solidFill>
                <a:schemeClr val="accent1"/>
              </a:solidFill>
            </c:spPr>
          </c:marker>
          <c:cat>
            <c:numRef>
              <c:f>'str - 2k'!$B$2:$F$2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cat>
          <c:val>
            <c:numRef>
              <c:f>'str - 2k'!$B$9:$F$9</c:f>
              <c:numCache>
                <c:formatCode>General</c:formatCode>
                <c:ptCount val="5"/>
                <c:pt idx="0">
                  <c:v>39.353333333333332</c:v>
                </c:pt>
                <c:pt idx="1">
                  <c:v>237.71866666666668</c:v>
                </c:pt>
                <c:pt idx="2">
                  <c:v>452.73933333333332</c:v>
                </c:pt>
                <c:pt idx="3">
                  <c:v>1050.059</c:v>
                </c:pt>
                <c:pt idx="4">
                  <c:v>1108.9846666666667</c:v>
                </c:pt>
              </c:numCache>
            </c:numRef>
          </c:val>
        </c:ser>
        <c:ser>
          <c:idx val="1"/>
          <c:order val="1"/>
          <c:tx>
            <c:strRef>
              <c:f>'str - 2k'!$A$13</c:f>
              <c:strCache>
                <c:ptCount val="1"/>
                <c:pt idx="0">
                  <c:v>incremental deletions 1%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triangle"/>
            <c:size val="15"/>
            <c:spPr>
              <a:noFill/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'str - 2k'!$B$2:$F$2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cat>
          <c:val>
            <c:numRef>
              <c:f>'str - 2k'!$B$19:$F$19</c:f>
              <c:numCache>
                <c:formatCode>General</c:formatCode>
                <c:ptCount val="5"/>
                <c:pt idx="0">
                  <c:v>11.987</c:v>
                </c:pt>
                <c:pt idx="1">
                  <c:v>18.136333333333333</c:v>
                </c:pt>
                <c:pt idx="2">
                  <c:v>31.749666666666666</c:v>
                </c:pt>
                <c:pt idx="3">
                  <c:v>47.573999999999998</c:v>
                </c:pt>
                <c:pt idx="4">
                  <c:v>88.126666666666665</c:v>
                </c:pt>
              </c:numCache>
            </c:numRef>
          </c:val>
        </c:ser>
        <c:ser>
          <c:idx val="2"/>
          <c:order val="2"/>
          <c:tx>
            <c:strRef>
              <c:f>'str - 2k'!$A$23</c:f>
              <c:strCache>
                <c:ptCount val="1"/>
                <c:pt idx="0">
                  <c:v>incremental deletions 10%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diamond"/>
            <c:size val="18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'str - 2k'!$B$2:$F$2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cat>
          <c:val>
            <c:numRef>
              <c:f>'str - 2k'!$B$29:$F$29</c:f>
              <c:numCache>
                <c:formatCode>General</c:formatCode>
                <c:ptCount val="5"/>
                <c:pt idx="0">
                  <c:v>12.308666666666667</c:v>
                </c:pt>
                <c:pt idx="1">
                  <c:v>19.472000000000001</c:v>
                </c:pt>
                <c:pt idx="2">
                  <c:v>33.512</c:v>
                </c:pt>
                <c:pt idx="3">
                  <c:v>48.331333333333333</c:v>
                </c:pt>
                <c:pt idx="4">
                  <c:v>94.49133333333333</c:v>
                </c:pt>
              </c:numCache>
            </c:numRef>
          </c:val>
        </c:ser>
        <c:ser>
          <c:idx val="3"/>
          <c:order val="3"/>
          <c:tx>
            <c:strRef>
              <c:f>'str - 2k'!$A$33</c:f>
              <c:strCache>
                <c:ptCount val="1"/>
                <c:pt idx="0">
                  <c:v>incremental deletions 50%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5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'str - 2k'!$B$2:$F$2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cat>
          <c:val>
            <c:numRef>
              <c:f>'str - 2k'!$B$39:$F$39</c:f>
              <c:numCache>
                <c:formatCode>General</c:formatCode>
                <c:ptCount val="5"/>
                <c:pt idx="0">
                  <c:v>13.675333333333333</c:v>
                </c:pt>
                <c:pt idx="1">
                  <c:v>25.216333333333335</c:v>
                </c:pt>
                <c:pt idx="2">
                  <c:v>41.686666666666667</c:v>
                </c:pt>
                <c:pt idx="3">
                  <c:v>58.205333333333336</c:v>
                </c:pt>
                <c:pt idx="4">
                  <c:v>117.91233333333334</c:v>
                </c:pt>
              </c:numCache>
            </c:numRef>
          </c:val>
        </c:ser>
        <c:ser>
          <c:idx val="4"/>
          <c:order val="4"/>
          <c:tx>
            <c:strRef>
              <c:f>'str - 2k'!$A$43</c:f>
              <c:strCache>
                <c:ptCount val="1"/>
                <c:pt idx="0">
                  <c:v>incremental insertions 1%</c:v>
                </c:pt>
              </c:strCache>
            </c:strRef>
          </c:tx>
          <c:spPr>
            <a:ln w="38100">
              <a:solidFill>
                <a:srgbClr val="1F497D"/>
              </a:solidFill>
            </a:ln>
          </c:spPr>
          <c:marker>
            <c:symbol val="triangle"/>
            <c:size val="15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'str - 2k'!$B$2:$F$2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cat>
          <c:val>
            <c:numRef>
              <c:f>'str - 2k'!$B$49:$F$49</c:f>
              <c:numCache>
                <c:formatCode>General</c:formatCode>
                <c:ptCount val="5"/>
                <c:pt idx="0">
                  <c:v>11.618666666666666</c:v>
                </c:pt>
                <c:pt idx="1">
                  <c:v>51.582666666666668</c:v>
                </c:pt>
                <c:pt idx="2">
                  <c:v>94.818666666666672</c:v>
                </c:pt>
                <c:pt idx="3">
                  <c:v>122.07866666666666</c:v>
                </c:pt>
                <c:pt idx="4">
                  <c:v>184.36133333333333</c:v>
                </c:pt>
              </c:numCache>
            </c:numRef>
          </c:val>
        </c:ser>
        <c:ser>
          <c:idx val="5"/>
          <c:order val="5"/>
          <c:tx>
            <c:strRef>
              <c:f>'str - 2k'!$A$53</c:f>
              <c:strCache>
                <c:ptCount val="1"/>
                <c:pt idx="0">
                  <c:v>incremental insertions 10%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diamond"/>
            <c:size val="18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'str - 2k'!$B$2:$F$2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cat>
          <c:val>
            <c:numRef>
              <c:f>'str - 2k'!$B$59:$F$59</c:f>
              <c:numCache>
                <c:formatCode>General</c:formatCode>
                <c:ptCount val="5"/>
                <c:pt idx="0">
                  <c:v>12.386666666666667</c:v>
                </c:pt>
                <c:pt idx="1">
                  <c:v>73.589333333333329</c:v>
                </c:pt>
                <c:pt idx="2">
                  <c:v>147.52266666666668</c:v>
                </c:pt>
                <c:pt idx="3">
                  <c:v>205.71799999999999</c:v>
                </c:pt>
                <c:pt idx="4">
                  <c:v>297.91566666666665</c:v>
                </c:pt>
              </c:numCache>
            </c:numRef>
          </c:val>
        </c:ser>
        <c:ser>
          <c:idx val="6"/>
          <c:order val="6"/>
          <c:tx>
            <c:strRef>
              <c:f>'str - 2k'!$A$63</c:f>
              <c:strCache>
                <c:ptCount val="1"/>
                <c:pt idx="0">
                  <c:v>incremental insertions 50%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square"/>
            <c:size val="15"/>
            <c:spPr>
              <a:solidFill>
                <a:schemeClr val="tx2"/>
              </a:solidFill>
              <a:ln w="12700">
                <a:solidFill>
                  <a:schemeClr val="tx2"/>
                </a:solidFill>
              </a:ln>
            </c:spPr>
          </c:marker>
          <c:cat>
            <c:numRef>
              <c:f>'str - 2k'!$B$2:$F$2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cat>
          <c:val>
            <c:numRef>
              <c:f>'str - 2k'!$B$69:$F$69</c:f>
              <c:numCache>
                <c:formatCode>General</c:formatCode>
                <c:ptCount val="5"/>
                <c:pt idx="0">
                  <c:v>19.442</c:v>
                </c:pt>
                <c:pt idx="1">
                  <c:v>219.63200000000001</c:v>
                </c:pt>
                <c:pt idx="2">
                  <c:v>326.53133333333335</c:v>
                </c:pt>
                <c:pt idx="3">
                  <c:v>698.85233333333338</c:v>
                </c:pt>
                <c:pt idx="4">
                  <c:v>894.726</c:v>
                </c:pt>
              </c:numCache>
            </c:numRef>
          </c:val>
        </c:ser>
        <c:marker val="1"/>
        <c:axId val="72203648"/>
        <c:axId val="72214400"/>
      </c:lineChart>
      <c:catAx>
        <c:axId val="72203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Number of peers</a:t>
                </a:r>
              </a:p>
            </c:rich>
          </c:tx>
          <c:layout>
            <c:manualLayout>
              <c:xMode val="edge"/>
              <c:yMode val="edge"/>
              <c:x val="0.38773491592482739"/>
              <c:y val="0.9126043039086517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14400"/>
        <c:crosses val="autoZero"/>
        <c:auto val="1"/>
        <c:lblAlgn val="ctr"/>
        <c:lblOffset val="100"/>
        <c:tickLblSkip val="1"/>
        <c:tickMarkSkip val="1"/>
      </c:catAx>
      <c:valAx>
        <c:axId val="72214400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Time (sec)</a:t>
                </a:r>
              </a:p>
            </c:rich>
          </c:tx>
          <c:layout>
            <c:manualLayout>
              <c:xMode val="edge"/>
              <c:yMode val="edge"/>
              <c:x val="6.5941312232113422E-3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036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496208374546686"/>
          <c:y val="4.0404040404040414E-2"/>
          <c:w val="0.43224530168150344"/>
          <c:h val="0.32601924759405115"/>
        </c:manualLayout>
      </c:layout>
      <c:spPr>
        <a:noFill/>
        <a:ln w="25400">
          <a:noFill/>
        </a:ln>
      </c:spPr>
      <c:txPr>
        <a:bodyPr/>
        <a:lstStyle/>
        <a:p>
          <a:pPr>
            <a:defRPr sz="2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5496208374546661"/>
          <c:y val="3.2938076416337295E-2"/>
          <c:w val="0.83877349159248316"/>
          <c:h val="0.77997364953886761"/>
        </c:manualLayout>
      </c:layout>
      <c:lineChart>
        <c:grouping val="standard"/>
        <c:ser>
          <c:idx val="0"/>
          <c:order val="0"/>
          <c:tx>
            <c:strRef>
              <c:f>'str - 4k'!$A$3</c:f>
              <c:strCache>
                <c:ptCount val="1"/>
                <c:pt idx="0">
                  <c:v>initial solution</c:v>
                </c:pt>
              </c:strCache>
            </c:strRef>
          </c:tx>
          <c:spPr>
            <a:ln w="38100"/>
          </c:spPr>
          <c:marker>
            <c:symbol val="circle"/>
            <c:size val="15"/>
            <c:spPr>
              <a:solidFill>
                <a:schemeClr val="accent1"/>
              </a:solidFill>
            </c:spPr>
          </c:marker>
          <c:cat>
            <c:numRef>
              <c:f>'str - 4k'!$B$2:$F$2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cat>
          <c:val>
            <c:numRef>
              <c:f>'str - 4k'!$B$9:$F$9</c:f>
              <c:numCache>
                <c:formatCode>General</c:formatCode>
                <c:ptCount val="5"/>
                <c:pt idx="0">
                  <c:v>20.264333333333333</c:v>
                </c:pt>
                <c:pt idx="1">
                  <c:v>97.391666666666666</c:v>
                </c:pt>
                <c:pt idx="2">
                  <c:v>329.78666666666669</c:v>
                </c:pt>
                <c:pt idx="3">
                  <c:v>649.35400000000004</c:v>
                </c:pt>
                <c:pt idx="4">
                  <c:v>508.44266666666664</c:v>
                </c:pt>
              </c:numCache>
            </c:numRef>
          </c:val>
        </c:ser>
        <c:ser>
          <c:idx val="1"/>
          <c:order val="1"/>
          <c:tx>
            <c:strRef>
              <c:f>'str - 4k'!$A$13</c:f>
              <c:strCache>
                <c:ptCount val="1"/>
                <c:pt idx="0">
                  <c:v>incremental deletions 1%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triangle"/>
            <c:size val="15"/>
            <c:spPr>
              <a:noFill/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'str - 4k'!$B$2:$F$2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cat>
          <c:val>
            <c:numRef>
              <c:f>'str - 4k'!$B$19:$F$19</c:f>
              <c:numCache>
                <c:formatCode>General</c:formatCode>
                <c:ptCount val="5"/>
                <c:pt idx="0">
                  <c:v>1.1339999999999999</c:v>
                </c:pt>
                <c:pt idx="1">
                  <c:v>12.763999999999999</c:v>
                </c:pt>
                <c:pt idx="2">
                  <c:v>14.544666666666666</c:v>
                </c:pt>
                <c:pt idx="3">
                  <c:v>19.126333333333335</c:v>
                </c:pt>
                <c:pt idx="4">
                  <c:v>32.774999999999999</c:v>
                </c:pt>
              </c:numCache>
            </c:numRef>
          </c:val>
        </c:ser>
        <c:ser>
          <c:idx val="2"/>
          <c:order val="2"/>
          <c:tx>
            <c:strRef>
              <c:f>'str - 4k'!$A$23</c:f>
              <c:strCache>
                <c:ptCount val="1"/>
                <c:pt idx="0">
                  <c:v>incremental deletions 10%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diamond"/>
            <c:size val="18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'str - 4k'!$B$2:$F$2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cat>
          <c:val>
            <c:numRef>
              <c:f>'str - 4k'!$B$29:$F$29</c:f>
              <c:numCache>
                <c:formatCode>General</c:formatCode>
                <c:ptCount val="5"/>
                <c:pt idx="0">
                  <c:v>1.2173333333333334</c:v>
                </c:pt>
                <c:pt idx="1">
                  <c:v>13.677333333333333</c:v>
                </c:pt>
                <c:pt idx="2">
                  <c:v>17.542999999999999</c:v>
                </c:pt>
                <c:pt idx="3">
                  <c:v>21.922666666666668</c:v>
                </c:pt>
                <c:pt idx="4">
                  <c:v>36.821333333333335</c:v>
                </c:pt>
              </c:numCache>
            </c:numRef>
          </c:val>
        </c:ser>
        <c:ser>
          <c:idx val="3"/>
          <c:order val="3"/>
          <c:tx>
            <c:strRef>
              <c:f>'str - 4k'!$A$33</c:f>
              <c:strCache>
                <c:ptCount val="1"/>
                <c:pt idx="0">
                  <c:v>incremental deletions 50%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5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'str - 4k'!$B$2:$F$2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cat>
          <c:val>
            <c:numRef>
              <c:f>'str - 4k'!$B$39:$F$39</c:f>
              <c:numCache>
                <c:formatCode>General</c:formatCode>
                <c:ptCount val="5"/>
                <c:pt idx="0">
                  <c:v>1.7946666666666666</c:v>
                </c:pt>
                <c:pt idx="1">
                  <c:v>18.748666666666665</c:v>
                </c:pt>
                <c:pt idx="2">
                  <c:v>22.66</c:v>
                </c:pt>
                <c:pt idx="3">
                  <c:v>30.341000000000001</c:v>
                </c:pt>
                <c:pt idx="4">
                  <c:v>50.274666666666668</c:v>
                </c:pt>
              </c:numCache>
            </c:numRef>
          </c:val>
        </c:ser>
        <c:ser>
          <c:idx val="4"/>
          <c:order val="4"/>
          <c:tx>
            <c:strRef>
              <c:f>'str - 4k'!$A$43</c:f>
              <c:strCache>
                <c:ptCount val="1"/>
                <c:pt idx="0">
                  <c:v>incremental insertions 1%</c:v>
                </c:pt>
              </c:strCache>
            </c:strRef>
          </c:tx>
          <c:spPr>
            <a:ln w="38100">
              <a:solidFill>
                <a:srgbClr val="1F497D"/>
              </a:solidFill>
            </a:ln>
          </c:spPr>
          <c:marker>
            <c:symbol val="triangle"/>
            <c:size val="15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'str - 4k'!$B$2:$F$2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cat>
          <c:val>
            <c:numRef>
              <c:f>'str - 4k'!$B$49:$F$49</c:f>
              <c:numCache>
                <c:formatCode>General</c:formatCode>
                <c:ptCount val="5"/>
                <c:pt idx="0">
                  <c:v>4.9506666666666668</c:v>
                </c:pt>
                <c:pt idx="1">
                  <c:v>14.264333333333333</c:v>
                </c:pt>
                <c:pt idx="2">
                  <c:v>35.474333333333334</c:v>
                </c:pt>
                <c:pt idx="3">
                  <c:v>57.99433333333333</c:v>
                </c:pt>
                <c:pt idx="4">
                  <c:v>63.101999999999997</c:v>
                </c:pt>
              </c:numCache>
            </c:numRef>
          </c:val>
        </c:ser>
        <c:ser>
          <c:idx val="5"/>
          <c:order val="5"/>
          <c:tx>
            <c:strRef>
              <c:f>'str - 4k'!$A$53</c:f>
              <c:strCache>
                <c:ptCount val="1"/>
                <c:pt idx="0">
                  <c:v>incremental insertions 10%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diamond"/>
            <c:size val="18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'str - 4k'!$B$2:$F$2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cat>
          <c:val>
            <c:numRef>
              <c:f>'str - 4k'!$B$59:$F$59</c:f>
              <c:numCache>
                <c:formatCode>General</c:formatCode>
                <c:ptCount val="5"/>
                <c:pt idx="0">
                  <c:v>5.835</c:v>
                </c:pt>
                <c:pt idx="1">
                  <c:v>19.083666666666666</c:v>
                </c:pt>
                <c:pt idx="2">
                  <c:v>79.352000000000004</c:v>
                </c:pt>
                <c:pt idx="3">
                  <c:v>105.21866666666666</c:v>
                </c:pt>
                <c:pt idx="4">
                  <c:v>127.66666666666667</c:v>
                </c:pt>
              </c:numCache>
            </c:numRef>
          </c:val>
        </c:ser>
        <c:ser>
          <c:idx val="6"/>
          <c:order val="6"/>
          <c:tx>
            <c:strRef>
              <c:f>'str - 4k'!$A$63</c:f>
              <c:strCache>
                <c:ptCount val="1"/>
                <c:pt idx="0">
                  <c:v>incremental insertions 50%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square"/>
            <c:size val="15"/>
            <c:spPr>
              <a:solidFill>
                <a:schemeClr val="tx2"/>
              </a:solidFill>
              <a:ln w="12700">
                <a:solidFill>
                  <a:schemeClr val="tx2"/>
                </a:solidFill>
              </a:ln>
            </c:spPr>
          </c:marker>
          <c:cat>
            <c:numRef>
              <c:f>'str - 4k'!$B$2:$F$2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cat>
          <c:val>
            <c:numRef>
              <c:f>'str - 4k'!$B$69:$F$69</c:f>
              <c:numCache>
                <c:formatCode>General</c:formatCode>
                <c:ptCount val="5"/>
                <c:pt idx="0">
                  <c:v>11.722666666666667</c:v>
                </c:pt>
                <c:pt idx="1">
                  <c:v>62.168333333333337</c:v>
                </c:pt>
                <c:pt idx="2">
                  <c:v>278.89</c:v>
                </c:pt>
                <c:pt idx="3">
                  <c:v>508.69433333333336</c:v>
                </c:pt>
                <c:pt idx="4">
                  <c:v>413.50566666666668</c:v>
                </c:pt>
              </c:numCache>
            </c:numRef>
          </c:val>
        </c:ser>
        <c:marker val="1"/>
        <c:axId val="84461440"/>
        <c:axId val="84082688"/>
      </c:lineChart>
      <c:catAx>
        <c:axId val="84461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Number of peers</a:t>
                </a:r>
              </a:p>
            </c:rich>
          </c:tx>
          <c:layout>
            <c:manualLayout>
              <c:xMode val="edge"/>
              <c:yMode val="edge"/>
              <c:x val="0.38773491592482751"/>
              <c:y val="0.9126043039086517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82688"/>
        <c:crosses val="autoZero"/>
        <c:auto val="1"/>
        <c:lblAlgn val="ctr"/>
        <c:lblOffset val="100"/>
        <c:tickLblSkip val="1"/>
        <c:tickMarkSkip val="1"/>
      </c:catAx>
      <c:valAx>
        <c:axId val="84082688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Time (sec)</a:t>
                </a:r>
              </a:p>
            </c:rich>
          </c:tx>
          <c:layout>
            <c:manualLayout>
              <c:xMode val="edge"/>
              <c:yMode val="edge"/>
              <c:x val="6.5941312232113422E-3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4614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496208374546694"/>
          <c:y val="4.0404040404040414E-2"/>
          <c:w val="0.43224530168150344"/>
          <c:h val="0.32601924759405126"/>
        </c:manualLayout>
      </c:layout>
      <c:spPr>
        <a:noFill/>
        <a:ln w="25400">
          <a:noFill/>
        </a:ln>
      </c:spPr>
      <c:txPr>
        <a:bodyPr/>
        <a:lstStyle/>
        <a:p>
          <a:pPr>
            <a:defRPr sz="2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6023738872403567"/>
          <c:y val="3.2938076416337295E-2"/>
          <c:w val="0.83877349159248338"/>
          <c:h val="0.77997364953886772"/>
        </c:manualLayout>
      </c:layout>
      <c:lineChart>
        <c:grouping val="standard"/>
        <c:ser>
          <c:idx val="0"/>
          <c:order val="0"/>
          <c:tx>
            <c:strRef>
              <c:f>'str - 6k'!$A$3</c:f>
              <c:strCache>
                <c:ptCount val="1"/>
                <c:pt idx="0">
                  <c:v>initial solution</c:v>
                </c:pt>
              </c:strCache>
            </c:strRef>
          </c:tx>
          <c:spPr>
            <a:ln w="38100"/>
          </c:spPr>
          <c:marker>
            <c:symbol val="circle"/>
            <c:size val="15"/>
            <c:spPr>
              <a:solidFill>
                <a:schemeClr val="accent1"/>
              </a:solidFill>
            </c:spPr>
          </c:marker>
          <c:cat>
            <c:numRef>
              <c:f>'str - 6k'!$B$2:$I$2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'str - 6k'!$B$9:$I$9</c:f>
              <c:numCache>
                <c:formatCode>General</c:formatCode>
                <c:ptCount val="8"/>
                <c:pt idx="0">
                  <c:v>3.5153333333333334</c:v>
                </c:pt>
                <c:pt idx="1">
                  <c:v>19.11</c:v>
                </c:pt>
                <c:pt idx="2">
                  <c:v>74.106666666666669</c:v>
                </c:pt>
                <c:pt idx="3">
                  <c:v>175.49633333333333</c:v>
                </c:pt>
                <c:pt idx="4">
                  <c:v>182.64566666666667</c:v>
                </c:pt>
                <c:pt idx="5">
                  <c:v>503.86066666666665</c:v>
                </c:pt>
                <c:pt idx="6">
                  <c:v>596.39099999999996</c:v>
                </c:pt>
                <c:pt idx="7">
                  <c:v>1163.8150000000001</c:v>
                </c:pt>
              </c:numCache>
            </c:numRef>
          </c:val>
        </c:ser>
        <c:ser>
          <c:idx val="1"/>
          <c:order val="1"/>
          <c:tx>
            <c:strRef>
              <c:f>'str - 6k'!$A$13</c:f>
              <c:strCache>
                <c:ptCount val="1"/>
                <c:pt idx="0">
                  <c:v>incremental deletions 1%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triangle"/>
            <c:size val="15"/>
            <c:spPr>
              <a:noFill/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'str - 6k'!$B$2:$I$2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'str - 6k'!$B$19:$I$19</c:f>
              <c:numCache>
                <c:formatCode>General</c:formatCode>
                <c:ptCount val="8"/>
                <c:pt idx="0">
                  <c:v>0.33266666666666667</c:v>
                </c:pt>
                <c:pt idx="1">
                  <c:v>1.8356666666666666</c:v>
                </c:pt>
                <c:pt idx="2">
                  <c:v>5.1786666666666665</c:v>
                </c:pt>
                <c:pt idx="3">
                  <c:v>7.0979999999999999</c:v>
                </c:pt>
                <c:pt idx="4">
                  <c:v>13.209333333333333</c:v>
                </c:pt>
                <c:pt idx="5">
                  <c:v>11.559666666666667</c:v>
                </c:pt>
                <c:pt idx="6">
                  <c:v>11.925000000000001</c:v>
                </c:pt>
                <c:pt idx="7">
                  <c:v>18.693333333333332</c:v>
                </c:pt>
              </c:numCache>
            </c:numRef>
          </c:val>
        </c:ser>
        <c:ser>
          <c:idx val="2"/>
          <c:order val="2"/>
          <c:tx>
            <c:strRef>
              <c:f>'str - 6k'!$A$23</c:f>
              <c:strCache>
                <c:ptCount val="1"/>
                <c:pt idx="0">
                  <c:v>incremental deletions 10%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diamond"/>
            <c:size val="18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'str - 6k'!$B$2:$I$2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'str - 6k'!$B$29:$I$29</c:f>
              <c:numCache>
                <c:formatCode>General</c:formatCode>
                <c:ptCount val="8"/>
                <c:pt idx="0">
                  <c:v>0.37966666666666665</c:v>
                </c:pt>
                <c:pt idx="1">
                  <c:v>2.0593333333333335</c:v>
                </c:pt>
                <c:pt idx="2">
                  <c:v>6.3433333333333337</c:v>
                </c:pt>
                <c:pt idx="3">
                  <c:v>9.0833333333333339</c:v>
                </c:pt>
                <c:pt idx="4">
                  <c:v>15.991</c:v>
                </c:pt>
                <c:pt idx="5">
                  <c:v>14.866</c:v>
                </c:pt>
                <c:pt idx="6">
                  <c:v>14.732333333333333</c:v>
                </c:pt>
                <c:pt idx="7">
                  <c:v>23.454666666666668</c:v>
                </c:pt>
              </c:numCache>
            </c:numRef>
          </c:val>
        </c:ser>
        <c:ser>
          <c:idx val="3"/>
          <c:order val="3"/>
          <c:tx>
            <c:strRef>
              <c:f>'str - 6k'!$A$33</c:f>
              <c:strCache>
                <c:ptCount val="1"/>
                <c:pt idx="0">
                  <c:v>incremental deletions 50%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5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'str - 6k'!$B$2:$I$2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'str - 6k'!$B$39:$I$39</c:f>
              <c:numCache>
                <c:formatCode>General</c:formatCode>
                <c:ptCount val="8"/>
                <c:pt idx="0">
                  <c:v>0.70666666666666667</c:v>
                </c:pt>
                <c:pt idx="1">
                  <c:v>3.145</c:v>
                </c:pt>
                <c:pt idx="2">
                  <c:v>10.649666666666667</c:v>
                </c:pt>
                <c:pt idx="3">
                  <c:v>15.668666666666667</c:v>
                </c:pt>
                <c:pt idx="4">
                  <c:v>27.352333333333334</c:v>
                </c:pt>
                <c:pt idx="5">
                  <c:v>26.614000000000001</c:v>
                </c:pt>
                <c:pt idx="6">
                  <c:v>23.880333333333333</c:v>
                </c:pt>
                <c:pt idx="7">
                  <c:v>35.802999999999997</c:v>
                </c:pt>
              </c:numCache>
            </c:numRef>
          </c:val>
        </c:ser>
        <c:ser>
          <c:idx val="4"/>
          <c:order val="4"/>
          <c:tx>
            <c:strRef>
              <c:f>'str - 6k'!$A$43</c:f>
              <c:strCache>
                <c:ptCount val="1"/>
                <c:pt idx="0">
                  <c:v>incremental insertions 1%</c:v>
                </c:pt>
              </c:strCache>
            </c:strRef>
          </c:tx>
          <c:spPr>
            <a:ln w="38100">
              <a:solidFill>
                <a:srgbClr val="1F497D"/>
              </a:solidFill>
            </a:ln>
          </c:spPr>
          <c:marker>
            <c:symbol val="triangle"/>
            <c:size val="15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'str - 6k'!$B$2:$I$2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'str - 6k'!$B$49:$I$49</c:f>
              <c:numCache>
                <c:formatCode>General</c:formatCode>
                <c:ptCount val="8"/>
                <c:pt idx="0">
                  <c:v>1.0036666666666667</c:v>
                </c:pt>
                <c:pt idx="1">
                  <c:v>3.8906666666666667</c:v>
                </c:pt>
                <c:pt idx="2">
                  <c:v>8.9496666666666673</c:v>
                </c:pt>
                <c:pt idx="3">
                  <c:v>17.004999999999999</c:v>
                </c:pt>
                <c:pt idx="4">
                  <c:v>15.779333333333334</c:v>
                </c:pt>
                <c:pt idx="5">
                  <c:v>30.401333333333334</c:v>
                </c:pt>
                <c:pt idx="6">
                  <c:v>42.43333333333333</c:v>
                </c:pt>
                <c:pt idx="7">
                  <c:v>63.509666666666668</c:v>
                </c:pt>
              </c:numCache>
            </c:numRef>
          </c:val>
        </c:ser>
        <c:ser>
          <c:idx val="5"/>
          <c:order val="5"/>
          <c:tx>
            <c:strRef>
              <c:f>'str - 6k'!$A$53</c:f>
              <c:strCache>
                <c:ptCount val="1"/>
                <c:pt idx="0">
                  <c:v>incremental insertions 10%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diamond"/>
            <c:size val="18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'str - 6k'!$B$2:$I$2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'str - 6k'!$B$59:$I$59</c:f>
              <c:numCache>
                <c:formatCode>General</c:formatCode>
                <c:ptCount val="8"/>
                <c:pt idx="0">
                  <c:v>1.2573333333333334</c:v>
                </c:pt>
                <c:pt idx="1">
                  <c:v>5.6113333333333335</c:v>
                </c:pt>
                <c:pt idx="2">
                  <c:v>14.252666666666666</c:v>
                </c:pt>
                <c:pt idx="3">
                  <c:v>30.384333333333334</c:v>
                </c:pt>
                <c:pt idx="4">
                  <c:v>30.570666666666668</c:v>
                </c:pt>
                <c:pt idx="5">
                  <c:v>60.816000000000003</c:v>
                </c:pt>
                <c:pt idx="6">
                  <c:v>99.128</c:v>
                </c:pt>
                <c:pt idx="7">
                  <c:v>140.57733333333334</c:v>
                </c:pt>
              </c:numCache>
            </c:numRef>
          </c:val>
        </c:ser>
        <c:ser>
          <c:idx val="6"/>
          <c:order val="6"/>
          <c:tx>
            <c:strRef>
              <c:f>'str - 6k'!$A$63</c:f>
              <c:strCache>
                <c:ptCount val="1"/>
                <c:pt idx="0">
                  <c:v>incremental insertions 50%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square"/>
            <c:size val="15"/>
            <c:spPr>
              <a:solidFill>
                <a:schemeClr val="tx2"/>
              </a:solidFill>
              <a:ln w="12700">
                <a:solidFill>
                  <a:schemeClr val="tx2"/>
                </a:solidFill>
              </a:ln>
            </c:spPr>
          </c:marker>
          <c:cat>
            <c:numRef>
              <c:f>'str - 6k'!$B$2:$I$2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cat>
          <c:val>
            <c:numRef>
              <c:f>'str - 6k'!$B$69:$I$69</c:f>
              <c:numCache>
                <c:formatCode>General</c:formatCode>
                <c:ptCount val="8"/>
                <c:pt idx="0">
                  <c:v>2.258</c:v>
                </c:pt>
                <c:pt idx="1">
                  <c:v>16.171666666666667</c:v>
                </c:pt>
                <c:pt idx="2">
                  <c:v>54.166666666666664</c:v>
                </c:pt>
                <c:pt idx="3">
                  <c:v>109.90266666666666</c:v>
                </c:pt>
                <c:pt idx="4">
                  <c:v>123.96366666666667</c:v>
                </c:pt>
                <c:pt idx="5">
                  <c:v>297.21166666666664</c:v>
                </c:pt>
                <c:pt idx="6">
                  <c:v>341.75599999999997</c:v>
                </c:pt>
                <c:pt idx="7">
                  <c:v>653.22500000000002</c:v>
                </c:pt>
              </c:numCache>
            </c:numRef>
          </c:val>
        </c:ser>
        <c:marker val="1"/>
        <c:axId val="72661248"/>
        <c:axId val="84738816"/>
      </c:lineChart>
      <c:catAx>
        <c:axId val="726612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Number of peers</a:t>
                </a:r>
              </a:p>
            </c:rich>
          </c:tx>
          <c:layout>
            <c:manualLayout>
              <c:xMode val="edge"/>
              <c:yMode val="edge"/>
              <c:x val="0.38773491592482762"/>
              <c:y val="0.9126043039086517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738816"/>
        <c:crosses val="autoZero"/>
        <c:auto val="1"/>
        <c:lblAlgn val="ctr"/>
        <c:lblOffset val="100"/>
        <c:tickLblSkip val="1"/>
        <c:tickMarkSkip val="1"/>
      </c:catAx>
      <c:valAx>
        <c:axId val="8473881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Time (sec)</a:t>
                </a:r>
              </a:p>
            </c:rich>
          </c:tx>
          <c:layout>
            <c:manualLayout>
              <c:xMode val="edge"/>
              <c:yMode val="edge"/>
              <c:x val="6.5941312232113422E-3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6612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496208374546699"/>
          <c:y val="4.0404040404040414E-2"/>
          <c:w val="0.43224530168150344"/>
          <c:h val="0.32601924759405138"/>
        </c:manualLayout>
      </c:layout>
      <c:spPr>
        <a:noFill/>
        <a:ln w="25400">
          <a:noFill/>
        </a:ln>
      </c:spPr>
      <c:txPr>
        <a:bodyPr/>
        <a:lstStyle/>
        <a:p>
          <a:pPr>
            <a:defRPr sz="2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5628090999010882"/>
          <c:y val="3.2938076416337295E-2"/>
          <c:w val="0.83877349159248338"/>
          <c:h val="0.77997364953886772"/>
        </c:manualLayout>
      </c:layout>
      <c:lineChart>
        <c:grouping val="standard"/>
        <c:ser>
          <c:idx val="0"/>
          <c:order val="0"/>
          <c:tx>
            <c:strRef>
              <c:f>'str - 8k'!$A$3</c:f>
              <c:strCache>
                <c:ptCount val="1"/>
                <c:pt idx="0">
                  <c:v>initial solution</c:v>
                </c:pt>
              </c:strCache>
            </c:strRef>
          </c:tx>
          <c:spPr>
            <a:ln w="38100"/>
          </c:spPr>
          <c:marker>
            <c:symbol val="circle"/>
            <c:size val="15"/>
            <c:spPr>
              <a:solidFill>
                <a:schemeClr val="accent1"/>
              </a:solidFill>
            </c:spPr>
          </c:marker>
          <c:cat>
            <c:numRef>
              <c:f>'str - 8k'!$B$2:$G$2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'str - 8k'!$B$9:$G$9</c:f>
              <c:numCache>
                <c:formatCode>General</c:formatCode>
                <c:ptCount val="6"/>
                <c:pt idx="0">
                  <c:v>9.3276666666666674</c:v>
                </c:pt>
                <c:pt idx="1">
                  <c:v>35.569000000000003</c:v>
                </c:pt>
                <c:pt idx="2">
                  <c:v>122.93166666666667</c:v>
                </c:pt>
                <c:pt idx="3">
                  <c:v>310.74099999999999</c:v>
                </c:pt>
                <c:pt idx="4">
                  <c:v>282.80399999999997</c:v>
                </c:pt>
                <c:pt idx="5">
                  <c:v>964.75666666666666</c:v>
                </c:pt>
              </c:numCache>
            </c:numRef>
          </c:val>
        </c:ser>
        <c:ser>
          <c:idx val="1"/>
          <c:order val="1"/>
          <c:tx>
            <c:strRef>
              <c:f>'str - 8k'!$A$13</c:f>
              <c:strCache>
                <c:ptCount val="1"/>
                <c:pt idx="0">
                  <c:v>incremental deletions 1%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triangle"/>
            <c:size val="15"/>
            <c:spPr>
              <a:noFill/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'str - 8k'!$B$2:$G$2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'str - 8k'!$B$19:$G$19</c:f>
              <c:numCache>
                <c:formatCode>General</c:formatCode>
                <c:ptCount val="6"/>
                <c:pt idx="0">
                  <c:v>0.41533333333333333</c:v>
                </c:pt>
                <c:pt idx="1">
                  <c:v>1.8866666666666667</c:v>
                </c:pt>
                <c:pt idx="2">
                  <c:v>5.589666666666667</c:v>
                </c:pt>
                <c:pt idx="3">
                  <c:v>7.3159999999999998</c:v>
                </c:pt>
                <c:pt idx="4">
                  <c:v>13.675333333333333</c:v>
                </c:pt>
                <c:pt idx="5">
                  <c:v>11.781000000000001</c:v>
                </c:pt>
              </c:numCache>
            </c:numRef>
          </c:val>
        </c:ser>
        <c:ser>
          <c:idx val="2"/>
          <c:order val="2"/>
          <c:tx>
            <c:strRef>
              <c:f>'str - 8k'!$A$23</c:f>
              <c:strCache>
                <c:ptCount val="1"/>
                <c:pt idx="0">
                  <c:v>incremental deletions 10%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diamond"/>
            <c:size val="18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'str - 8k'!$B$2:$G$2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'str - 8k'!$B$29:$G$29</c:f>
              <c:numCache>
                <c:formatCode>General</c:formatCode>
                <c:ptCount val="6"/>
                <c:pt idx="0">
                  <c:v>0.67566666666666664</c:v>
                </c:pt>
                <c:pt idx="1">
                  <c:v>2.3136666666666668</c:v>
                </c:pt>
                <c:pt idx="2">
                  <c:v>7.6479999999999997</c:v>
                </c:pt>
                <c:pt idx="3">
                  <c:v>9.9139999999999997</c:v>
                </c:pt>
                <c:pt idx="4">
                  <c:v>18.04</c:v>
                </c:pt>
                <c:pt idx="5">
                  <c:v>16.271333333333335</c:v>
                </c:pt>
              </c:numCache>
            </c:numRef>
          </c:val>
        </c:ser>
        <c:ser>
          <c:idx val="3"/>
          <c:order val="3"/>
          <c:tx>
            <c:strRef>
              <c:f>'str - 8k'!$A$33</c:f>
              <c:strCache>
                <c:ptCount val="1"/>
                <c:pt idx="0">
                  <c:v>incremental deletions 50%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5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'str - 8k'!$B$2:$G$2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'str - 8k'!$B$39:$G$39</c:f>
              <c:numCache>
                <c:formatCode>General</c:formatCode>
                <c:ptCount val="6"/>
                <c:pt idx="0">
                  <c:v>1.0553333333333332</c:v>
                </c:pt>
                <c:pt idx="1">
                  <c:v>4.6449999999999996</c:v>
                </c:pt>
                <c:pt idx="2">
                  <c:v>13.939333333333334</c:v>
                </c:pt>
                <c:pt idx="3">
                  <c:v>19.708333333333332</c:v>
                </c:pt>
                <c:pt idx="4">
                  <c:v>34.834666666666664</c:v>
                </c:pt>
                <c:pt idx="5">
                  <c:v>33.456333333333333</c:v>
                </c:pt>
              </c:numCache>
            </c:numRef>
          </c:val>
        </c:ser>
        <c:ser>
          <c:idx val="4"/>
          <c:order val="4"/>
          <c:tx>
            <c:strRef>
              <c:f>'str - 8k'!$A$43</c:f>
              <c:strCache>
                <c:ptCount val="1"/>
                <c:pt idx="0">
                  <c:v>incremental insertions 1%</c:v>
                </c:pt>
              </c:strCache>
            </c:strRef>
          </c:tx>
          <c:spPr>
            <a:ln w="38100">
              <a:solidFill>
                <a:srgbClr val="1F497D"/>
              </a:solidFill>
            </a:ln>
          </c:spPr>
          <c:marker>
            <c:symbol val="triangle"/>
            <c:size val="15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'str - 8k'!$B$2:$G$2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'str - 8k'!$B$49:$G$49</c:f>
              <c:numCache>
                <c:formatCode>General</c:formatCode>
                <c:ptCount val="6"/>
                <c:pt idx="0">
                  <c:v>1.0403333333333333</c:v>
                </c:pt>
                <c:pt idx="1">
                  <c:v>5.0713333333333335</c:v>
                </c:pt>
                <c:pt idx="2">
                  <c:v>11.163666666666666</c:v>
                </c:pt>
                <c:pt idx="3">
                  <c:v>20.074666666666666</c:v>
                </c:pt>
                <c:pt idx="4">
                  <c:v>18.680666666666667</c:v>
                </c:pt>
                <c:pt idx="5">
                  <c:v>34.518000000000001</c:v>
                </c:pt>
              </c:numCache>
            </c:numRef>
          </c:val>
        </c:ser>
        <c:ser>
          <c:idx val="5"/>
          <c:order val="5"/>
          <c:tx>
            <c:strRef>
              <c:f>'str - 8k'!$A$53</c:f>
              <c:strCache>
                <c:ptCount val="1"/>
                <c:pt idx="0">
                  <c:v>incremental insertions 10%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diamond"/>
            <c:size val="18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'str - 8k'!$B$2:$G$2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'str - 8k'!$B$59:$G$59</c:f>
              <c:numCache>
                <c:formatCode>General</c:formatCode>
                <c:ptCount val="6"/>
                <c:pt idx="0">
                  <c:v>1.5436666666666667</c:v>
                </c:pt>
                <c:pt idx="1">
                  <c:v>8.1430000000000007</c:v>
                </c:pt>
                <c:pt idx="2">
                  <c:v>19.774999999999999</c:v>
                </c:pt>
                <c:pt idx="3">
                  <c:v>39.823</c:v>
                </c:pt>
                <c:pt idx="4">
                  <c:v>40.279333333333334</c:v>
                </c:pt>
                <c:pt idx="5">
                  <c:v>85.727666666666664</c:v>
                </c:pt>
              </c:numCache>
            </c:numRef>
          </c:val>
        </c:ser>
        <c:ser>
          <c:idx val="6"/>
          <c:order val="6"/>
          <c:tx>
            <c:strRef>
              <c:f>'str - 8k'!$A$63</c:f>
              <c:strCache>
                <c:ptCount val="1"/>
                <c:pt idx="0">
                  <c:v>incremental insertions 50%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square"/>
            <c:size val="15"/>
            <c:spPr>
              <a:solidFill>
                <a:schemeClr val="tx2"/>
              </a:solidFill>
              <a:ln w="12700">
                <a:solidFill>
                  <a:schemeClr val="tx2"/>
                </a:solidFill>
              </a:ln>
            </c:spPr>
          </c:marker>
          <c:cat>
            <c:numRef>
              <c:f>'str - 8k'!$B$2:$G$2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'str - 8k'!$B$69:$G$69</c:f>
              <c:numCache>
                <c:formatCode>General</c:formatCode>
                <c:ptCount val="6"/>
                <c:pt idx="0">
                  <c:v>3.2716666666666665</c:v>
                </c:pt>
                <c:pt idx="1">
                  <c:v>24.672999999999998</c:v>
                </c:pt>
                <c:pt idx="2">
                  <c:v>91.905333333333331</c:v>
                </c:pt>
                <c:pt idx="3">
                  <c:v>160.24433333333334</c:v>
                </c:pt>
                <c:pt idx="4">
                  <c:v>174.21199999999999</c:v>
                </c:pt>
                <c:pt idx="5">
                  <c:v>442.43299999999999</c:v>
                </c:pt>
              </c:numCache>
            </c:numRef>
          </c:val>
        </c:ser>
        <c:marker val="1"/>
        <c:axId val="89492864"/>
        <c:axId val="89507712"/>
      </c:lineChart>
      <c:catAx>
        <c:axId val="89492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Number of peers</a:t>
                </a:r>
              </a:p>
            </c:rich>
          </c:tx>
          <c:layout>
            <c:manualLayout>
              <c:xMode val="edge"/>
              <c:yMode val="edge"/>
              <c:x val="0.38773491592482762"/>
              <c:y val="0.9126043039086517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507712"/>
        <c:crosses val="autoZero"/>
        <c:auto val="1"/>
        <c:lblAlgn val="ctr"/>
        <c:lblOffset val="100"/>
        <c:tickLblSkip val="1"/>
        <c:tickMarkSkip val="1"/>
      </c:catAx>
      <c:valAx>
        <c:axId val="8950771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Time (sec)</a:t>
                </a:r>
              </a:p>
            </c:rich>
          </c:tx>
          <c:layout>
            <c:manualLayout>
              <c:xMode val="edge"/>
              <c:yMode val="edge"/>
              <c:x val="6.5941312232113422E-3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4928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496208374546699"/>
          <c:y val="4.0404040404040414E-2"/>
          <c:w val="0.43224530168150344"/>
          <c:h val="0.32601924759405138"/>
        </c:manualLayout>
      </c:layout>
      <c:spPr>
        <a:noFill/>
        <a:ln w="25400">
          <a:noFill/>
        </a:ln>
      </c:spPr>
      <c:txPr>
        <a:bodyPr/>
        <a:lstStyle/>
        <a:p>
          <a:pPr>
            <a:defRPr sz="2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5628090999010882"/>
          <c:y val="3.2938076416337295E-2"/>
          <c:w val="0.83877349159248338"/>
          <c:h val="0.77997364953886772"/>
        </c:manualLayout>
      </c:layout>
      <c:lineChart>
        <c:grouping val="standard"/>
        <c:ser>
          <c:idx val="0"/>
          <c:order val="0"/>
          <c:tx>
            <c:strRef>
              <c:f>'str - 10k'!$A$3</c:f>
              <c:strCache>
                <c:ptCount val="1"/>
                <c:pt idx="0">
                  <c:v>initial solution</c:v>
                </c:pt>
              </c:strCache>
            </c:strRef>
          </c:tx>
          <c:spPr>
            <a:ln w="38100"/>
          </c:spPr>
          <c:marker>
            <c:symbol val="circle"/>
            <c:size val="15"/>
            <c:spPr>
              <a:solidFill>
                <a:schemeClr val="accent1"/>
              </a:solidFill>
            </c:spPr>
          </c:marker>
          <c:cat>
            <c:numRef>
              <c:f>'str - 10k'!$B$2:$F$2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cat>
          <c:val>
            <c:numRef>
              <c:f>'str - 10k'!$B$9:$F$9</c:f>
              <c:numCache>
                <c:formatCode>General</c:formatCode>
                <c:ptCount val="5"/>
                <c:pt idx="0">
                  <c:v>8.5803333333333338</c:v>
                </c:pt>
                <c:pt idx="1">
                  <c:v>57.444333333333333</c:v>
                </c:pt>
                <c:pt idx="2">
                  <c:v>198.75666666666666</c:v>
                </c:pt>
                <c:pt idx="3">
                  <c:v>417.04599999999999</c:v>
                </c:pt>
                <c:pt idx="4">
                  <c:v>410.52833333333331</c:v>
                </c:pt>
              </c:numCache>
            </c:numRef>
          </c:val>
        </c:ser>
        <c:ser>
          <c:idx val="1"/>
          <c:order val="1"/>
          <c:tx>
            <c:strRef>
              <c:f>'str - 10k'!$A$13</c:f>
              <c:strCache>
                <c:ptCount val="1"/>
                <c:pt idx="0">
                  <c:v>incremental deletions 1%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triangle"/>
            <c:size val="15"/>
            <c:spPr>
              <a:noFill/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'str - 10k'!$B$2:$F$2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cat>
          <c:val>
            <c:numRef>
              <c:f>'str - 10k'!$B$19:$F$19</c:f>
              <c:numCache>
                <c:formatCode>General</c:formatCode>
                <c:ptCount val="5"/>
                <c:pt idx="0">
                  <c:v>0.35366666666666668</c:v>
                </c:pt>
                <c:pt idx="1">
                  <c:v>2.1016666666666666</c:v>
                </c:pt>
                <c:pt idx="2">
                  <c:v>5.8276666666666666</c:v>
                </c:pt>
                <c:pt idx="3">
                  <c:v>7.4003333333333332</c:v>
                </c:pt>
                <c:pt idx="4">
                  <c:v>13.805999999999999</c:v>
                </c:pt>
              </c:numCache>
            </c:numRef>
          </c:val>
        </c:ser>
        <c:ser>
          <c:idx val="2"/>
          <c:order val="2"/>
          <c:tx>
            <c:strRef>
              <c:f>'str - 10k'!$A$23</c:f>
              <c:strCache>
                <c:ptCount val="1"/>
                <c:pt idx="0">
                  <c:v>incremental deletions 10%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diamond"/>
            <c:size val="18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'str - 10k'!$B$2:$F$2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cat>
          <c:val>
            <c:numRef>
              <c:f>'str - 10k'!$B$29:$F$29</c:f>
              <c:numCache>
                <c:formatCode>General</c:formatCode>
                <c:ptCount val="5"/>
                <c:pt idx="0">
                  <c:v>0.45700000000000002</c:v>
                </c:pt>
                <c:pt idx="1">
                  <c:v>3.0223333333333335</c:v>
                </c:pt>
                <c:pt idx="2">
                  <c:v>8.4026666666666667</c:v>
                </c:pt>
                <c:pt idx="3">
                  <c:v>10.853</c:v>
                </c:pt>
                <c:pt idx="4">
                  <c:v>19.504000000000001</c:v>
                </c:pt>
              </c:numCache>
            </c:numRef>
          </c:val>
        </c:ser>
        <c:ser>
          <c:idx val="3"/>
          <c:order val="3"/>
          <c:tx>
            <c:strRef>
              <c:f>'str - 10k'!$A$33</c:f>
              <c:strCache>
                <c:ptCount val="1"/>
                <c:pt idx="0">
                  <c:v>incremental deletions 50%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5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numRef>
              <c:f>'str - 10k'!$B$2:$F$2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cat>
          <c:val>
            <c:numRef>
              <c:f>'str - 10k'!$B$39:$F$39</c:f>
              <c:numCache>
                <c:formatCode>General</c:formatCode>
                <c:ptCount val="5"/>
                <c:pt idx="0">
                  <c:v>0.99299999999999999</c:v>
                </c:pt>
                <c:pt idx="1">
                  <c:v>6.1926666666666668</c:v>
                </c:pt>
                <c:pt idx="2">
                  <c:v>17.109000000000002</c:v>
                </c:pt>
                <c:pt idx="3">
                  <c:v>23.196333333333332</c:v>
                </c:pt>
                <c:pt idx="4">
                  <c:v>46.059666666666665</c:v>
                </c:pt>
              </c:numCache>
            </c:numRef>
          </c:val>
        </c:ser>
        <c:ser>
          <c:idx val="4"/>
          <c:order val="4"/>
          <c:tx>
            <c:strRef>
              <c:f>'str - 10k'!$A$43</c:f>
              <c:strCache>
                <c:ptCount val="1"/>
                <c:pt idx="0">
                  <c:v>incremental insertions 1%</c:v>
                </c:pt>
              </c:strCache>
            </c:strRef>
          </c:tx>
          <c:spPr>
            <a:ln w="38100">
              <a:solidFill>
                <a:srgbClr val="1F497D"/>
              </a:solidFill>
            </a:ln>
          </c:spPr>
          <c:marker>
            <c:symbol val="triangle"/>
            <c:size val="15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'str - 10k'!$B$2:$F$2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cat>
          <c:val>
            <c:numRef>
              <c:f>'str - 10k'!$B$49:$F$49</c:f>
              <c:numCache>
                <c:formatCode>General</c:formatCode>
                <c:ptCount val="5"/>
                <c:pt idx="0">
                  <c:v>1.0436666666666667</c:v>
                </c:pt>
                <c:pt idx="1">
                  <c:v>5.3810000000000002</c:v>
                </c:pt>
                <c:pt idx="2">
                  <c:v>13.318</c:v>
                </c:pt>
                <c:pt idx="3">
                  <c:v>21.589333333333332</c:v>
                </c:pt>
                <c:pt idx="4">
                  <c:v>20.232333333333333</c:v>
                </c:pt>
              </c:numCache>
            </c:numRef>
          </c:val>
        </c:ser>
        <c:ser>
          <c:idx val="5"/>
          <c:order val="5"/>
          <c:tx>
            <c:strRef>
              <c:f>'str - 10k'!$A$53</c:f>
              <c:strCache>
                <c:ptCount val="1"/>
                <c:pt idx="0">
                  <c:v>incremental insertions 10%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diamond"/>
            <c:size val="18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numRef>
              <c:f>'str - 10k'!$B$2:$F$2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cat>
          <c:val>
            <c:numRef>
              <c:f>'str - 10k'!$B$59:$F$59</c:f>
              <c:numCache>
                <c:formatCode>General</c:formatCode>
                <c:ptCount val="5"/>
                <c:pt idx="0">
                  <c:v>1.5443333333333333</c:v>
                </c:pt>
                <c:pt idx="1">
                  <c:v>10.607333333333333</c:v>
                </c:pt>
                <c:pt idx="2">
                  <c:v>27.064</c:v>
                </c:pt>
                <c:pt idx="3">
                  <c:v>51.366</c:v>
                </c:pt>
                <c:pt idx="4">
                  <c:v>55.157666666666664</c:v>
                </c:pt>
              </c:numCache>
            </c:numRef>
          </c:val>
        </c:ser>
        <c:ser>
          <c:idx val="6"/>
          <c:order val="6"/>
          <c:tx>
            <c:strRef>
              <c:f>'str - 10k'!$A$63</c:f>
              <c:strCache>
                <c:ptCount val="1"/>
                <c:pt idx="0">
                  <c:v>incremental insertions 50%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square"/>
            <c:size val="15"/>
            <c:spPr>
              <a:solidFill>
                <a:schemeClr val="tx2"/>
              </a:solidFill>
              <a:ln w="12700">
                <a:solidFill>
                  <a:schemeClr val="tx2"/>
                </a:solidFill>
              </a:ln>
            </c:spPr>
          </c:marker>
          <c:cat>
            <c:numRef>
              <c:f>'str - 10k'!$B$2:$F$2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cat>
          <c:val>
            <c:numRef>
              <c:f>'str - 10k'!$B$69:$F$69</c:f>
              <c:numCache>
                <c:formatCode>General</c:formatCode>
                <c:ptCount val="5"/>
                <c:pt idx="0">
                  <c:v>4.136333333333333</c:v>
                </c:pt>
                <c:pt idx="1">
                  <c:v>37.770333333333333</c:v>
                </c:pt>
                <c:pt idx="2">
                  <c:v>114.739</c:v>
                </c:pt>
                <c:pt idx="3">
                  <c:v>244.87533333333334</c:v>
                </c:pt>
                <c:pt idx="4">
                  <c:v>240.06466666666665</c:v>
                </c:pt>
              </c:numCache>
            </c:numRef>
          </c:val>
        </c:ser>
        <c:marker val="1"/>
        <c:axId val="89887488"/>
        <c:axId val="89889792"/>
      </c:lineChart>
      <c:catAx>
        <c:axId val="89887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Number of peers</a:t>
                </a:r>
              </a:p>
            </c:rich>
          </c:tx>
          <c:layout>
            <c:manualLayout>
              <c:xMode val="edge"/>
              <c:yMode val="edge"/>
              <c:x val="0.38773491592482762"/>
              <c:y val="0.9126043039086517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889792"/>
        <c:crosses val="autoZero"/>
        <c:auto val="1"/>
        <c:lblAlgn val="ctr"/>
        <c:lblOffset val="100"/>
        <c:tickLblSkip val="1"/>
        <c:tickMarkSkip val="1"/>
      </c:catAx>
      <c:valAx>
        <c:axId val="8988979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Time (sec)</a:t>
                </a:r>
              </a:p>
            </c:rich>
          </c:tx>
          <c:layout>
            <c:manualLayout>
              <c:xMode val="edge"/>
              <c:yMode val="edge"/>
              <c:x val="6.5941312232113422E-3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8874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496208374546699"/>
          <c:y val="4.0404040404040414E-2"/>
          <c:w val="0.43224530168150344"/>
          <c:h val="0.32601924759405138"/>
        </c:manualLayout>
      </c:layout>
      <c:spPr>
        <a:noFill/>
        <a:ln w="25400">
          <a:noFill/>
        </a:ln>
      </c:spPr>
      <c:txPr>
        <a:bodyPr/>
        <a:lstStyle/>
        <a:p>
          <a:pPr>
            <a:defRPr sz="2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575997362347511"/>
          <c:y val="3.2938076416337295E-2"/>
          <c:w val="0.83877349159248338"/>
          <c:h val="0.77997364953886772"/>
        </c:manualLayout>
      </c:layout>
      <c:lineChart>
        <c:grouping val="standard"/>
        <c:ser>
          <c:idx val="0"/>
          <c:order val="0"/>
          <c:tx>
            <c:strRef>
              <c:f>'str - 10p'!$A$3</c:f>
              <c:strCache>
                <c:ptCount val="1"/>
                <c:pt idx="0">
                  <c:v>initial solution</c:v>
                </c:pt>
              </c:strCache>
            </c:strRef>
          </c:tx>
          <c:spPr>
            <a:ln w="38100"/>
          </c:spPr>
          <c:marker>
            <c:symbol val="circle"/>
            <c:size val="15"/>
            <c:spPr>
              <a:solidFill>
                <a:schemeClr val="accent1"/>
              </a:solidFill>
            </c:spPr>
          </c:marker>
          <c:cat>
            <c:strRef>
              <c:f>'str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'str - 10p'!$B$9:$F$9</c:f>
              <c:numCache>
                <c:formatCode>General</c:formatCode>
                <c:ptCount val="5"/>
                <c:pt idx="0">
                  <c:v>39.353333333333332</c:v>
                </c:pt>
                <c:pt idx="1">
                  <c:v>97.391666666666666</c:v>
                </c:pt>
                <c:pt idx="2">
                  <c:v>182.64566666666667</c:v>
                </c:pt>
                <c:pt idx="3">
                  <c:v>282.80399999999997</c:v>
                </c:pt>
                <c:pt idx="4">
                  <c:v>410.52833333333331</c:v>
                </c:pt>
              </c:numCache>
            </c:numRef>
          </c:val>
        </c:ser>
        <c:ser>
          <c:idx val="1"/>
          <c:order val="1"/>
          <c:tx>
            <c:strRef>
              <c:f>'str - 10p'!$A$13</c:f>
              <c:strCache>
                <c:ptCount val="1"/>
                <c:pt idx="0">
                  <c:v>incremental deletions 1%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triangle"/>
            <c:size val="15"/>
            <c:spPr>
              <a:noFill/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strRef>
              <c:f>'str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'str - 10p'!$B$19:$F$19</c:f>
              <c:numCache>
                <c:formatCode>General</c:formatCode>
                <c:ptCount val="5"/>
                <c:pt idx="0">
                  <c:v>11.987</c:v>
                </c:pt>
                <c:pt idx="1">
                  <c:v>12.763999999999999</c:v>
                </c:pt>
                <c:pt idx="2">
                  <c:v>13.209333333333333</c:v>
                </c:pt>
                <c:pt idx="3">
                  <c:v>13.675333333333333</c:v>
                </c:pt>
                <c:pt idx="4">
                  <c:v>13.805999999999999</c:v>
                </c:pt>
              </c:numCache>
            </c:numRef>
          </c:val>
        </c:ser>
        <c:ser>
          <c:idx val="2"/>
          <c:order val="2"/>
          <c:tx>
            <c:strRef>
              <c:f>'str - 10p'!$A$23</c:f>
              <c:strCache>
                <c:ptCount val="1"/>
                <c:pt idx="0">
                  <c:v>incremental deletions 10%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diamond"/>
            <c:size val="18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strRef>
              <c:f>'str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'str - 10p'!$B$29:$F$29</c:f>
              <c:numCache>
                <c:formatCode>General</c:formatCode>
                <c:ptCount val="5"/>
                <c:pt idx="0">
                  <c:v>12.308666666666667</c:v>
                </c:pt>
                <c:pt idx="1">
                  <c:v>13.677333333333333</c:v>
                </c:pt>
                <c:pt idx="2">
                  <c:v>15.991</c:v>
                </c:pt>
                <c:pt idx="3">
                  <c:v>18.04</c:v>
                </c:pt>
                <c:pt idx="4">
                  <c:v>19.504000000000001</c:v>
                </c:pt>
              </c:numCache>
            </c:numRef>
          </c:val>
        </c:ser>
        <c:ser>
          <c:idx val="3"/>
          <c:order val="3"/>
          <c:tx>
            <c:strRef>
              <c:f>'str - 10p'!$A$33</c:f>
              <c:strCache>
                <c:ptCount val="1"/>
                <c:pt idx="0">
                  <c:v>incremental deletions 50%</c:v>
                </c:pt>
              </c:strCache>
            </c:strRef>
          </c:tx>
          <c:spPr>
            <a:ln w="381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5"/>
            <c:spPr>
              <a:noFill/>
              <a:ln w="25400">
                <a:solidFill>
                  <a:srgbClr val="1F497D">
                    <a:lumMod val="40000"/>
                    <a:lumOff val="60000"/>
                  </a:srgbClr>
                </a:solidFill>
              </a:ln>
            </c:spPr>
          </c:marker>
          <c:cat>
            <c:strRef>
              <c:f>'str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'str - 10p'!$B$39:$F$39</c:f>
              <c:numCache>
                <c:formatCode>General</c:formatCode>
                <c:ptCount val="5"/>
                <c:pt idx="0">
                  <c:v>13.675333333333333</c:v>
                </c:pt>
                <c:pt idx="1">
                  <c:v>18.748666666666665</c:v>
                </c:pt>
                <c:pt idx="2">
                  <c:v>27.352333333333334</c:v>
                </c:pt>
                <c:pt idx="3">
                  <c:v>34.834666666666664</c:v>
                </c:pt>
                <c:pt idx="4">
                  <c:v>46.059666666666665</c:v>
                </c:pt>
              </c:numCache>
            </c:numRef>
          </c:val>
        </c:ser>
        <c:ser>
          <c:idx val="4"/>
          <c:order val="4"/>
          <c:tx>
            <c:strRef>
              <c:f>'str - 10p'!$A$43</c:f>
              <c:strCache>
                <c:ptCount val="1"/>
                <c:pt idx="0">
                  <c:v>incremental insertions 1%</c:v>
                </c:pt>
              </c:strCache>
            </c:strRef>
          </c:tx>
          <c:spPr>
            <a:ln w="38100">
              <a:solidFill>
                <a:srgbClr val="1F497D"/>
              </a:solidFill>
            </a:ln>
          </c:spPr>
          <c:marker>
            <c:symbol val="triangle"/>
            <c:size val="15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strRef>
              <c:f>'str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'str - 10p'!$B$49:$F$49</c:f>
              <c:numCache>
                <c:formatCode>General</c:formatCode>
                <c:ptCount val="5"/>
                <c:pt idx="0">
                  <c:v>11.618666666666666</c:v>
                </c:pt>
                <c:pt idx="1">
                  <c:v>14.264333333333333</c:v>
                </c:pt>
                <c:pt idx="2">
                  <c:v>15.779333333333334</c:v>
                </c:pt>
                <c:pt idx="3">
                  <c:v>18.680666666666667</c:v>
                </c:pt>
                <c:pt idx="4">
                  <c:v>20.232333333333333</c:v>
                </c:pt>
              </c:numCache>
            </c:numRef>
          </c:val>
        </c:ser>
        <c:ser>
          <c:idx val="5"/>
          <c:order val="5"/>
          <c:tx>
            <c:strRef>
              <c:f>'str - 10p'!$A$53</c:f>
              <c:strCache>
                <c:ptCount val="1"/>
                <c:pt idx="0">
                  <c:v>incremental insertions 10%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diamond"/>
            <c:size val="18"/>
            <c:spPr>
              <a:solidFill>
                <a:schemeClr val="tx2"/>
              </a:solidFill>
              <a:ln w="12700">
                <a:solidFill>
                  <a:srgbClr val="1F497D"/>
                </a:solidFill>
              </a:ln>
            </c:spPr>
          </c:marker>
          <c:cat>
            <c:strRef>
              <c:f>'str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'str - 10p'!$B$59:$F$59</c:f>
              <c:numCache>
                <c:formatCode>General</c:formatCode>
                <c:ptCount val="5"/>
                <c:pt idx="0">
                  <c:v>12.386666666666667</c:v>
                </c:pt>
                <c:pt idx="1">
                  <c:v>19.083666666666666</c:v>
                </c:pt>
                <c:pt idx="2">
                  <c:v>30.570666666666668</c:v>
                </c:pt>
                <c:pt idx="3">
                  <c:v>40.279333333333334</c:v>
                </c:pt>
                <c:pt idx="4">
                  <c:v>55.157666666666664</c:v>
                </c:pt>
              </c:numCache>
            </c:numRef>
          </c:val>
        </c:ser>
        <c:ser>
          <c:idx val="6"/>
          <c:order val="6"/>
          <c:tx>
            <c:strRef>
              <c:f>'str - 10p'!$A$63</c:f>
              <c:strCache>
                <c:ptCount val="1"/>
                <c:pt idx="0">
                  <c:v>incremental insertions 50%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square"/>
            <c:size val="15"/>
            <c:spPr>
              <a:solidFill>
                <a:schemeClr val="tx2"/>
              </a:solidFill>
              <a:ln w="12700">
                <a:solidFill>
                  <a:schemeClr val="tx2"/>
                </a:solidFill>
              </a:ln>
            </c:spPr>
          </c:marker>
          <c:cat>
            <c:strRef>
              <c:f>'str - 10p'!$B$2:$F$2</c:f>
              <c:strCache>
                <c:ptCount val="5"/>
                <c:pt idx="0">
                  <c:v>2k</c:v>
                </c:pt>
                <c:pt idx="1">
                  <c:v>4k</c:v>
                </c:pt>
                <c:pt idx="2">
                  <c:v>6k</c:v>
                </c:pt>
                <c:pt idx="3">
                  <c:v>8k</c:v>
                </c:pt>
                <c:pt idx="4">
                  <c:v>10k</c:v>
                </c:pt>
              </c:strCache>
            </c:strRef>
          </c:cat>
          <c:val>
            <c:numRef>
              <c:f>'str - 10p'!$B$69:$F$69</c:f>
              <c:numCache>
                <c:formatCode>General</c:formatCode>
                <c:ptCount val="5"/>
                <c:pt idx="0">
                  <c:v>19.442</c:v>
                </c:pt>
                <c:pt idx="1">
                  <c:v>62.168333333333337</c:v>
                </c:pt>
                <c:pt idx="2">
                  <c:v>123.96366666666667</c:v>
                </c:pt>
                <c:pt idx="3">
                  <c:v>174.21199999999999</c:v>
                </c:pt>
                <c:pt idx="4">
                  <c:v>240.06466666666665</c:v>
                </c:pt>
              </c:numCache>
            </c:numRef>
          </c:val>
        </c:ser>
        <c:marker val="1"/>
        <c:axId val="84694912"/>
        <c:axId val="84730240"/>
      </c:lineChart>
      <c:catAx>
        <c:axId val="84694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Number of tuples</a:t>
                </a:r>
              </a:p>
            </c:rich>
          </c:tx>
          <c:layout>
            <c:manualLayout>
              <c:xMode val="edge"/>
              <c:yMode val="edge"/>
              <c:x val="0.38773491592482762"/>
              <c:y val="0.9126043039086517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730240"/>
        <c:crosses val="autoZero"/>
        <c:auto val="1"/>
        <c:lblAlgn val="ctr"/>
        <c:lblOffset val="100"/>
        <c:tickLblSkip val="1"/>
        <c:tickMarkSkip val="1"/>
      </c:catAx>
      <c:valAx>
        <c:axId val="84730240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3000"/>
                  <a:t>Time (sec)</a:t>
                </a:r>
              </a:p>
            </c:rich>
          </c:tx>
          <c:layout>
            <c:manualLayout>
              <c:xMode val="edge"/>
              <c:yMode val="edge"/>
              <c:x val="6.5941312232113422E-3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6949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496208374546699"/>
          <c:y val="4.0404040404040414E-2"/>
          <c:w val="0.43224530168150344"/>
          <c:h val="0.32601924759405138"/>
        </c:manualLayout>
      </c:layout>
      <c:spPr>
        <a:noFill/>
        <a:ln w="25400">
          <a:noFill/>
        </a:ln>
      </c:spPr>
      <c:txPr>
        <a:bodyPr/>
        <a:lstStyle/>
        <a:p>
          <a:pPr>
            <a:defRPr sz="2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4011912894449926E-2"/>
          <c:y val="2.305819249229361E-2"/>
          <c:w val="0.91284123731109135"/>
          <c:h val="0.90948414158510549"/>
        </c:manualLayout>
      </c:layout>
      <c:scatterChart>
        <c:scatterStyle val="lineMarker"/>
        <c:ser>
          <c:idx val="0"/>
          <c:order val="0"/>
          <c:tx>
            <c:v>Initial Solution</c:v>
          </c:tx>
          <c:xVal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xVal>
          <c:yVal>
            <c:numRef>
              <c:f>'int - 2k'!$B$9:$H$9</c:f>
              <c:numCache>
                <c:formatCode>General</c:formatCode>
                <c:ptCount val="7"/>
                <c:pt idx="0">
                  <c:v>5.9643333333333333</c:v>
                </c:pt>
                <c:pt idx="1">
                  <c:v>24.387666666666668</c:v>
                </c:pt>
                <c:pt idx="2">
                  <c:v>40.814999999999998</c:v>
                </c:pt>
                <c:pt idx="3">
                  <c:v>70.664666666666662</c:v>
                </c:pt>
                <c:pt idx="4">
                  <c:v>82.046333333333337</c:v>
                </c:pt>
                <c:pt idx="5">
                  <c:v>123.84933333333333</c:v>
                </c:pt>
                <c:pt idx="6">
                  <c:v>110.26133333333334</c:v>
                </c:pt>
              </c:numCache>
            </c:numRef>
          </c:yVal>
        </c:ser>
        <c:ser>
          <c:idx val="1"/>
          <c:order val="1"/>
          <c:tx>
            <c:strRef>
              <c:f>'int - 2k'!$A$43</c:f>
              <c:strCache>
                <c:ptCount val="1"/>
                <c:pt idx="0">
                  <c:v>incremental insertions 1%</c:v>
                </c:pt>
              </c:strCache>
            </c:strRef>
          </c:tx>
          <c:xVal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xVal>
          <c:yVal>
            <c:numRef>
              <c:f>'int - 2k'!$B$49:$H$49</c:f>
              <c:numCache>
                <c:formatCode>General</c:formatCode>
                <c:ptCount val="7"/>
                <c:pt idx="0">
                  <c:v>1.1906666666666668</c:v>
                </c:pt>
                <c:pt idx="1">
                  <c:v>5.2050000000000001</c:v>
                </c:pt>
                <c:pt idx="2">
                  <c:v>8.7409999999999997</c:v>
                </c:pt>
                <c:pt idx="3">
                  <c:v>21.055</c:v>
                </c:pt>
                <c:pt idx="4">
                  <c:v>23.769666666666666</c:v>
                </c:pt>
                <c:pt idx="5">
                  <c:v>31.699666666666666</c:v>
                </c:pt>
                <c:pt idx="6">
                  <c:v>33.369</c:v>
                </c:pt>
              </c:numCache>
            </c:numRef>
          </c:yVal>
        </c:ser>
        <c:ser>
          <c:idx val="2"/>
          <c:order val="2"/>
          <c:tx>
            <c:strRef>
              <c:f>'int - 2k'!$A$53</c:f>
              <c:strCache>
                <c:ptCount val="1"/>
                <c:pt idx="0">
                  <c:v>incremental insertions 10%</c:v>
                </c:pt>
              </c:strCache>
            </c:strRef>
          </c:tx>
          <c:xVal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xVal>
          <c:yVal>
            <c:numRef>
              <c:f>'int - 2k'!$B$59:$H$59</c:f>
              <c:numCache>
                <c:formatCode>General</c:formatCode>
                <c:ptCount val="7"/>
                <c:pt idx="0">
                  <c:v>1.5183333333333333</c:v>
                </c:pt>
                <c:pt idx="1">
                  <c:v>6.9313333333333329</c:v>
                </c:pt>
                <c:pt idx="2">
                  <c:v>12.033333333333333</c:v>
                </c:pt>
                <c:pt idx="3">
                  <c:v>19.084333333333333</c:v>
                </c:pt>
                <c:pt idx="4">
                  <c:v>32.895333333333333</c:v>
                </c:pt>
                <c:pt idx="5">
                  <c:v>39.509666666666668</c:v>
                </c:pt>
                <c:pt idx="6">
                  <c:v>80.003</c:v>
                </c:pt>
              </c:numCache>
            </c:numRef>
          </c:yVal>
        </c:ser>
        <c:ser>
          <c:idx val="3"/>
          <c:order val="3"/>
          <c:tx>
            <c:strRef>
              <c:f>'int - 2k'!$A$63</c:f>
              <c:strCache>
                <c:ptCount val="1"/>
                <c:pt idx="0">
                  <c:v>incremental insertions 50%</c:v>
                </c:pt>
              </c:strCache>
            </c:strRef>
          </c:tx>
          <c:xVal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xVal>
          <c:yVal>
            <c:numRef>
              <c:f>'int - 2k'!$B$69:$H$69</c:f>
              <c:numCache>
                <c:formatCode>General</c:formatCode>
                <c:ptCount val="7"/>
                <c:pt idx="0">
                  <c:v>3.3069999999999999</c:v>
                </c:pt>
                <c:pt idx="1">
                  <c:v>16.770333333333333</c:v>
                </c:pt>
                <c:pt idx="2">
                  <c:v>31.282333333333334</c:v>
                </c:pt>
                <c:pt idx="3">
                  <c:v>54.174333333333337</c:v>
                </c:pt>
                <c:pt idx="4">
                  <c:v>68.843333333333334</c:v>
                </c:pt>
                <c:pt idx="5">
                  <c:v>84.391666666666666</c:v>
                </c:pt>
                <c:pt idx="6">
                  <c:v>84.635666666666665</c:v>
                </c:pt>
              </c:numCache>
            </c:numRef>
          </c:yVal>
        </c:ser>
        <c:ser>
          <c:idx val="4"/>
          <c:order val="4"/>
          <c:tx>
            <c:strRef>
              <c:f>'int - 2k'!$A$13</c:f>
              <c:strCache>
                <c:ptCount val="1"/>
                <c:pt idx="0">
                  <c:v>incremental deletions 1%</c:v>
                </c:pt>
              </c:strCache>
            </c:strRef>
          </c:tx>
          <c:xVal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xVal>
          <c:yVal>
            <c:numRef>
              <c:f>'int - 2k'!$B$19:$H$19</c:f>
              <c:numCache>
                <c:formatCode>General</c:formatCode>
                <c:ptCount val="7"/>
                <c:pt idx="0">
                  <c:v>0.86333333333333329</c:v>
                </c:pt>
                <c:pt idx="1">
                  <c:v>1.56</c:v>
                </c:pt>
                <c:pt idx="2">
                  <c:v>3.6403333333333334</c:v>
                </c:pt>
                <c:pt idx="3">
                  <c:v>4.8463333333333329</c:v>
                </c:pt>
                <c:pt idx="4">
                  <c:v>6.6820000000000004</c:v>
                </c:pt>
                <c:pt idx="5">
                  <c:v>11.710333333333333</c:v>
                </c:pt>
                <c:pt idx="6">
                  <c:v>9.7816666666666663</c:v>
                </c:pt>
              </c:numCache>
            </c:numRef>
          </c:yVal>
        </c:ser>
        <c:ser>
          <c:idx val="5"/>
          <c:order val="5"/>
          <c:tx>
            <c:strRef>
              <c:f>'int - 2k'!$A$23</c:f>
              <c:strCache>
                <c:ptCount val="1"/>
                <c:pt idx="0">
                  <c:v>incremental deletions 10%</c:v>
                </c:pt>
              </c:strCache>
            </c:strRef>
          </c:tx>
          <c:xVal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xVal>
          <c:yVal>
            <c:numRef>
              <c:f>'int - 2k'!$B$29:$H$29</c:f>
              <c:numCache>
                <c:formatCode>General</c:formatCode>
                <c:ptCount val="7"/>
                <c:pt idx="0">
                  <c:v>1.1546666666666667</c:v>
                </c:pt>
                <c:pt idx="1">
                  <c:v>1.8983333333333334</c:v>
                </c:pt>
                <c:pt idx="2">
                  <c:v>4.3259999999999996</c:v>
                </c:pt>
                <c:pt idx="3">
                  <c:v>5.7513333333333332</c:v>
                </c:pt>
                <c:pt idx="4">
                  <c:v>8.3513333333333328</c:v>
                </c:pt>
                <c:pt idx="5">
                  <c:v>13.587333333333333</c:v>
                </c:pt>
                <c:pt idx="6">
                  <c:v>14.050666666666666</c:v>
                </c:pt>
              </c:numCache>
            </c:numRef>
          </c:yVal>
        </c:ser>
        <c:ser>
          <c:idx val="6"/>
          <c:order val="6"/>
          <c:tx>
            <c:strRef>
              <c:f>'int - 2k'!$A$33</c:f>
              <c:strCache>
                <c:ptCount val="1"/>
                <c:pt idx="0">
                  <c:v>incremental deletions 50%</c:v>
                </c:pt>
              </c:strCache>
            </c:strRef>
          </c:tx>
          <c:xVal>
            <c:numRef>
              <c:f>'int - 2k'!$B$2:$H$2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xVal>
          <c:yVal>
            <c:numRef>
              <c:f>'int - 2k'!$B$39:$H$39</c:f>
              <c:numCache>
                <c:formatCode>General</c:formatCode>
                <c:ptCount val="7"/>
                <c:pt idx="0">
                  <c:v>2.3969999999999998</c:v>
                </c:pt>
                <c:pt idx="1">
                  <c:v>2.8963333333333332</c:v>
                </c:pt>
                <c:pt idx="2">
                  <c:v>5.4446666666666665</c:v>
                </c:pt>
                <c:pt idx="3">
                  <c:v>12.209666666666667</c:v>
                </c:pt>
                <c:pt idx="4">
                  <c:v>16.675999999999998</c:v>
                </c:pt>
                <c:pt idx="5">
                  <c:v>24.892666666666667</c:v>
                </c:pt>
                <c:pt idx="6">
                  <c:v>19.068666666666665</c:v>
                </c:pt>
              </c:numCache>
            </c:numRef>
          </c:yVal>
        </c:ser>
        <c:axId val="90378240"/>
        <c:axId val="90379776"/>
      </c:scatterChart>
      <c:valAx>
        <c:axId val="90378240"/>
        <c:scaling>
          <c:orientation val="minMax"/>
        </c:scaling>
        <c:axPos val="b"/>
        <c:numFmt formatCode="General" sourceLinked="1"/>
        <c:tickLblPos val="nextTo"/>
        <c:crossAx val="90379776"/>
        <c:crosses val="autoZero"/>
        <c:crossBetween val="midCat"/>
      </c:valAx>
      <c:valAx>
        <c:axId val="90379776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2000"/>
            </a:pPr>
            <a:endParaRPr lang="en-US"/>
          </a:p>
        </c:txPr>
        <c:crossAx val="90378240"/>
        <c:crosses val="autoZero"/>
        <c:crossBetween val="midCat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8.1958847736625567E-2"/>
          <c:y val="2.8829594413905792E-2"/>
          <c:w val="0.21417047184170471"/>
          <c:h val="0.2628876297004934"/>
        </c:manualLayout>
      </c:layout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8199802176063323"/>
          <c:y val="4.3478260869565223E-2"/>
          <c:w val="0.63699307616221612"/>
          <c:h val="0.75757575757575812"/>
        </c:manualLayout>
      </c:layout>
      <c:lineChart>
        <c:grouping val="standard"/>
        <c:ser>
          <c:idx val="1"/>
          <c:order val="0"/>
          <c:tx>
            <c:v># tuples</c:v>
          </c:tx>
          <c:spPr>
            <a:ln w="12700">
              <a:solidFill>
                <a:srgbClr val="808080"/>
              </a:solidFill>
              <a:prstDash val="solid"/>
            </a:ln>
          </c:spPr>
          <c:marker>
            <c:symbol val="square"/>
            <c:size val="17"/>
            <c: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c:spPr>
          </c:marker>
          <c:cat>
            <c:numRef>
              <c:f>('[1]Scalability (intsize strings)'!$A$2,'[1]Scalability (intsize strings)'!$A$22,'[1]Scalability (intsize strings)'!$A$42,'[1]Scalability (intsize strings)'!$A$62)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cat>
          <c:val>
            <c:numRef>
              <c:f>('[1]Scalability (intsize strings)'!$L$6,'[1]Scalability (intsize strings)'!$L$26,'[1]Scalability (intsize strings)'!$L$46,'[1]Scalability (intsize strings)'!$L$66)</c:f>
              <c:numCache>
                <c:formatCode>General</c:formatCode>
                <c:ptCount val="4"/>
                <c:pt idx="0">
                  <c:v>220.6</c:v>
                </c:pt>
                <c:pt idx="1">
                  <c:v>610</c:v>
                </c:pt>
                <c:pt idx="2">
                  <c:v>1420</c:v>
                </c:pt>
                <c:pt idx="3">
                  <c:v>3760</c:v>
                </c:pt>
              </c:numCache>
            </c:numRef>
          </c:val>
        </c:ser>
        <c:ser>
          <c:idx val="0"/>
          <c:order val="1"/>
          <c:tx>
            <c:v>DB size (integer)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18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('[1]Scalability (intsize strings)'!$N$6,'[1]Scalability (intsize strings)'!$N$26,'[1]Scalability (intsize strings)'!$N$46,'[1]Scalability (intsize strings)'!$N$66)</c:f>
              <c:numCache>
                <c:formatCode>General</c:formatCode>
                <c:ptCount val="4"/>
                <c:pt idx="0">
                  <c:v>44.12</c:v>
                </c:pt>
                <c:pt idx="1">
                  <c:v>122</c:v>
                </c:pt>
                <c:pt idx="2">
                  <c:v>284</c:v>
                </c:pt>
                <c:pt idx="3">
                  <c:v>752</c:v>
                </c:pt>
              </c:numCache>
            </c:numRef>
          </c:val>
        </c:ser>
        <c:marker val="1"/>
        <c:axId val="90428544"/>
        <c:axId val="90430848"/>
      </c:lineChart>
      <c:lineChart>
        <c:grouping val="standard"/>
        <c:ser>
          <c:idx val="2"/>
          <c:order val="2"/>
          <c:tx>
            <c:v>DB size (string)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triangle"/>
            <c:size val="18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('[1]Scalability (large strings)'!$N$6,'[1]Scalability (large strings)'!$N$26,'[1]Scalability (large strings)'!$N$46,'[1]Scalability (large strings)'!$P$46)</c:f>
              <c:numCache>
                <c:formatCode>General</c:formatCode>
                <c:ptCount val="4"/>
                <c:pt idx="0">
                  <c:v>1103</c:v>
                </c:pt>
                <c:pt idx="1">
                  <c:v>3050</c:v>
                </c:pt>
                <c:pt idx="2">
                  <c:v>7100</c:v>
                </c:pt>
              </c:numCache>
            </c:numRef>
          </c:val>
        </c:ser>
        <c:marker val="1"/>
        <c:axId val="90449408"/>
        <c:axId val="90450944"/>
      </c:lineChart>
      <c:catAx>
        <c:axId val="90428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peers</a:t>
                </a:r>
              </a:p>
            </c:rich>
          </c:tx>
          <c:layout>
            <c:manualLayout>
              <c:xMode val="edge"/>
              <c:yMode val="edge"/>
              <c:x val="0.33036597428288889"/>
              <c:y val="0.90382081686429583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430848"/>
        <c:crosses val="autoZero"/>
        <c:lblAlgn val="ctr"/>
        <c:lblOffset val="100"/>
        <c:tickLblSkip val="1"/>
        <c:tickMarkSkip val="1"/>
      </c:catAx>
      <c:valAx>
        <c:axId val="90430848"/>
        <c:scaling>
          <c:orientation val="minMax"/>
          <c:max val="6000"/>
        </c:scaling>
        <c:axPos val="l"/>
        <c:title>
          <c:tx>
            <c:rich>
              <a:bodyPr/>
              <a:lstStyle/>
              <a:p>
                <a:pPr>
                  <a:defRPr sz="3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tuples (K)</a:t>
                </a:r>
              </a:p>
            </c:rich>
          </c:tx>
          <c:layout>
            <c:manualLayout>
              <c:xMode val="edge"/>
              <c:yMode val="edge"/>
              <c:x val="0"/>
              <c:y val="0.13965744400527019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428544"/>
        <c:crosses val="autoZero"/>
        <c:crossBetween val="between"/>
        <c:majorUnit val="1000"/>
        <c:minorUnit val="100"/>
      </c:valAx>
      <c:catAx>
        <c:axId val="90449408"/>
        <c:scaling>
          <c:orientation val="minMax"/>
        </c:scaling>
        <c:delete val="1"/>
        <c:axPos val="b"/>
        <c:tickLblPos val="nextTo"/>
        <c:crossAx val="90450944"/>
        <c:crosses val="autoZero"/>
        <c:lblAlgn val="ctr"/>
        <c:lblOffset val="100"/>
      </c:catAx>
      <c:valAx>
        <c:axId val="9045094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 sz="3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DB size (MB)</a:t>
                </a:r>
              </a:p>
            </c:rich>
          </c:tx>
          <c:layout>
            <c:manualLayout>
              <c:xMode val="edge"/>
              <c:yMode val="edge"/>
              <c:x val="0.92779426310583624"/>
              <c:y val="0.24505928853754952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449408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397626112759657"/>
          <c:y val="4.2160737812911825E-2"/>
          <c:w val="0.36498516320474844"/>
          <c:h val="0.19631093544137038"/>
        </c:manualLayout>
      </c:layout>
      <c:spPr>
        <a:noFill/>
        <a:ln w="25400">
          <a:noFill/>
        </a:ln>
      </c:spPr>
      <c:txPr>
        <a:bodyPr/>
        <a:lstStyle/>
        <a:p>
          <a:pPr>
            <a:defRPr sz="2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2462908011869443"/>
          <c:y val="4.3478260869565223E-2"/>
          <c:w val="0.8664688427299706"/>
          <c:h val="0.76943346508563859"/>
        </c:manualLayout>
      </c:layout>
      <c:lineChart>
        <c:grouping val="standard"/>
        <c:ser>
          <c:idx val="0"/>
          <c:order val="0"/>
          <c:tx>
            <c:v>1% insertions (DB2)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18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('[1]Scalability (large strings)'!$J$10,'[1]Scalability (large strings)'!$J$30,'[1]Scalability (large strings)'!$J$50,'[1]Scalability (large strings)'!$J$64)</c:f>
                <c:numCache>
                  <c:formatCode>General</c:formatCode>
                  <c:ptCount val="4"/>
                  <c:pt idx="0">
                    <c:v>0.27018542506909465</c:v>
                  </c:pt>
                  <c:pt idx="1">
                    <c:v>0.80275722423196283</c:v>
                  </c:pt>
                  <c:pt idx="2">
                    <c:v>2.5656738096826555</c:v>
                  </c:pt>
                </c:numCache>
              </c:numRef>
            </c:plus>
            <c:minus>
              <c:numRef>
                <c:f>('[1]Scalability (large strings)'!$J$10,'[1]Scalability (large strings)'!$J$30,'[1]Scalability (large strings)'!$J$50,'[1]Scalability (large strings)'!$J$64)</c:f>
                <c:numCache>
                  <c:formatCode>General</c:formatCode>
                  <c:ptCount val="4"/>
                  <c:pt idx="0">
                    <c:v>0.27018542506909465</c:v>
                  </c:pt>
                  <c:pt idx="1">
                    <c:v>0.80275722423196283</c:v>
                  </c:pt>
                  <c:pt idx="2">
                    <c:v>2.5656738096826555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numRef>
              <c:f>('[1]Scalability (intsize strings)'!$A$2,'[1]Scalability (intsize strings)'!$A$22,'[1]Scalability (intsize strings)'!$A$42,'[1]Scalability (intsize strings)'!$A$62)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cat>
          <c:val>
            <c:numRef>
              <c:f>('[1]Scalability (intsize strings)'!$H$10,'[1]Scalability (intsize strings)'!$H$30,'[1]Scalability (intsize strings)'!$H$50,'[1]Scalability (intsize strings)'!$H$70)</c:f>
              <c:numCache>
                <c:formatCode>General</c:formatCode>
                <c:ptCount val="4"/>
                <c:pt idx="0">
                  <c:v>1.012</c:v>
                </c:pt>
                <c:pt idx="1">
                  <c:v>1.1319999999999999</c:v>
                </c:pt>
                <c:pt idx="2">
                  <c:v>11.365333333333334</c:v>
                </c:pt>
                <c:pt idx="3">
                  <c:v>43.124000000000002</c:v>
                </c:pt>
              </c:numCache>
            </c:numRef>
          </c:val>
        </c:ser>
        <c:ser>
          <c:idx val="2"/>
          <c:order val="1"/>
          <c:tx>
            <c:v>10% insertions (DB2)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18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('[1]Scalability (large strings)'!$J$12,'[1]Scalability (large strings)'!$J$32,'[1]Scalability (large strings)'!$J$52,'[1]Scalability (large strings)'!$J$67)</c:f>
                <c:numCache>
                  <c:formatCode>General</c:formatCode>
                  <c:ptCount val="4"/>
                  <c:pt idx="0">
                    <c:v>0.52063311504278498</c:v>
                  </c:pt>
                  <c:pt idx="1">
                    <c:v>2.8032737430092967</c:v>
                  </c:pt>
                  <c:pt idx="2">
                    <c:v>0.84308240941524437</c:v>
                  </c:pt>
                </c:numCache>
              </c:numRef>
            </c:plus>
            <c:minus>
              <c:numRef>
                <c:f>('[1]Scalability (large strings)'!$J$12,'[1]Scalability (large strings)'!$J$32,'[1]Scalability (large strings)'!$J$52,'[1]Scalability (large strings)'!$J$67)</c:f>
                <c:numCache>
                  <c:formatCode>General</c:formatCode>
                  <c:ptCount val="4"/>
                  <c:pt idx="0">
                    <c:v>0.52063311504278498</c:v>
                  </c:pt>
                  <c:pt idx="1">
                    <c:v>2.8032737430092967</c:v>
                  </c:pt>
                  <c:pt idx="2">
                    <c:v>0.84308240941524437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numRef>
              <c:f>('[1]Scalability (intsize strings)'!$A$2,'[1]Scalability (intsize strings)'!$A$22,'[1]Scalability (intsize strings)'!$A$42,'[1]Scalability (intsize strings)'!$A$62)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cat>
          <c:val>
            <c:numRef>
              <c:f>('[1]Scalability (intsize strings)'!$H$12,'[1]Scalability (intsize strings)'!$H$32,'[1]Scalability (intsize strings)'!$H$52,'[1]Scalability (intsize strings)'!$H$72)</c:f>
              <c:numCache>
                <c:formatCode>General</c:formatCode>
                <c:ptCount val="4"/>
                <c:pt idx="0">
                  <c:v>1.8586666666666667</c:v>
                </c:pt>
                <c:pt idx="1">
                  <c:v>3.1720000000000002</c:v>
                </c:pt>
                <c:pt idx="2">
                  <c:v>20.297000000000001</c:v>
                </c:pt>
                <c:pt idx="3">
                  <c:v>70.453000000000003</c:v>
                </c:pt>
              </c:numCache>
            </c:numRef>
          </c:val>
        </c:ser>
        <c:ser>
          <c:idx val="3"/>
          <c:order val="2"/>
          <c:tx>
            <c:v>1% insertions (Tukwila)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18"/>
            <c:spPr>
              <a:noFill/>
              <a:ln>
                <a:solidFill>
                  <a:srgbClr val="008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('[1]Tukwila Scalability (int)'!$J$10,'[1]Tukwila Scalability (int)'!$J$30,'[1]Tukwila Scalability (int)'!$J$50,'[1]Tukwila Scalability (int)'!$J$70)</c:f>
                <c:numCache>
                  <c:formatCode>General</c:formatCode>
                  <c:ptCount val="4"/>
                  <c:pt idx="0">
                    <c:v>9.601823352709891E-4</c:v>
                  </c:pt>
                  <c:pt idx="1">
                    <c:v>1.9683737873056828E-2</c:v>
                  </c:pt>
                  <c:pt idx="2">
                    <c:v>1.7945715372559762E-2</c:v>
                  </c:pt>
                  <c:pt idx="3">
                    <c:v>0</c:v>
                  </c:pt>
                </c:numCache>
              </c:numRef>
            </c:plus>
            <c:minus>
              <c:numRef>
                <c:f>('[1]Tukwila Scalability (int)'!$J$10,'[1]Tukwila Scalability (int)'!$J$30,'[1]Tukwila Scalability (int)'!$J$50,'[1]Tukwila Scalability (int)'!$J$70)</c:f>
                <c:numCache>
                  <c:formatCode>General</c:formatCode>
                  <c:ptCount val="4"/>
                  <c:pt idx="0">
                    <c:v>9.601823352709891E-4</c:v>
                  </c:pt>
                  <c:pt idx="1">
                    <c:v>1.9683737873056828E-2</c:v>
                  </c:pt>
                  <c:pt idx="2">
                    <c:v>1.7945715372559762E-2</c:v>
                  </c:pt>
                  <c:pt idx="3">
                    <c:v>0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val>
            <c:numRef>
              <c:f>('[1]Tukwila Scalability (int)'!$H$10,'[1]Tukwila Scalability (int)'!$H$30,'[1]Tukwila Scalability (int)'!$H$50,'[1]Tukwila Scalability (int)'!$H$70)</c:f>
              <c:numCache>
                <c:formatCode>General</c:formatCode>
                <c:ptCount val="4"/>
                <c:pt idx="0">
                  <c:v>0.15166666666666667</c:v>
                </c:pt>
                <c:pt idx="1">
                  <c:v>0.47766666666666668</c:v>
                </c:pt>
                <c:pt idx="2">
                  <c:v>1.5646666666666667</c:v>
                </c:pt>
                <c:pt idx="3">
                  <c:v>6.024</c:v>
                </c:pt>
              </c:numCache>
            </c:numRef>
          </c:val>
        </c:ser>
        <c:ser>
          <c:idx val="5"/>
          <c:order val="3"/>
          <c:tx>
            <c:v>10% insertions (Tukwila)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18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('[1]Tukwila Scalability (int)'!$J$12,'[1]Tukwila Scalability (int)'!$J$32,'[1]Tukwila Scalability (int)'!$J$52,'[1]Tukwila Scalability (int)'!$J$72)</c:f>
                <c:numCache>
                  <c:formatCode>General</c:formatCode>
                  <c:ptCount val="4"/>
                  <c:pt idx="0">
                    <c:v>1.6678418295915032E-2</c:v>
                  </c:pt>
                  <c:pt idx="1">
                    <c:v>3.4032335130515226E-3</c:v>
                  </c:pt>
                  <c:pt idx="2">
                    <c:v>7.5939689202779853E-2</c:v>
                  </c:pt>
                  <c:pt idx="3">
                    <c:v>0</c:v>
                  </c:pt>
                </c:numCache>
              </c:numRef>
            </c:plus>
            <c:minus>
              <c:numRef>
                <c:f>('[1]Tukwila Scalability (int)'!$J$12,'[1]Tukwila Scalability (int)'!$J$32,'[1]Tukwila Scalability (int)'!$J$52,'[1]Tukwila Scalability (int)'!$J$72)</c:f>
                <c:numCache>
                  <c:formatCode>General</c:formatCode>
                  <c:ptCount val="4"/>
                  <c:pt idx="0">
                    <c:v>1.6678418295915032E-2</c:v>
                  </c:pt>
                  <c:pt idx="1">
                    <c:v>3.4032335130515226E-3</c:v>
                  </c:pt>
                  <c:pt idx="2">
                    <c:v>7.5939689202779853E-2</c:v>
                  </c:pt>
                  <c:pt idx="3">
                    <c:v>0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val>
            <c:numRef>
              <c:f>('[1]Tukwila Scalability (int)'!$H$12,'[1]Tukwila Scalability (int)'!$H$32,'[1]Tukwila Scalability (int)'!$H$52,'[1]Tukwila Scalability (int)'!$H$72)</c:f>
              <c:numCache>
                <c:formatCode>General</c:formatCode>
                <c:ptCount val="4"/>
                <c:pt idx="0">
                  <c:v>0.7426666666666667</c:v>
                </c:pt>
                <c:pt idx="1">
                  <c:v>2.5246666666666666</c:v>
                </c:pt>
                <c:pt idx="2">
                  <c:v>9.613666666666667</c:v>
                </c:pt>
                <c:pt idx="3">
                  <c:v>43.433999999999997</c:v>
                </c:pt>
              </c:numCache>
            </c:numRef>
          </c:val>
        </c:ser>
        <c:marker val="1"/>
        <c:axId val="89591168"/>
        <c:axId val="89601536"/>
      </c:lineChart>
      <c:catAx>
        <c:axId val="89591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3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peers</a:t>
                </a:r>
              </a:p>
            </c:rich>
          </c:tx>
          <c:layout>
            <c:manualLayout>
              <c:xMode val="edge"/>
              <c:yMode val="edge"/>
              <c:x val="0.38773491592482739"/>
              <c:y val="0.90382081686429583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601536"/>
        <c:crosses val="autoZero"/>
        <c:auto val="1"/>
        <c:lblAlgn val="ctr"/>
        <c:lblOffset val="100"/>
        <c:tickLblSkip val="1"/>
        <c:tickMarkSkip val="1"/>
      </c:catAx>
      <c:valAx>
        <c:axId val="8960153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3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(sec)</a:t>
                </a:r>
              </a:p>
            </c:rich>
          </c:tx>
          <c:layout>
            <c:manualLayout>
              <c:xMode val="edge"/>
              <c:yMode val="edge"/>
              <c:x val="0"/>
              <c:y val="0.2832674571805006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591168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858555885262121"/>
          <c:y val="4.7430830039525751E-2"/>
          <c:w val="0.49752720079129581"/>
          <c:h val="0.24374176548089602"/>
        </c:manualLayout>
      </c:layout>
      <c:spPr>
        <a:noFill/>
        <a:ln w="25400">
          <a:noFill/>
        </a:ln>
      </c:spPr>
      <c:txPr>
        <a:bodyPr/>
        <a:lstStyle/>
        <a:p>
          <a:pPr>
            <a:defRPr sz="2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" right="0" top="0" bottom="0" header="0" footer="0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" right="0" top="0" bottom="0" header="0" footer="0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" right="0" top="0" bottom="0" header="0" footer="0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" right="0" top="0" bottom="0" header="0" footer="0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" right="0" top="0" bottom="0" header="0" footer="0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" right="0" top="0" bottom="0" header="0" footer="0"/>
  <pageSetup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" right="0" top="0" bottom="0" header="0" footer="0"/>
  <pageSetup orientation="landscape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" right="0" top="0" bottom="0" header="0" footer="0"/>
  <pageSetup orientation="landscape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" right="0" top="0" bottom="0" header="0" footer="0"/>
  <pageSetup orientation="landscape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" right="0" top="0" bottom="0" header="0" footer="0"/>
  <pageSetup orientation="landscape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" right="0" top="0" bottom="0" header="0" footer="0"/>
  <pageSetup orientation="landscape" r:id="rId1"/>
  <headerFooter alignWithMargins="0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" right="0" top="0" bottom="0" header="0" footer="0"/>
  <pageSetup orientation="landscape" r:id="rId1"/>
  <headerFooter alignWithMargins="0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" right="0" top="0" bottom="0" header="0" footer="0"/>
  <pageSetup orientation="landscape" r:id="rId1"/>
  <headerFooter alignWithMargins="0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138" workbookViewId="0"/>
  </sheetViews>
  <pageMargins left="0" right="0" top="0" bottom="0" header="0" footer="0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13</xdr:col>
      <xdr:colOff>419100</xdr:colOff>
      <xdr:row>34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629775" cy="7229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ygwin/home/gkarvoun/docs/papers/conferences/vldb2007/figs/vld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c vs non-inc vs DRed (OU)"/>
      <sheetName val="Inc vs non-inc vs DRed"/>
      <sheetName val="Scalability (large strings)"/>
      <sheetName val="Tukwila Scalability (str)"/>
      <sheetName val="GRAPH Scalability (large str)"/>
      <sheetName val="Scalability (intsize strings)"/>
      <sheetName val="Tukwila Scalability (int)"/>
      <sheetName val="GRAPH Scalability (intsz str)"/>
      <sheetName val="OU Scalability (intsize string)"/>
      <sheetName val="Effect of nulls"/>
      <sheetName val="Effect of cycles"/>
      <sheetName val="GRAPH Comparison Del Alg"/>
      <sheetName val="GRAPH Scalability ins str"/>
      <sheetName val="GRAPH Scalability ins int"/>
      <sheetName val="GRAPH Scalability Deletions"/>
      <sheetName val="GRAPH Outer vs Composite"/>
      <sheetName val="GRAPH Nulls"/>
      <sheetName val="GRAPH cycles-0nulls"/>
      <sheetName val="Time to join vs peers"/>
      <sheetName val="GRAPH DB size vs #peers"/>
    </sheetNames>
    <sheetDataSet>
      <sheetData sheetId="0"/>
      <sheetData sheetId="1"/>
      <sheetData sheetId="2">
        <row r="6">
          <cell r="N6">
            <v>1103</v>
          </cell>
        </row>
        <row r="10">
          <cell r="J10">
            <v>0.27018542506909465</v>
          </cell>
        </row>
        <row r="12">
          <cell r="J12">
            <v>0.52063311504278498</v>
          </cell>
        </row>
        <row r="26">
          <cell r="N26">
            <v>3050</v>
          </cell>
        </row>
        <row r="30">
          <cell r="J30">
            <v>0.80275722423196283</v>
          </cell>
        </row>
        <row r="32">
          <cell r="J32">
            <v>2.8032737430092967</v>
          </cell>
        </row>
        <row r="46">
          <cell r="N46">
            <v>7100</v>
          </cell>
        </row>
        <row r="50">
          <cell r="J50">
            <v>2.5656738096826555</v>
          </cell>
        </row>
        <row r="52">
          <cell r="J52">
            <v>0.84308240941524437</v>
          </cell>
        </row>
      </sheetData>
      <sheetData sheetId="3"/>
      <sheetData sheetId="4"/>
      <sheetData sheetId="5">
        <row r="2">
          <cell r="A2">
            <v>2</v>
          </cell>
        </row>
        <row r="6">
          <cell r="L6">
            <v>220.6</v>
          </cell>
          <cell r="N6">
            <v>44.12</v>
          </cell>
        </row>
        <row r="10">
          <cell r="H10">
            <v>1.012</v>
          </cell>
        </row>
        <row r="12">
          <cell r="H12">
            <v>1.8586666666666667</v>
          </cell>
        </row>
        <row r="22">
          <cell r="A22">
            <v>5</v>
          </cell>
        </row>
        <row r="26">
          <cell r="L26">
            <v>610</v>
          </cell>
          <cell r="N26">
            <v>122</v>
          </cell>
        </row>
        <row r="30">
          <cell r="H30">
            <v>1.1319999999999999</v>
          </cell>
        </row>
        <row r="32">
          <cell r="H32">
            <v>3.1720000000000002</v>
          </cell>
        </row>
        <row r="42">
          <cell r="A42">
            <v>10</v>
          </cell>
        </row>
        <row r="46">
          <cell r="L46">
            <v>1420</v>
          </cell>
          <cell r="N46">
            <v>284</v>
          </cell>
        </row>
        <row r="50">
          <cell r="H50">
            <v>11.365333333333334</v>
          </cell>
        </row>
        <row r="52">
          <cell r="H52">
            <v>20.297000000000001</v>
          </cell>
        </row>
        <row r="62">
          <cell r="A62">
            <v>20</v>
          </cell>
        </row>
        <row r="66">
          <cell r="L66">
            <v>3760</v>
          </cell>
          <cell r="N66">
            <v>752</v>
          </cell>
        </row>
        <row r="70">
          <cell r="H70">
            <v>43.124000000000002</v>
          </cell>
        </row>
        <row r="72">
          <cell r="H72">
            <v>70.453000000000003</v>
          </cell>
        </row>
      </sheetData>
      <sheetData sheetId="6">
        <row r="10">
          <cell r="H10">
            <v>0.15166666666666667</v>
          </cell>
          <cell r="J10">
            <v>9.601823352709891E-4</v>
          </cell>
        </row>
        <row r="12">
          <cell r="H12">
            <v>0.7426666666666667</v>
          </cell>
          <cell r="J12">
            <v>1.6678418295915032E-2</v>
          </cell>
        </row>
        <row r="30">
          <cell r="H30">
            <v>0.47766666666666668</v>
          </cell>
          <cell r="J30">
            <v>1.9683737873056828E-2</v>
          </cell>
        </row>
        <row r="32">
          <cell r="H32">
            <v>2.5246666666666666</v>
          </cell>
          <cell r="J32">
            <v>3.4032335130515226E-3</v>
          </cell>
        </row>
        <row r="50">
          <cell r="H50">
            <v>1.5646666666666667</v>
          </cell>
          <cell r="J50">
            <v>1.7945715372559762E-2</v>
          </cell>
        </row>
        <row r="52">
          <cell r="H52">
            <v>9.613666666666667</v>
          </cell>
          <cell r="J52">
            <v>7.5939689202779853E-2</v>
          </cell>
        </row>
        <row r="70">
          <cell r="H70">
            <v>6.024</v>
          </cell>
          <cell r="J70" t="e">
            <v>#NUM!</v>
          </cell>
        </row>
        <row r="72">
          <cell r="H72">
            <v>43.433999999999997</v>
          </cell>
          <cell r="J72" t="e">
            <v>#NUM!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queryTables/queryTable1.xml><?xml version="1.0" encoding="utf-8"?>
<queryTable xmlns="http://schemas.openxmlformats.org/spreadsheetml/2006/main" name="70p.log" connectionId="13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60p.log" connectionId="119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20p.log" connectionId="39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40p.log" connectionId="83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30p.log" connectionId="67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10p.log" connectionId="3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50p.log" connectionId="103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35p.log" connectionId="82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10p.log" connectionId="4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50p.log" connectionId="104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30p.log" connectionId="68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40p.log" connectionId="84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60p.log" connectionId="120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20p.log" connectionId="40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70p.log" connectionId="134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10p.log" connectionId="6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20p.log" connectionId="42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60p.log" connectionId="122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40p.log" connectionId="86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50p.log" connectionId="106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name="70p.log" connectionId="136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name="30p.log" connectionId="70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name="10p.log" connectionId="7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name="20p.log" connectionId="43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name="60p.log" connectionId="123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name="40p.log" connectionId="87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name="50p.log" connectionId="107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name="70p.log" connectionId="137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name="30p.log" connectionId="71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name="70p.log" connectionId="138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name="60p.log" connectionId="124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name="20p.log" connectionId="44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name="40p.log" connectionId="88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name="30p.log" connectionId="72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name="10p.log" connectionId="8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name="50p.log" connectionId="108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name="50p.log" connectionId="114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name="30p.log" connectionId="78" autoFormatId="16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name="40p.log" connectionId="94" autoFormatId="16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name="10p.log" connectionId="14" autoFormatId="16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name="20p.log" connectionId="50" autoFormatId="16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name="70p.log" connectionId="144" autoFormatId="16" applyNumberFormats="0" applyBorderFormats="0" applyFontFormats="1" applyPatternFormats="1" applyAlignmentFormats="0" applyWidthHeightFormats="0"/>
</file>

<file path=xl/queryTables/queryTable43.xml><?xml version="1.0" encoding="utf-8"?>
<queryTable xmlns="http://schemas.openxmlformats.org/spreadsheetml/2006/main" name="10p.log" connectionId="9" autoFormatId="16" applyNumberFormats="0" applyBorderFormats="0" applyFontFormats="1" applyPatternFormats="1" applyAlignmentFormats="0" applyWidthHeightFormats="0"/>
</file>

<file path=xl/queryTables/queryTable44.xml><?xml version="1.0" encoding="utf-8"?>
<queryTable xmlns="http://schemas.openxmlformats.org/spreadsheetml/2006/main" name="20p.log" connectionId="45" autoFormatId="16" applyNumberFormats="0" applyBorderFormats="0" applyFontFormats="1" applyPatternFormats="1" applyAlignmentFormats="0" applyWidthHeightFormats="0"/>
</file>

<file path=xl/queryTables/queryTable45.xml><?xml version="1.0" encoding="utf-8"?>
<queryTable xmlns="http://schemas.openxmlformats.org/spreadsheetml/2006/main" name="30p.log" connectionId="73" autoFormatId="16" applyNumberFormats="0" applyBorderFormats="0" applyFontFormats="1" applyPatternFormats="1" applyAlignmentFormats="0" applyWidthHeightFormats="0"/>
</file>

<file path=xl/queryTables/queryTable46.xml><?xml version="1.0" encoding="utf-8"?>
<queryTable xmlns="http://schemas.openxmlformats.org/spreadsheetml/2006/main" name="40p.log" connectionId="89" autoFormatId="16" applyNumberFormats="0" applyBorderFormats="0" applyFontFormats="1" applyPatternFormats="1" applyAlignmentFormats="0" applyWidthHeightFormats="0"/>
</file>

<file path=xl/queryTables/queryTable47.xml><?xml version="1.0" encoding="utf-8"?>
<queryTable xmlns="http://schemas.openxmlformats.org/spreadsheetml/2006/main" name="50p.log" connectionId="109" autoFormatId="16" applyNumberFormats="0" applyBorderFormats="0" applyFontFormats="1" applyPatternFormats="1" applyAlignmentFormats="0" applyWidthHeightFormats="0"/>
</file>

<file path=xl/queryTables/queryTable48.xml><?xml version="1.0" encoding="utf-8"?>
<queryTable xmlns="http://schemas.openxmlformats.org/spreadsheetml/2006/main" name="70p.log" connectionId="139" autoFormatId="16" applyNumberFormats="0" applyBorderFormats="0" applyFontFormats="1" applyPatternFormats="1" applyAlignmentFormats="0" applyWidthHeightFormats="0"/>
</file>

<file path=xl/queryTables/queryTable49.xml><?xml version="1.0" encoding="utf-8"?>
<queryTable xmlns="http://schemas.openxmlformats.org/spreadsheetml/2006/main" name="70p.log" connectionId="140" autoFormatId="16" applyNumberFormats="0" applyBorderFormats="0" applyFontFormats="1" applyPatternFormats="1" applyAlignmentFormats="0" applyWidthHeightFormats="0"/>
</file>

<file path=xl/queryTables/queryTable50.xml><?xml version="1.0" encoding="utf-8"?>
<queryTable xmlns="http://schemas.openxmlformats.org/spreadsheetml/2006/main" name="50p.log" connectionId="110" autoFormatId="16" applyNumberFormats="0" applyBorderFormats="0" applyFontFormats="1" applyPatternFormats="1" applyAlignmentFormats="0" applyWidthHeightFormats="0"/>
</file>

<file path=xl/queryTables/queryTable51.xml><?xml version="1.0" encoding="utf-8"?>
<queryTable xmlns="http://schemas.openxmlformats.org/spreadsheetml/2006/main" name="40p.log" connectionId="90" autoFormatId="16" applyNumberFormats="0" applyBorderFormats="0" applyFontFormats="1" applyPatternFormats="1" applyAlignmentFormats="0" applyWidthHeightFormats="0"/>
</file>

<file path=xl/queryTables/queryTable52.xml><?xml version="1.0" encoding="utf-8"?>
<queryTable xmlns="http://schemas.openxmlformats.org/spreadsheetml/2006/main" name="30p.log" connectionId="74" autoFormatId="16" applyNumberFormats="0" applyBorderFormats="0" applyFontFormats="1" applyPatternFormats="1" applyAlignmentFormats="0" applyWidthHeightFormats="0"/>
</file>

<file path=xl/queryTables/queryTable53.xml><?xml version="1.0" encoding="utf-8"?>
<queryTable xmlns="http://schemas.openxmlformats.org/spreadsheetml/2006/main" name="20p.log" connectionId="46" autoFormatId="16" applyNumberFormats="0" applyBorderFormats="0" applyFontFormats="1" applyPatternFormats="1" applyAlignmentFormats="0" applyWidthHeightFormats="0"/>
</file>

<file path=xl/queryTables/queryTable54.xml><?xml version="1.0" encoding="utf-8"?>
<queryTable xmlns="http://schemas.openxmlformats.org/spreadsheetml/2006/main" name="10p.log" connectionId="10" autoFormatId="16" applyNumberFormats="0" applyBorderFormats="0" applyFontFormats="1" applyPatternFormats="1" applyAlignmentFormats="0" applyWidthHeightFormats="0"/>
</file>

<file path=xl/queryTables/queryTable55.xml><?xml version="1.0" encoding="utf-8"?>
<queryTable xmlns="http://schemas.openxmlformats.org/spreadsheetml/2006/main" name="10p.log" connectionId="11" autoFormatId="16" applyNumberFormats="0" applyBorderFormats="0" applyFontFormats="1" applyPatternFormats="1" applyAlignmentFormats="0" applyWidthHeightFormats="0"/>
</file>

<file path=xl/queryTables/queryTable56.xml><?xml version="1.0" encoding="utf-8"?>
<queryTable xmlns="http://schemas.openxmlformats.org/spreadsheetml/2006/main" name="20p.log" connectionId="47" autoFormatId="16" applyNumberFormats="0" applyBorderFormats="0" applyFontFormats="1" applyPatternFormats="1" applyAlignmentFormats="0" applyWidthHeightFormats="0"/>
</file>

<file path=xl/queryTables/queryTable57.xml><?xml version="1.0" encoding="utf-8"?>
<queryTable xmlns="http://schemas.openxmlformats.org/spreadsheetml/2006/main" name="30p.log" connectionId="75" autoFormatId="16" applyNumberFormats="0" applyBorderFormats="0" applyFontFormats="1" applyPatternFormats="1" applyAlignmentFormats="0" applyWidthHeightFormats="0"/>
</file>

<file path=xl/queryTables/queryTable58.xml><?xml version="1.0" encoding="utf-8"?>
<queryTable xmlns="http://schemas.openxmlformats.org/spreadsheetml/2006/main" name="40p.log" connectionId="91" autoFormatId="16" applyNumberFormats="0" applyBorderFormats="0" applyFontFormats="1" applyPatternFormats="1" applyAlignmentFormats="0" applyWidthHeightFormats="0"/>
</file>

<file path=xl/queryTables/queryTable59.xml><?xml version="1.0" encoding="utf-8"?>
<queryTable xmlns="http://schemas.openxmlformats.org/spreadsheetml/2006/main" name="50p.log" connectionId="111" autoFormatId="16" applyNumberFormats="0" applyBorderFormats="0" applyFontFormats="1" applyPatternFormats="1" applyAlignmentFormats="0" applyWidthHeightFormats="0"/>
</file>

<file path=xl/queryTables/queryTable60.xml><?xml version="1.0" encoding="utf-8"?>
<queryTable xmlns="http://schemas.openxmlformats.org/spreadsheetml/2006/main" name="70p.log" connectionId="141" autoFormatId="16" applyNumberFormats="0" applyBorderFormats="0" applyFontFormats="1" applyPatternFormats="1" applyAlignmentFormats="0" applyWidthHeightFormats="0"/>
</file>

<file path=xl/queryTables/queryTable61.xml><?xml version="1.0" encoding="utf-8"?>
<queryTable xmlns="http://schemas.openxmlformats.org/spreadsheetml/2006/main" name="10p.log" connectionId="12" autoFormatId="16" applyNumberFormats="0" applyBorderFormats="0" applyFontFormats="1" applyPatternFormats="1" applyAlignmentFormats="0" applyWidthHeightFormats="0"/>
</file>

<file path=xl/queryTables/queryTable62.xml><?xml version="1.0" encoding="utf-8"?>
<queryTable xmlns="http://schemas.openxmlformats.org/spreadsheetml/2006/main" name="20p.log" connectionId="48" autoFormatId="16" applyNumberFormats="0" applyBorderFormats="0" applyFontFormats="1" applyPatternFormats="1" applyAlignmentFormats="0" applyWidthHeightFormats="0"/>
</file>

<file path=xl/queryTables/queryTable63.xml><?xml version="1.0" encoding="utf-8"?>
<queryTable xmlns="http://schemas.openxmlformats.org/spreadsheetml/2006/main" name="30p.log" connectionId="76" autoFormatId="16" applyNumberFormats="0" applyBorderFormats="0" applyFontFormats="1" applyPatternFormats="1" applyAlignmentFormats="0" applyWidthHeightFormats="0"/>
</file>

<file path=xl/queryTables/queryTable64.xml><?xml version="1.0" encoding="utf-8"?>
<queryTable xmlns="http://schemas.openxmlformats.org/spreadsheetml/2006/main" name="40p.log" connectionId="92" autoFormatId="16" applyNumberFormats="0" applyBorderFormats="0" applyFontFormats="1" applyPatternFormats="1" applyAlignmentFormats="0" applyWidthHeightFormats="0"/>
</file>

<file path=xl/queryTables/queryTable65.xml><?xml version="1.0" encoding="utf-8"?>
<queryTable xmlns="http://schemas.openxmlformats.org/spreadsheetml/2006/main" name="50p.log" connectionId="112" autoFormatId="16" applyNumberFormats="0" applyBorderFormats="0" applyFontFormats="1" applyPatternFormats="1" applyAlignmentFormats="0" applyWidthHeightFormats="0"/>
</file>

<file path=xl/queryTables/queryTable66.xml><?xml version="1.0" encoding="utf-8"?>
<queryTable xmlns="http://schemas.openxmlformats.org/spreadsheetml/2006/main" name="70p.log" connectionId="142" autoFormatId="16" applyNumberFormats="0" applyBorderFormats="0" applyFontFormats="1" applyPatternFormats="1" applyAlignmentFormats="0" applyWidthHeightFormats="0"/>
</file>

<file path=xl/queryTables/queryTable67.xml><?xml version="1.0" encoding="utf-8"?>
<queryTable xmlns="http://schemas.openxmlformats.org/spreadsheetml/2006/main" name="10p.log" connectionId="13" autoFormatId="16" applyNumberFormats="0" applyBorderFormats="0" applyFontFormats="1" applyPatternFormats="1" applyAlignmentFormats="0" applyWidthHeightFormats="0"/>
</file>

<file path=xl/queryTables/queryTable68.xml><?xml version="1.0" encoding="utf-8"?>
<queryTable xmlns="http://schemas.openxmlformats.org/spreadsheetml/2006/main" name="20p.log" connectionId="49" autoFormatId="16" applyNumberFormats="0" applyBorderFormats="0" applyFontFormats="1" applyPatternFormats="1" applyAlignmentFormats="0" applyWidthHeightFormats="0"/>
</file>

<file path=xl/queryTables/queryTable69.xml><?xml version="1.0" encoding="utf-8"?>
<queryTable xmlns="http://schemas.openxmlformats.org/spreadsheetml/2006/main" name="30p.log" connectionId="77" autoFormatId="16" applyNumberFormats="0" applyBorderFormats="0" applyFontFormats="1" applyPatternFormats="1" applyAlignmentFormats="0" applyWidthHeightFormats="0"/>
</file>

<file path=xl/queryTables/queryTable70.xml><?xml version="1.0" encoding="utf-8"?>
<queryTable xmlns="http://schemas.openxmlformats.org/spreadsheetml/2006/main" name="40p.log" connectionId="93" autoFormatId="16" applyNumberFormats="0" applyBorderFormats="0" applyFontFormats="1" applyPatternFormats="1" applyAlignmentFormats="0" applyWidthHeightFormats="0"/>
</file>

<file path=xl/queryTables/queryTable71.xml><?xml version="1.0" encoding="utf-8"?>
<queryTable xmlns="http://schemas.openxmlformats.org/spreadsheetml/2006/main" name="50p.log" connectionId="113" autoFormatId="16" applyNumberFormats="0" applyBorderFormats="0" applyFontFormats="1" applyPatternFormats="1" applyAlignmentFormats="0" applyWidthHeightFormats="0"/>
</file>

<file path=xl/queryTables/queryTable72.xml><?xml version="1.0" encoding="utf-8"?>
<queryTable xmlns="http://schemas.openxmlformats.org/spreadsheetml/2006/main" name="70p.log" connectionId="143" autoFormatId="16" applyNumberFormats="0" applyBorderFormats="0" applyFontFormats="1" applyPatternFormats="1" applyAlignmentFormats="0" applyWidthHeightFormats="0"/>
</file>

<file path=xl/queryTables/queryTable73.xml><?xml version="1.0" encoding="utf-8"?>
<queryTable xmlns="http://schemas.openxmlformats.org/spreadsheetml/2006/main" name="70p.log" connectionId="145" autoFormatId="16" applyNumberFormats="0" applyBorderFormats="0" applyFontFormats="1" applyPatternFormats="1" applyAlignmentFormats="0" applyWidthHeightFormats="0"/>
</file>

<file path=xl/queryTables/queryTable74.xml><?xml version="1.0" encoding="utf-8"?>
<queryTable xmlns="http://schemas.openxmlformats.org/spreadsheetml/2006/main" name="20p.log" connectionId="51" autoFormatId="16" applyNumberFormats="0" applyBorderFormats="0" applyFontFormats="1" applyPatternFormats="1" applyAlignmentFormats="0" applyWidthHeightFormats="0"/>
</file>

<file path=xl/queryTables/queryTable75.xml><?xml version="1.0" encoding="utf-8"?>
<queryTable xmlns="http://schemas.openxmlformats.org/spreadsheetml/2006/main" name="10p.log" connectionId="15" autoFormatId="16" applyNumberFormats="0" applyBorderFormats="0" applyFontFormats="1" applyPatternFormats="1" applyAlignmentFormats="0" applyWidthHeightFormats="0"/>
</file>

<file path=xl/queryTables/queryTable76.xml><?xml version="1.0" encoding="utf-8"?>
<queryTable xmlns="http://schemas.openxmlformats.org/spreadsheetml/2006/main" name="40p.log" connectionId="95" autoFormatId="16" applyNumberFormats="0" applyBorderFormats="0" applyFontFormats="1" applyPatternFormats="1" applyAlignmentFormats="0" applyWidthHeightFormats="0"/>
</file>

<file path=xl/queryTables/queryTable77.xml><?xml version="1.0" encoding="utf-8"?>
<queryTable xmlns="http://schemas.openxmlformats.org/spreadsheetml/2006/main" name="30p.log" connectionId="79" autoFormatId="16" applyNumberFormats="0" applyBorderFormats="0" applyFontFormats="1" applyPatternFormats="1" applyAlignmentFormats="0" applyWidthHeightFormats="0"/>
</file>

<file path=xl/queryTables/queryTable78.xml><?xml version="1.0" encoding="utf-8"?>
<queryTable xmlns="http://schemas.openxmlformats.org/spreadsheetml/2006/main" name="50p.log" connectionId="115" autoFormatId="16" applyNumberFormats="0" applyBorderFormats="0" applyFontFormats="1" applyPatternFormats="1" applyAlignmentFormats="0" applyWidthHeightFormats="0"/>
</file>

<file path=xl/queryTables/queryTable79.xml><?xml version="1.0" encoding="utf-8"?>
<queryTable xmlns="http://schemas.openxmlformats.org/spreadsheetml/2006/main" name="70p.log" connectionId="135" autoFormatId="16" applyNumberFormats="0" applyBorderFormats="0" applyFontFormats="1" applyPatternFormats="1" applyAlignmentFormats="0" applyWidthHeightFormats="0"/>
</file>

<file path=xl/queryTables/queryTable80.xml><?xml version="1.0" encoding="utf-8"?>
<queryTable xmlns="http://schemas.openxmlformats.org/spreadsheetml/2006/main" name="60p.log" connectionId="121" autoFormatId="16" applyNumberFormats="0" applyBorderFormats="0" applyFontFormats="1" applyPatternFormats="1" applyAlignmentFormats="0" applyWidthHeightFormats="0"/>
</file>

<file path=xl/queryTables/queryTable81.xml><?xml version="1.0" encoding="utf-8"?>
<queryTable xmlns="http://schemas.openxmlformats.org/spreadsheetml/2006/main" name="20p.log" connectionId="41" autoFormatId="16" applyNumberFormats="0" applyBorderFormats="0" applyFontFormats="1" applyPatternFormats="1" applyAlignmentFormats="0" applyWidthHeightFormats="0"/>
</file>

<file path=xl/queryTables/queryTable82.xml><?xml version="1.0" encoding="utf-8"?>
<queryTable xmlns="http://schemas.openxmlformats.org/spreadsheetml/2006/main" name="40p.log" connectionId="85" autoFormatId="16" applyNumberFormats="0" applyBorderFormats="0" applyFontFormats="1" applyPatternFormats="1" applyAlignmentFormats="0" applyWidthHeightFormats="0"/>
</file>

<file path=xl/queryTables/queryTable83.xml><?xml version="1.0" encoding="utf-8"?>
<queryTable xmlns="http://schemas.openxmlformats.org/spreadsheetml/2006/main" name="30p.log" connectionId="69" autoFormatId="16" applyNumberFormats="0" applyBorderFormats="0" applyFontFormats="1" applyPatternFormats="1" applyAlignmentFormats="0" applyWidthHeightFormats="0"/>
</file>

<file path=xl/queryTables/queryTable84.xml><?xml version="1.0" encoding="utf-8"?>
<queryTable xmlns="http://schemas.openxmlformats.org/spreadsheetml/2006/main" name="10p.log" connectionId="5" autoFormatId="16" applyNumberFormats="0" applyBorderFormats="0" applyFontFormats="1" applyPatternFormats="1" applyAlignmentFormats="0" applyWidthHeightFormats="0"/>
</file>

<file path=xl/queryTables/queryTable85.xml><?xml version="1.0" encoding="utf-8"?>
<queryTable xmlns="http://schemas.openxmlformats.org/spreadsheetml/2006/main" name="50p.log" connectionId="10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15.xml"/><Relationship Id="rId3" Type="http://schemas.openxmlformats.org/officeDocument/2006/relationships/queryTable" Target="../queryTables/queryTable10.xml"/><Relationship Id="rId7" Type="http://schemas.openxmlformats.org/officeDocument/2006/relationships/queryTable" Target="../queryTables/queryTable14.xml"/><Relationship Id="rId2" Type="http://schemas.openxmlformats.org/officeDocument/2006/relationships/queryTable" Target="../queryTables/queryTable9.xml"/><Relationship Id="rId1" Type="http://schemas.openxmlformats.org/officeDocument/2006/relationships/queryTable" Target="../queryTables/queryTable8.xml"/><Relationship Id="rId6" Type="http://schemas.openxmlformats.org/officeDocument/2006/relationships/queryTable" Target="../queryTables/queryTable13.xml"/><Relationship Id="rId5" Type="http://schemas.openxmlformats.org/officeDocument/2006/relationships/queryTable" Target="../queryTables/queryTable12.xml"/><Relationship Id="rId4" Type="http://schemas.openxmlformats.org/officeDocument/2006/relationships/queryTable" Target="../queryTables/query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8.xml"/><Relationship Id="rId7" Type="http://schemas.openxmlformats.org/officeDocument/2006/relationships/queryTable" Target="../queryTables/queryTable22.xml"/><Relationship Id="rId2" Type="http://schemas.openxmlformats.org/officeDocument/2006/relationships/queryTable" Target="../queryTables/queryTable17.xml"/><Relationship Id="rId1" Type="http://schemas.openxmlformats.org/officeDocument/2006/relationships/queryTable" Target="../queryTables/queryTable16.xml"/><Relationship Id="rId6" Type="http://schemas.openxmlformats.org/officeDocument/2006/relationships/queryTable" Target="../queryTables/queryTable21.xml"/><Relationship Id="rId5" Type="http://schemas.openxmlformats.org/officeDocument/2006/relationships/queryTable" Target="../queryTables/queryTable20.xml"/><Relationship Id="rId4" Type="http://schemas.openxmlformats.org/officeDocument/2006/relationships/queryTable" Target="../queryTables/queryTable1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5.xml"/><Relationship Id="rId7" Type="http://schemas.openxmlformats.org/officeDocument/2006/relationships/queryTable" Target="../queryTables/queryTable29.xml"/><Relationship Id="rId2" Type="http://schemas.openxmlformats.org/officeDocument/2006/relationships/queryTable" Target="../queryTables/queryTable24.xml"/><Relationship Id="rId1" Type="http://schemas.openxmlformats.org/officeDocument/2006/relationships/queryTable" Target="../queryTables/queryTable23.xml"/><Relationship Id="rId6" Type="http://schemas.openxmlformats.org/officeDocument/2006/relationships/queryTable" Target="../queryTables/queryTable28.xml"/><Relationship Id="rId5" Type="http://schemas.openxmlformats.org/officeDocument/2006/relationships/queryTable" Target="../queryTables/queryTable27.xml"/><Relationship Id="rId4" Type="http://schemas.openxmlformats.org/officeDocument/2006/relationships/queryTable" Target="../queryTables/queryTable2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2.xml"/><Relationship Id="rId7" Type="http://schemas.openxmlformats.org/officeDocument/2006/relationships/queryTable" Target="../queryTables/queryTable36.xml"/><Relationship Id="rId2" Type="http://schemas.openxmlformats.org/officeDocument/2006/relationships/queryTable" Target="../queryTables/queryTable31.xml"/><Relationship Id="rId1" Type="http://schemas.openxmlformats.org/officeDocument/2006/relationships/queryTable" Target="../queryTables/queryTable30.xml"/><Relationship Id="rId6" Type="http://schemas.openxmlformats.org/officeDocument/2006/relationships/queryTable" Target="../queryTables/queryTable35.xml"/><Relationship Id="rId5" Type="http://schemas.openxmlformats.org/officeDocument/2006/relationships/queryTable" Target="../queryTables/queryTable34.xml"/><Relationship Id="rId4" Type="http://schemas.openxmlformats.org/officeDocument/2006/relationships/queryTable" Target="../queryTables/queryTable3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9.xml"/><Relationship Id="rId2" Type="http://schemas.openxmlformats.org/officeDocument/2006/relationships/queryTable" Target="../queryTables/queryTable38.xml"/><Relationship Id="rId1" Type="http://schemas.openxmlformats.org/officeDocument/2006/relationships/queryTable" Target="../queryTables/queryTable37.xml"/><Relationship Id="rId6" Type="http://schemas.openxmlformats.org/officeDocument/2006/relationships/queryTable" Target="../queryTables/queryTable42.xml"/><Relationship Id="rId5" Type="http://schemas.openxmlformats.org/officeDocument/2006/relationships/queryTable" Target="../queryTables/queryTable41.xml"/><Relationship Id="rId4" Type="http://schemas.openxmlformats.org/officeDocument/2006/relationships/queryTable" Target="../queryTables/queryTable4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5.xml"/><Relationship Id="rId2" Type="http://schemas.openxmlformats.org/officeDocument/2006/relationships/queryTable" Target="../queryTables/queryTable44.xml"/><Relationship Id="rId1" Type="http://schemas.openxmlformats.org/officeDocument/2006/relationships/queryTable" Target="../queryTables/queryTable43.xml"/><Relationship Id="rId6" Type="http://schemas.openxmlformats.org/officeDocument/2006/relationships/queryTable" Target="../queryTables/queryTable48.xml"/><Relationship Id="rId5" Type="http://schemas.openxmlformats.org/officeDocument/2006/relationships/queryTable" Target="../queryTables/queryTable47.xml"/><Relationship Id="rId4" Type="http://schemas.openxmlformats.org/officeDocument/2006/relationships/queryTable" Target="../queryTables/queryTable4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1.xml"/><Relationship Id="rId2" Type="http://schemas.openxmlformats.org/officeDocument/2006/relationships/queryTable" Target="../queryTables/queryTable50.xml"/><Relationship Id="rId1" Type="http://schemas.openxmlformats.org/officeDocument/2006/relationships/queryTable" Target="../queryTables/queryTable49.xml"/><Relationship Id="rId6" Type="http://schemas.openxmlformats.org/officeDocument/2006/relationships/queryTable" Target="../queryTables/queryTable54.xml"/><Relationship Id="rId5" Type="http://schemas.openxmlformats.org/officeDocument/2006/relationships/queryTable" Target="../queryTables/queryTable53.xml"/><Relationship Id="rId4" Type="http://schemas.openxmlformats.org/officeDocument/2006/relationships/queryTable" Target="../queryTables/queryTable5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7.xml"/><Relationship Id="rId2" Type="http://schemas.openxmlformats.org/officeDocument/2006/relationships/queryTable" Target="../queryTables/queryTable56.xml"/><Relationship Id="rId1" Type="http://schemas.openxmlformats.org/officeDocument/2006/relationships/queryTable" Target="../queryTables/queryTable55.xml"/><Relationship Id="rId6" Type="http://schemas.openxmlformats.org/officeDocument/2006/relationships/queryTable" Target="../queryTables/queryTable60.xml"/><Relationship Id="rId5" Type="http://schemas.openxmlformats.org/officeDocument/2006/relationships/queryTable" Target="../queryTables/queryTable59.xml"/><Relationship Id="rId4" Type="http://schemas.openxmlformats.org/officeDocument/2006/relationships/queryTable" Target="../queryTables/queryTable5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3.xml"/><Relationship Id="rId2" Type="http://schemas.openxmlformats.org/officeDocument/2006/relationships/queryTable" Target="../queryTables/queryTable62.xml"/><Relationship Id="rId1" Type="http://schemas.openxmlformats.org/officeDocument/2006/relationships/queryTable" Target="../queryTables/queryTable61.xml"/><Relationship Id="rId6" Type="http://schemas.openxmlformats.org/officeDocument/2006/relationships/queryTable" Target="../queryTables/queryTable66.xml"/><Relationship Id="rId5" Type="http://schemas.openxmlformats.org/officeDocument/2006/relationships/queryTable" Target="../queryTables/queryTable65.xml"/><Relationship Id="rId4" Type="http://schemas.openxmlformats.org/officeDocument/2006/relationships/queryTable" Target="../queryTables/queryTable6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9.xml"/><Relationship Id="rId2" Type="http://schemas.openxmlformats.org/officeDocument/2006/relationships/queryTable" Target="../queryTables/queryTable68.xml"/><Relationship Id="rId1" Type="http://schemas.openxmlformats.org/officeDocument/2006/relationships/queryTable" Target="../queryTables/queryTable67.xml"/><Relationship Id="rId6" Type="http://schemas.openxmlformats.org/officeDocument/2006/relationships/queryTable" Target="../queryTables/queryTable72.xml"/><Relationship Id="rId5" Type="http://schemas.openxmlformats.org/officeDocument/2006/relationships/queryTable" Target="../queryTables/queryTable71.xml"/><Relationship Id="rId4" Type="http://schemas.openxmlformats.org/officeDocument/2006/relationships/queryTable" Target="../queryTables/queryTable7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5.xml"/><Relationship Id="rId2" Type="http://schemas.openxmlformats.org/officeDocument/2006/relationships/queryTable" Target="../queryTables/queryTable74.xml"/><Relationship Id="rId1" Type="http://schemas.openxmlformats.org/officeDocument/2006/relationships/queryTable" Target="../queryTables/queryTable73.xml"/><Relationship Id="rId6" Type="http://schemas.openxmlformats.org/officeDocument/2006/relationships/queryTable" Target="../queryTables/queryTable78.xml"/><Relationship Id="rId5" Type="http://schemas.openxmlformats.org/officeDocument/2006/relationships/queryTable" Target="../queryTables/queryTable77.xml"/><Relationship Id="rId4" Type="http://schemas.openxmlformats.org/officeDocument/2006/relationships/queryTable" Target="../queryTables/queryTable7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1.xml"/><Relationship Id="rId7" Type="http://schemas.openxmlformats.org/officeDocument/2006/relationships/queryTable" Target="../queryTables/queryTable85.xml"/><Relationship Id="rId2" Type="http://schemas.openxmlformats.org/officeDocument/2006/relationships/queryTable" Target="../queryTables/queryTable80.xml"/><Relationship Id="rId1" Type="http://schemas.openxmlformats.org/officeDocument/2006/relationships/queryTable" Target="../queryTables/queryTable79.xml"/><Relationship Id="rId6" Type="http://schemas.openxmlformats.org/officeDocument/2006/relationships/queryTable" Target="../queryTables/queryTable84.xml"/><Relationship Id="rId5" Type="http://schemas.openxmlformats.org/officeDocument/2006/relationships/queryTable" Target="../queryTables/queryTable83.xml"/><Relationship Id="rId4" Type="http://schemas.openxmlformats.org/officeDocument/2006/relationships/queryTable" Target="../queryTables/queryTable8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2"/>
  <sheetViews>
    <sheetView topLeftCell="A106" workbookViewId="0">
      <selection activeCell="B95" sqref="B95:H99"/>
    </sheetView>
  </sheetViews>
  <sheetFormatPr defaultRowHeight="14.4"/>
  <cols>
    <col min="1" max="1" width="24.109375" customWidth="1"/>
    <col min="2" max="8" width="12.6640625" customWidth="1"/>
    <col min="9" max="9" width="10.6640625" customWidth="1"/>
  </cols>
  <sheetData>
    <row r="1" spans="1:9">
      <c r="A1" t="s">
        <v>18</v>
      </c>
      <c r="B1" t="s">
        <v>22</v>
      </c>
    </row>
    <row r="2" spans="1:9">
      <c r="A2" t="s">
        <v>14</v>
      </c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</row>
    <row r="3" spans="1:9">
      <c r="A3" t="s">
        <v>7</v>
      </c>
    </row>
    <row r="4" spans="1:9">
      <c r="A4" t="s">
        <v>8</v>
      </c>
      <c r="B4">
        <v>8049</v>
      </c>
      <c r="C4">
        <v>27971</v>
      </c>
      <c r="D4">
        <v>46769</v>
      </c>
      <c r="E4">
        <v>87196</v>
      </c>
      <c r="F4">
        <v>89045</v>
      </c>
      <c r="G4">
        <v>117578</v>
      </c>
      <c r="H4">
        <v>117687</v>
      </c>
    </row>
    <row r="5" spans="1:9">
      <c r="A5" t="s">
        <v>9</v>
      </c>
      <c r="B5">
        <v>5959</v>
      </c>
      <c r="C5">
        <v>24445</v>
      </c>
      <c r="D5">
        <v>40810</v>
      </c>
      <c r="E5">
        <v>70983</v>
      </c>
      <c r="F5">
        <v>92041</v>
      </c>
      <c r="G5">
        <v>130292</v>
      </c>
      <c r="H5">
        <v>122351</v>
      </c>
    </row>
    <row r="6" spans="1:9">
      <c r="A6" t="s">
        <v>10</v>
      </c>
      <c r="B6">
        <v>5928</v>
      </c>
      <c r="C6">
        <v>24133</v>
      </c>
      <c r="D6">
        <v>40592</v>
      </c>
      <c r="E6">
        <v>70250</v>
      </c>
      <c r="F6">
        <v>79171</v>
      </c>
      <c r="G6">
        <v>123678</v>
      </c>
      <c r="H6">
        <v>107781</v>
      </c>
    </row>
    <row r="7" spans="1:9">
      <c r="A7" t="s">
        <v>11</v>
      </c>
      <c r="B7">
        <v>5959</v>
      </c>
      <c r="C7">
        <v>24195</v>
      </c>
      <c r="D7">
        <v>40607</v>
      </c>
      <c r="E7">
        <v>70435</v>
      </c>
      <c r="F7">
        <v>77923</v>
      </c>
      <c r="G7">
        <v>130588</v>
      </c>
      <c r="H7">
        <v>105316</v>
      </c>
    </row>
    <row r="8" spans="1:9">
      <c r="A8" t="s">
        <v>12</v>
      </c>
      <c r="B8">
        <v>5975</v>
      </c>
      <c r="C8">
        <v>24523</v>
      </c>
      <c r="D8">
        <v>41028</v>
      </c>
      <c r="E8">
        <v>70576</v>
      </c>
      <c r="F8">
        <v>77299</v>
      </c>
      <c r="G8">
        <v>117578</v>
      </c>
      <c r="H8">
        <v>103116</v>
      </c>
    </row>
    <row r="9" spans="1:9">
      <c r="A9" t="s">
        <v>13</v>
      </c>
      <c r="B9">
        <f>(SUM(B4:B8) -MAX(B4:B8) -MIN(B4:B8))/((COUNT(B4:B8)-2)*1000)</f>
        <v>5.9643333333333333</v>
      </c>
      <c r="C9">
        <f t="shared" ref="C9:H9" si="0">(SUM(C4:C8) -MAX(C4:C8) -MIN(C4:C8))/((COUNT(C4:C8)-2)*1000)</f>
        <v>24.387666666666668</v>
      </c>
      <c r="D9">
        <f t="shared" si="0"/>
        <v>40.814999999999998</v>
      </c>
      <c r="E9">
        <f t="shared" si="0"/>
        <v>70.664666666666662</v>
      </c>
      <c r="F9">
        <f t="shared" si="0"/>
        <v>82.046333333333337</v>
      </c>
      <c r="G9">
        <f t="shared" si="0"/>
        <v>123.84933333333333</v>
      </c>
      <c r="H9">
        <f t="shared" si="0"/>
        <v>110.26133333333334</v>
      </c>
      <c r="I9" t="s">
        <v>17</v>
      </c>
    </row>
    <row r="10" spans="1:9">
      <c r="A10" t="s">
        <v>15</v>
      </c>
      <c r="B10">
        <f>STDEV(B4:B8)/1000</f>
        <v>0.93650840893181519</v>
      </c>
      <c r="C10">
        <f t="shared" ref="C10:G10" si="1">STDEV(C4:C8)/1000</f>
        <v>1.6391957784230511</v>
      </c>
      <c r="D10">
        <f t="shared" si="1"/>
        <v>2.693493586404061</v>
      </c>
      <c r="E10">
        <f t="shared" si="1"/>
        <v>7.4442844854290735</v>
      </c>
      <c r="F10">
        <f t="shared" si="1"/>
        <v>6.9132913434919523</v>
      </c>
      <c r="G10">
        <f t="shared" si="1"/>
        <v>6.4335546317724512</v>
      </c>
      <c r="H10">
        <f>STDEV(H4:H8)/1000</f>
        <v>8.3377971131468982</v>
      </c>
    </row>
    <row r="11" spans="1:9">
      <c r="A11" t="s">
        <v>16</v>
      </c>
      <c r="B11">
        <f>CONFIDENCE(0.05,B10,5)</f>
        <v>0.82087072986824683</v>
      </c>
      <c r="C11">
        <f t="shared" ref="C11:G11" si="2">CONFIDENCE(0.05,C10,5)</f>
        <v>1.4367920482057799</v>
      </c>
      <c r="D11">
        <f t="shared" si="2"/>
        <v>2.3609078413816156</v>
      </c>
      <c r="E11">
        <f t="shared" si="2"/>
        <v>6.5250831499431214</v>
      </c>
      <c r="F11">
        <f t="shared" si="2"/>
        <v>6.0596556921436546</v>
      </c>
      <c r="G11">
        <f t="shared" si="2"/>
        <v>5.639155650779422</v>
      </c>
      <c r="H11">
        <f>CONFIDENCE(0.05,H10,5)</f>
        <v>7.3082671084276063</v>
      </c>
    </row>
    <row r="13" spans="1:9">
      <c r="A13" t="s">
        <v>1</v>
      </c>
    </row>
    <row r="14" spans="1:9">
      <c r="A14" t="s">
        <v>8</v>
      </c>
      <c r="B14">
        <v>7691</v>
      </c>
      <c r="C14">
        <v>16411</v>
      </c>
      <c r="D14">
        <v>27581</v>
      </c>
      <c r="E14">
        <v>39936</v>
      </c>
      <c r="F14">
        <v>45708</v>
      </c>
      <c r="G14">
        <v>59545</v>
      </c>
      <c r="H14">
        <v>62806</v>
      </c>
    </row>
    <row r="15" spans="1:9">
      <c r="A15" t="s">
        <v>9</v>
      </c>
      <c r="B15">
        <v>858</v>
      </c>
      <c r="C15">
        <v>1576</v>
      </c>
      <c r="D15">
        <v>3869</v>
      </c>
      <c r="E15">
        <v>4649</v>
      </c>
      <c r="F15">
        <v>6708</v>
      </c>
      <c r="G15">
        <v>10827</v>
      </c>
      <c r="H15">
        <v>8658</v>
      </c>
    </row>
    <row r="16" spans="1:9">
      <c r="A16" t="s">
        <v>10</v>
      </c>
      <c r="B16">
        <v>874</v>
      </c>
      <c r="C16">
        <v>1498</v>
      </c>
      <c r="D16">
        <v>3479</v>
      </c>
      <c r="E16">
        <v>4789</v>
      </c>
      <c r="F16">
        <v>6661</v>
      </c>
      <c r="G16">
        <v>12979</v>
      </c>
      <c r="H16">
        <v>8690</v>
      </c>
    </row>
    <row r="17" spans="1:9">
      <c r="A17" t="s">
        <v>11</v>
      </c>
      <c r="B17">
        <v>843</v>
      </c>
      <c r="C17">
        <v>1544</v>
      </c>
      <c r="D17">
        <v>3573</v>
      </c>
      <c r="E17">
        <v>4836</v>
      </c>
      <c r="F17">
        <v>6661</v>
      </c>
      <c r="G17">
        <v>10655</v>
      </c>
      <c r="H17">
        <v>10078</v>
      </c>
    </row>
    <row r="18" spans="1:9">
      <c r="A18" t="s">
        <v>12</v>
      </c>
      <c r="B18">
        <v>858</v>
      </c>
      <c r="C18">
        <v>1560</v>
      </c>
      <c r="D18">
        <v>3323</v>
      </c>
      <c r="E18">
        <v>4914</v>
      </c>
      <c r="F18">
        <v>6677</v>
      </c>
      <c r="G18">
        <v>11325</v>
      </c>
      <c r="H18">
        <v>10577</v>
      </c>
    </row>
    <row r="19" spans="1:9">
      <c r="A19" t="s">
        <v>13</v>
      </c>
      <c r="B19">
        <f t="shared" ref="B19:H19" si="3">(SUM(B14:B18) -MAX(B14:B18) -MIN(B14:B18))/((COUNT(B14:B18)-2)*1000)</f>
        <v>0.86333333333333329</v>
      </c>
      <c r="C19">
        <f t="shared" si="3"/>
        <v>1.56</v>
      </c>
      <c r="D19">
        <f t="shared" si="3"/>
        <v>3.6403333333333334</v>
      </c>
      <c r="E19">
        <f t="shared" si="3"/>
        <v>4.8463333333333329</v>
      </c>
      <c r="F19">
        <f t="shared" si="3"/>
        <v>6.6820000000000004</v>
      </c>
      <c r="G19">
        <f t="shared" si="3"/>
        <v>11.710333333333333</v>
      </c>
      <c r="H19">
        <f t="shared" si="3"/>
        <v>9.7816666666666663</v>
      </c>
      <c r="I19" t="s">
        <v>17</v>
      </c>
    </row>
    <row r="20" spans="1:9">
      <c r="A20" t="s">
        <v>15</v>
      </c>
      <c r="B20">
        <f>STDEV(B14:B18)/1000</f>
        <v>3.0557183607132385</v>
      </c>
      <c r="C20">
        <f t="shared" ref="C20:G20" si="4">STDEV(C14:C18)/1000</f>
        <v>6.6485647473721725</v>
      </c>
      <c r="D20">
        <f t="shared" si="4"/>
        <v>10.743913346634921</v>
      </c>
      <c r="E20">
        <f t="shared" si="4"/>
        <v>15.714934256941707</v>
      </c>
      <c r="F20">
        <f t="shared" si="4"/>
        <v>17.455316195932973</v>
      </c>
      <c r="G20">
        <f t="shared" si="4"/>
        <v>21.529898587777883</v>
      </c>
      <c r="H20">
        <f>STDEV(H14:H18)/1000</f>
        <v>23.853819488710819</v>
      </c>
    </row>
    <row r="21" spans="1:9">
      <c r="A21" t="s">
        <v>16</v>
      </c>
      <c r="B21">
        <f>CONFIDENCE(0.05,B20,5)</f>
        <v>2.6784060208188749</v>
      </c>
      <c r="C21">
        <f t="shared" ref="C21" si="5">CONFIDENCE(0.05,C20,5)</f>
        <v>5.827616863554554</v>
      </c>
      <c r="D21">
        <f t="shared" ref="D21" si="6">CONFIDENCE(0.05,D20,5)</f>
        <v>9.4172822223270831</v>
      </c>
      <c r="E21">
        <f t="shared" ref="E21" si="7">CONFIDENCE(0.05,E20,5)</f>
        <v>13.774494099888498</v>
      </c>
      <c r="F21">
        <f t="shared" ref="F21" si="8">CONFIDENCE(0.05,F20,5)</f>
        <v>15.29997809862672</v>
      </c>
      <c r="G21">
        <f t="shared" ref="G21" si="9">CONFIDENCE(0.05,G20,5)</f>
        <v>18.871441408515224</v>
      </c>
      <c r="H21">
        <f>CONFIDENCE(0.05,H20,5)</f>
        <v>20.908410460699979</v>
      </c>
    </row>
    <row r="23" spans="1:9">
      <c r="A23" t="s">
        <v>2</v>
      </c>
    </row>
    <row r="24" spans="1:9">
      <c r="A24" t="s">
        <v>8</v>
      </c>
      <c r="B24">
        <v>1202</v>
      </c>
      <c r="C24">
        <v>2184</v>
      </c>
      <c r="D24">
        <v>4477</v>
      </c>
      <c r="E24">
        <v>6365</v>
      </c>
      <c r="F24">
        <v>9142</v>
      </c>
      <c r="G24">
        <v>13759</v>
      </c>
      <c r="H24">
        <v>14976</v>
      </c>
    </row>
    <row r="25" spans="1:9">
      <c r="A25" t="s">
        <v>9</v>
      </c>
      <c r="B25">
        <v>1155</v>
      </c>
      <c r="C25">
        <v>1997</v>
      </c>
      <c r="D25">
        <v>4149</v>
      </c>
      <c r="E25">
        <v>5897</v>
      </c>
      <c r="F25">
        <v>8767</v>
      </c>
      <c r="G25">
        <v>13572</v>
      </c>
      <c r="H25">
        <v>13494</v>
      </c>
    </row>
    <row r="26" spans="1:9">
      <c r="A26" t="s">
        <v>10</v>
      </c>
      <c r="B26">
        <v>1155</v>
      </c>
      <c r="C26">
        <v>1904</v>
      </c>
      <c r="D26">
        <v>4352</v>
      </c>
      <c r="E26">
        <v>5366</v>
      </c>
      <c r="F26">
        <v>8097</v>
      </c>
      <c r="G26">
        <v>13431</v>
      </c>
      <c r="H26">
        <v>14540</v>
      </c>
    </row>
    <row r="27" spans="1:9">
      <c r="A27" t="s">
        <v>11</v>
      </c>
      <c r="B27">
        <v>1154</v>
      </c>
      <c r="C27">
        <v>1778</v>
      </c>
      <c r="D27">
        <v>3822</v>
      </c>
      <c r="E27">
        <v>5991</v>
      </c>
      <c r="F27">
        <v>8190</v>
      </c>
      <c r="G27">
        <v>13244</v>
      </c>
      <c r="H27">
        <v>14118</v>
      </c>
    </row>
    <row r="28" spans="1:9">
      <c r="A28" t="s">
        <v>12</v>
      </c>
      <c r="B28">
        <v>1139</v>
      </c>
      <c r="C28">
        <v>1794</v>
      </c>
      <c r="D28">
        <v>4883</v>
      </c>
      <c r="E28">
        <v>5210</v>
      </c>
      <c r="F28">
        <v>8003</v>
      </c>
      <c r="G28">
        <v>13775</v>
      </c>
      <c r="H28">
        <v>11638</v>
      </c>
    </row>
    <row r="29" spans="1:9">
      <c r="A29" t="s">
        <v>13</v>
      </c>
      <c r="B29">
        <f t="shared" ref="B29:H29" si="10">(SUM(B24:B28) -MAX(B24:B28) -MIN(B24:B28))/((COUNT(B24:B28)-2)*1000)</f>
        <v>1.1546666666666667</v>
      </c>
      <c r="C29">
        <f t="shared" si="10"/>
        <v>1.8983333333333334</v>
      </c>
      <c r="D29">
        <f t="shared" si="10"/>
        <v>4.3259999999999996</v>
      </c>
      <c r="E29">
        <f t="shared" si="10"/>
        <v>5.7513333333333332</v>
      </c>
      <c r="F29">
        <f t="shared" si="10"/>
        <v>8.3513333333333328</v>
      </c>
      <c r="G29">
        <f t="shared" si="10"/>
        <v>13.587333333333333</v>
      </c>
      <c r="H29">
        <f t="shared" si="10"/>
        <v>14.050666666666666</v>
      </c>
      <c r="I29" t="s">
        <v>17</v>
      </c>
    </row>
    <row r="30" spans="1:9">
      <c r="A30" t="s">
        <v>15</v>
      </c>
      <c r="B30">
        <f>STDEV(B24:B28)/1000</f>
        <v>2.3906066175763841E-2</v>
      </c>
      <c r="C30">
        <f t="shared" ref="C30:G30" si="11">STDEV(C24:C28)/1000</f>
        <v>0.16678669011644728</v>
      </c>
      <c r="D30">
        <f t="shared" si="11"/>
        <v>0.3932267793525776</v>
      </c>
      <c r="E30">
        <f t="shared" si="11"/>
        <v>0.4732131654973295</v>
      </c>
      <c r="F30">
        <f t="shared" si="11"/>
        <v>0.49265880688363112</v>
      </c>
      <c r="G30">
        <f t="shared" si="11"/>
        <v>0.22494154796299431</v>
      </c>
      <c r="H30">
        <f>STDEV(H24:H28)/1000</f>
        <v>1.302749860871222</v>
      </c>
    </row>
    <row r="31" spans="1:9">
      <c r="A31" t="s">
        <v>16</v>
      </c>
      <c r="B31">
        <f>CONFIDENCE(0.05,B30,5)</f>
        <v>2.0954205859572403E-2</v>
      </c>
      <c r="C31">
        <f t="shared" ref="C31" si="12">CONFIDENCE(0.05,C30,5)</f>
        <v>0.1461922933552274</v>
      </c>
      <c r="D31">
        <f t="shared" ref="D31" si="13">CONFIDENCE(0.05,D30,5)</f>
        <v>0.34467213566086818</v>
      </c>
      <c r="E31">
        <f t="shared" ref="E31" si="14">CONFIDENCE(0.05,E30,5)</f>
        <v>0.41478200605600557</v>
      </c>
      <c r="F31">
        <f t="shared" ref="F31" si="15">CONFIDENCE(0.05,F30,5)</f>
        <v>0.4318265490470678</v>
      </c>
      <c r="G31">
        <f t="shared" ref="G31" si="16">CONFIDENCE(0.05,G30,5)</f>
        <v>0.19716633710175274</v>
      </c>
      <c r="H31">
        <f>CONFIDENCE(0.05,H30,5)</f>
        <v>1.1418896177866316</v>
      </c>
    </row>
    <row r="33" spans="1:9">
      <c r="A33" t="s">
        <v>3</v>
      </c>
    </row>
    <row r="34" spans="1:9">
      <c r="A34" t="s">
        <v>8</v>
      </c>
      <c r="B34">
        <v>2278</v>
      </c>
      <c r="C34">
        <v>2808</v>
      </c>
      <c r="D34">
        <v>5257</v>
      </c>
      <c r="E34">
        <v>8378</v>
      </c>
      <c r="F34">
        <v>15038</v>
      </c>
      <c r="G34">
        <v>20592</v>
      </c>
      <c r="H34">
        <v>17207</v>
      </c>
    </row>
    <row r="35" spans="1:9">
      <c r="A35" t="s">
        <v>9</v>
      </c>
      <c r="B35">
        <v>2402</v>
      </c>
      <c r="C35">
        <v>2917</v>
      </c>
      <c r="D35">
        <v>5367</v>
      </c>
      <c r="E35">
        <v>13354</v>
      </c>
      <c r="F35">
        <v>16333</v>
      </c>
      <c r="G35">
        <v>26770</v>
      </c>
      <c r="H35">
        <v>20343</v>
      </c>
    </row>
    <row r="36" spans="1:9">
      <c r="A36" t="s">
        <v>10</v>
      </c>
      <c r="B36">
        <v>2403</v>
      </c>
      <c r="C36">
        <v>2886</v>
      </c>
      <c r="D36">
        <v>5491</v>
      </c>
      <c r="E36">
        <v>12012</v>
      </c>
      <c r="F36">
        <v>16863</v>
      </c>
      <c r="G36">
        <v>25226</v>
      </c>
      <c r="H36">
        <v>17846</v>
      </c>
    </row>
    <row r="37" spans="1:9">
      <c r="A37" t="s">
        <v>11</v>
      </c>
      <c r="B37">
        <v>2402</v>
      </c>
      <c r="C37">
        <v>2886</v>
      </c>
      <c r="D37">
        <v>5522</v>
      </c>
      <c r="E37">
        <v>13010</v>
      </c>
      <c r="F37">
        <v>16832</v>
      </c>
      <c r="G37">
        <v>23853</v>
      </c>
      <c r="H37">
        <v>19017</v>
      </c>
    </row>
    <row r="38" spans="1:9">
      <c r="A38" t="s">
        <v>12</v>
      </c>
      <c r="B38">
        <v>2387</v>
      </c>
      <c r="C38">
        <v>3026</v>
      </c>
      <c r="D38">
        <v>5476</v>
      </c>
      <c r="E38">
        <v>11607</v>
      </c>
      <c r="F38">
        <v>18253</v>
      </c>
      <c r="G38">
        <v>25599</v>
      </c>
      <c r="H38">
        <v>20499</v>
      </c>
    </row>
    <row r="39" spans="1:9">
      <c r="A39" t="s">
        <v>13</v>
      </c>
      <c r="B39">
        <f t="shared" ref="B39:H39" si="17">(SUM(B34:B38) -MAX(B34:B38) -MIN(B34:B38))/((COUNT(B34:B38)-2)*1000)</f>
        <v>2.3969999999999998</v>
      </c>
      <c r="C39">
        <f t="shared" si="17"/>
        <v>2.8963333333333332</v>
      </c>
      <c r="D39">
        <f t="shared" si="17"/>
        <v>5.4446666666666665</v>
      </c>
      <c r="E39">
        <f t="shared" si="17"/>
        <v>12.209666666666667</v>
      </c>
      <c r="F39">
        <f t="shared" si="17"/>
        <v>16.675999999999998</v>
      </c>
      <c r="G39">
        <f t="shared" si="17"/>
        <v>24.892666666666667</v>
      </c>
      <c r="H39">
        <f t="shared" si="17"/>
        <v>19.068666666666665</v>
      </c>
      <c r="I39" t="s">
        <v>17</v>
      </c>
    </row>
    <row r="40" spans="1:9">
      <c r="A40" t="s">
        <v>15</v>
      </c>
      <c r="B40">
        <f>STDEV(B34:B38)/1000</f>
        <v>5.4298250432217553E-2</v>
      </c>
      <c r="C40">
        <f t="shared" ref="C40:G40" si="18">STDEV(C34:C38)/1000</f>
        <v>7.8922747037851806E-2</v>
      </c>
      <c r="D40">
        <f t="shared" si="18"/>
        <v>0.10945912479093289</v>
      </c>
      <c r="E40">
        <f t="shared" si="18"/>
        <v>1.9741851990124908</v>
      </c>
      <c r="F40">
        <f t="shared" si="18"/>
        <v>1.1560906971340907</v>
      </c>
      <c r="G40">
        <f t="shared" si="18"/>
        <v>2.3736327643508797</v>
      </c>
      <c r="H40">
        <f>STDEV(H34:H38)/1000</f>
        <v>1.4659429729699625</v>
      </c>
    </row>
    <row r="41" spans="1:9">
      <c r="A41" t="s">
        <v>16</v>
      </c>
      <c r="B41">
        <f>CONFIDENCE(0.05,B40,5)</f>
        <v>4.7593640417710789E-2</v>
      </c>
      <c r="C41">
        <f t="shared" ref="C41" si="19">CONFIDENCE(0.05,C40,5)</f>
        <v>6.9177566742900737E-2</v>
      </c>
      <c r="D41">
        <f t="shared" ref="D41" si="20">CONFIDENCE(0.05,D40,5)</f>
        <v>9.5943390151037575E-2</v>
      </c>
      <c r="E41">
        <f t="shared" ref="E41" si="21">CONFIDENCE(0.05,E40,5)</f>
        <v>1.7304178262071126</v>
      </c>
      <c r="F41">
        <f t="shared" ref="F41" si="22">CONFIDENCE(0.05,F40,5)</f>
        <v>1.0133395549889244</v>
      </c>
      <c r="G41">
        <f t="shared" ref="G41" si="23">CONFIDENCE(0.05,G40,5)</f>
        <v>2.0805426210046472</v>
      </c>
      <c r="H41">
        <f>CONFIDENCE(0.05,H40,5)</f>
        <v>1.2849320590080184</v>
      </c>
    </row>
    <row r="43" spans="1:9">
      <c r="A43" t="s">
        <v>4</v>
      </c>
    </row>
    <row r="44" spans="1:9">
      <c r="A44" t="s">
        <v>8</v>
      </c>
      <c r="B44">
        <v>1217</v>
      </c>
      <c r="C44">
        <v>6271</v>
      </c>
      <c r="D44">
        <v>8830</v>
      </c>
      <c r="E44">
        <v>23806</v>
      </c>
      <c r="F44">
        <v>24040</v>
      </c>
      <c r="G44">
        <v>32760</v>
      </c>
      <c r="H44">
        <v>32464</v>
      </c>
    </row>
    <row r="45" spans="1:9">
      <c r="A45" t="s">
        <v>9</v>
      </c>
      <c r="B45">
        <v>1201</v>
      </c>
      <c r="C45">
        <v>5163</v>
      </c>
      <c r="D45">
        <v>8720</v>
      </c>
      <c r="E45">
        <v>21466</v>
      </c>
      <c r="F45">
        <v>22542</v>
      </c>
      <c r="G45">
        <v>32230</v>
      </c>
      <c r="H45">
        <v>33790</v>
      </c>
    </row>
    <row r="46" spans="1:9">
      <c r="A46" t="s">
        <v>10</v>
      </c>
      <c r="B46">
        <v>1170</v>
      </c>
      <c r="C46">
        <v>5195</v>
      </c>
      <c r="D46">
        <v>8705</v>
      </c>
      <c r="E46">
        <v>21372</v>
      </c>
      <c r="F46">
        <v>23931</v>
      </c>
      <c r="G46">
        <v>30826</v>
      </c>
      <c r="H46">
        <v>32761</v>
      </c>
    </row>
    <row r="47" spans="1:9">
      <c r="A47" t="s">
        <v>11</v>
      </c>
      <c r="B47">
        <v>1170</v>
      </c>
      <c r="C47">
        <v>5179</v>
      </c>
      <c r="D47">
        <v>8783</v>
      </c>
      <c r="E47">
        <v>20327</v>
      </c>
      <c r="F47">
        <v>23338</v>
      </c>
      <c r="G47">
        <v>31606</v>
      </c>
      <c r="H47">
        <v>33556</v>
      </c>
    </row>
    <row r="48" spans="1:9">
      <c r="A48" t="s">
        <v>12</v>
      </c>
      <c r="B48">
        <v>1201</v>
      </c>
      <c r="C48">
        <v>5241</v>
      </c>
      <c r="D48">
        <v>8720</v>
      </c>
      <c r="E48">
        <v>13915</v>
      </c>
      <c r="F48">
        <v>26161</v>
      </c>
      <c r="G48">
        <v>31263</v>
      </c>
      <c r="H48">
        <v>64803</v>
      </c>
    </row>
    <row r="49" spans="1:9">
      <c r="A49" t="s">
        <v>13</v>
      </c>
      <c r="B49">
        <f t="shared" ref="B49:H49" si="24">(SUM(B44:B48) -MAX(B44:B48) -MIN(B44:B48))/((COUNT(B44:B48)-2)*1000)</f>
        <v>1.1906666666666668</v>
      </c>
      <c r="C49">
        <f t="shared" si="24"/>
        <v>5.2050000000000001</v>
      </c>
      <c r="D49">
        <f t="shared" si="24"/>
        <v>8.7409999999999997</v>
      </c>
      <c r="E49">
        <f t="shared" si="24"/>
        <v>21.055</v>
      </c>
      <c r="F49">
        <f t="shared" si="24"/>
        <v>23.769666666666666</v>
      </c>
      <c r="G49">
        <f t="shared" si="24"/>
        <v>31.699666666666666</v>
      </c>
      <c r="H49">
        <f t="shared" si="24"/>
        <v>33.369</v>
      </c>
      <c r="I49" t="s">
        <v>17</v>
      </c>
    </row>
    <row r="50" spans="1:9">
      <c r="A50" t="s">
        <v>15</v>
      </c>
      <c r="B50">
        <f>STDEV(B44:B48)/1000</f>
        <v>2.0945166506856742E-2</v>
      </c>
      <c r="C50">
        <f t="shared" ref="C50:G50" si="25">STDEV(C44:C48)/1000</f>
        <v>0.48230612685306307</v>
      </c>
      <c r="D50">
        <f t="shared" si="25"/>
        <v>5.3153551151329671E-2</v>
      </c>
      <c r="E50">
        <f t="shared" si="25"/>
        <v>3.7247258556838769</v>
      </c>
      <c r="F50">
        <f t="shared" si="25"/>
        <v>1.345386673042346</v>
      </c>
      <c r="G50">
        <f t="shared" si="25"/>
        <v>0.7683319595070871</v>
      </c>
      <c r="H50">
        <f>STDEV(H44:H48)/1000</f>
        <v>14.169450296324133</v>
      </c>
    </row>
    <row r="51" spans="1:9">
      <c r="A51" t="s">
        <v>16</v>
      </c>
      <c r="B51">
        <f>CONFIDENCE(0.05,B50,5)</f>
        <v>1.8358910559389596E-2</v>
      </c>
      <c r="C51">
        <f t="shared" ref="C51" si="26">CONFIDENCE(0.05,C50,5)</f>
        <v>0.42275219164489786</v>
      </c>
      <c r="D51">
        <f t="shared" ref="D51" si="27">CONFIDENCE(0.05,D50,5)</f>
        <v>4.6590285695830763E-2</v>
      </c>
      <c r="E51">
        <f t="shared" ref="E51" si="28">CONFIDENCE(0.05,E50,5)</f>
        <v>3.264806169975313</v>
      </c>
      <c r="F51">
        <f t="shared" ref="F51" si="29">CONFIDENCE(0.05,F50,5)</f>
        <v>1.1792617447129519</v>
      </c>
      <c r="G51">
        <f t="shared" ref="G51" si="30">CONFIDENCE(0.05,G50,5)</f>
        <v>0.67346028115333512</v>
      </c>
      <c r="H51">
        <f>CONFIDENCE(0.05,H50,5)</f>
        <v>12.419842572307624</v>
      </c>
    </row>
    <row r="53" spans="1:9">
      <c r="A53" t="s">
        <v>5</v>
      </c>
    </row>
    <row r="54" spans="1:9">
      <c r="A54" t="s">
        <v>8</v>
      </c>
      <c r="B54">
        <v>1529</v>
      </c>
      <c r="C54">
        <v>7223</v>
      </c>
      <c r="D54">
        <v>11856</v>
      </c>
      <c r="E54">
        <v>20093</v>
      </c>
      <c r="F54">
        <v>33477</v>
      </c>
      <c r="G54">
        <v>37565</v>
      </c>
      <c r="H54">
        <v>116923</v>
      </c>
    </row>
    <row r="55" spans="1:9">
      <c r="A55" t="s">
        <v>9</v>
      </c>
      <c r="B55">
        <v>1529</v>
      </c>
      <c r="C55">
        <v>6926</v>
      </c>
      <c r="D55">
        <v>15944</v>
      </c>
      <c r="E55">
        <v>19126</v>
      </c>
      <c r="F55">
        <v>32994</v>
      </c>
      <c r="G55">
        <v>39188</v>
      </c>
      <c r="H55">
        <v>118561</v>
      </c>
    </row>
    <row r="56" spans="1:9">
      <c r="A56" t="s">
        <v>10</v>
      </c>
      <c r="B56">
        <v>1482</v>
      </c>
      <c r="C56">
        <v>6942</v>
      </c>
      <c r="D56">
        <v>11986</v>
      </c>
      <c r="E56">
        <v>19048</v>
      </c>
      <c r="F56">
        <v>33291</v>
      </c>
      <c r="G56">
        <v>39780</v>
      </c>
      <c r="H56">
        <v>81277</v>
      </c>
    </row>
    <row r="57" spans="1:9">
      <c r="A57" t="s">
        <v>11</v>
      </c>
      <c r="B57">
        <v>1513</v>
      </c>
      <c r="C57">
        <v>6926</v>
      </c>
      <c r="D57">
        <v>12034</v>
      </c>
      <c r="E57">
        <v>19048</v>
      </c>
      <c r="F57">
        <v>31465</v>
      </c>
      <c r="G57">
        <v>39561</v>
      </c>
      <c r="H57">
        <v>41418</v>
      </c>
    </row>
    <row r="58" spans="1:9">
      <c r="A58" t="s">
        <v>12</v>
      </c>
      <c r="B58">
        <v>1513</v>
      </c>
      <c r="C58">
        <v>6926</v>
      </c>
      <c r="D58">
        <v>12080</v>
      </c>
      <c r="E58">
        <v>19079</v>
      </c>
      <c r="F58">
        <v>32401</v>
      </c>
      <c r="G58">
        <v>40248</v>
      </c>
      <c r="H58">
        <v>41809</v>
      </c>
    </row>
    <row r="59" spans="1:9">
      <c r="A59" t="s">
        <v>13</v>
      </c>
      <c r="B59">
        <f t="shared" ref="B59:H59" si="31">(SUM(B54:B58) -MAX(B54:B58) -MIN(B54:B58))/((COUNT(B54:B58)-2)*1000)</f>
        <v>1.5183333333333333</v>
      </c>
      <c r="C59">
        <f t="shared" si="31"/>
        <v>6.9313333333333329</v>
      </c>
      <c r="D59">
        <f t="shared" si="31"/>
        <v>12.033333333333333</v>
      </c>
      <c r="E59">
        <f t="shared" si="31"/>
        <v>19.084333333333333</v>
      </c>
      <c r="F59">
        <f t="shared" si="31"/>
        <v>32.895333333333333</v>
      </c>
      <c r="G59">
        <f t="shared" si="31"/>
        <v>39.509666666666668</v>
      </c>
      <c r="H59">
        <f t="shared" si="31"/>
        <v>80.003</v>
      </c>
      <c r="I59" t="s">
        <v>17</v>
      </c>
    </row>
    <row r="60" spans="1:9">
      <c r="A60" t="s">
        <v>15</v>
      </c>
      <c r="B60">
        <f>STDEV(B54:B58)/1000</f>
        <v>1.9188538245530486E-2</v>
      </c>
      <c r="C60">
        <f t="shared" ref="C60:G60" si="32">STDEV(C54:C58)/1000</f>
        <v>0.13121661480162114</v>
      </c>
      <c r="D60">
        <f t="shared" si="32"/>
        <v>1.7707077680972656</v>
      </c>
      <c r="E60">
        <f t="shared" si="32"/>
        <v>0.45626932835770156</v>
      </c>
      <c r="F60">
        <f t="shared" si="32"/>
        <v>0.81406314251411249</v>
      </c>
      <c r="G60">
        <f t="shared" si="32"/>
        <v>1.026523404506664</v>
      </c>
      <c r="H60">
        <f>STDEV(H54:H58)/1000</f>
        <v>38.07562394498612</v>
      </c>
    </row>
    <row r="61" spans="1:9">
      <c r="A61" t="s">
        <v>16</v>
      </c>
      <c r="B61">
        <f>CONFIDENCE(0.05,B60,5)</f>
        <v>1.6819186292923283E-2</v>
      </c>
      <c r="C61">
        <f t="shared" ref="C61" si="33">CONFIDENCE(0.05,C60,5)</f>
        <v>0.11501432057177563</v>
      </c>
      <c r="D61">
        <f t="shared" ref="D61" si="34">CONFIDENCE(0.05,D60,5)</f>
        <v>1.5520652715113037</v>
      </c>
      <c r="E61">
        <f t="shared" ref="E61" si="35">CONFIDENCE(0.05,E60,5)</f>
        <v>0.39993035087926304</v>
      </c>
      <c r="F61">
        <f t="shared" ref="F61" si="36">CONFIDENCE(0.05,F60,5)</f>
        <v>0.71354469386622554</v>
      </c>
      <c r="G61">
        <f t="shared" ref="G61" si="37">CONFIDENCE(0.05,G60,5)</f>
        <v>0.89977090247950298</v>
      </c>
      <c r="H61">
        <f>CONFIDENCE(0.05,H60,5)</f>
        <v>33.374142634297755</v>
      </c>
    </row>
    <row r="63" spans="1:9">
      <c r="A63" t="s">
        <v>6</v>
      </c>
    </row>
    <row r="64" spans="1:9">
      <c r="A64" t="s">
        <v>8</v>
      </c>
      <c r="B64">
        <v>3182</v>
      </c>
      <c r="C64">
        <v>15802</v>
      </c>
      <c r="D64">
        <v>27301</v>
      </c>
      <c r="E64">
        <v>48454</v>
      </c>
      <c r="F64">
        <v>63602</v>
      </c>
      <c r="G64">
        <v>74396</v>
      </c>
      <c r="H64">
        <v>77922</v>
      </c>
    </row>
    <row r="65" spans="1:9">
      <c r="A65" t="s">
        <v>9</v>
      </c>
      <c r="B65">
        <v>3307</v>
      </c>
      <c r="C65">
        <v>16895</v>
      </c>
      <c r="D65">
        <v>33781</v>
      </c>
      <c r="E65">
        <v>55178</v>
      </c>
      <c r="F65">
        <v>69124</v>
      </c>
      <c r="G65">
        <v>79015</v>
      </c>
      <c r="H65">
        <v>85005</v>
      </c>
    </row>
    <row r="66" spans="1:9">
      <c r="A66" t="s">
        <v>10</v>
      </c>
      <c r="B66">
        <v>3323</v>
      </c>
      <c r="C66">
        <v>16692</v>
      </c>
      <c r="D66">
        <v>32765</v>
      </c>
      <c r="E66">
        <v>53228</v>
      </c>
      <c r="F66">
        <v>68984</v>
      </c>
      <c r="G66">
        <v>95145</v>
      </c>
      <c r="H66">
        <v>84521</v>
      </c>
    </row>
    <row r="67" spans="1:9">
      <c r="A67" t="s">
        <v>11</v>
      </c>
      <c r="B67">
        <v>3307</v>
      </c>
      <c r="C67">
        <v>16786</v>
      </c>
      <c r="D67">
        <v>33951</v>
      </c>
      <c r="E67">
        <v>54117</v>
      </c>
      <c r="F67">
        <v>68422</v>
      </c>
      <c r="G67">
        <v>79015</v>
      </c>
      <c r="H67">
        <v>84381</v>
      </c>
    </row>
    <row r="68" spans="1:9">
      <c r="A68" t="s">
        <v>12</v>
      </c>
      <c r="B68">
        <v>3307</v>
      </c>
      <c r="C68">
        <v>16833</v>
      </c>
      <c r="D68">
        <v>26876</v>
      </c>
      <c r="E68">
        <v>55895</v>
      </c>
      <c r="F68">
        <v>69202</v>
      </c>
      <c r="G68">
        <v>227465</v>
      </c>
      <c r="H68">
        <v>85285</v>
      </c>
    </row>
    <row r="69" spans="1:9">
      <c r="A69" t="s">
        <v>13</v>
      </c>
      <c r="B69">
        <f t="shared" ref="B69:H69" si="38">(SUM(B64:B68) -MAX(B64:B68) -MIN(B64:B68))/((COUNT(B64:B68)-2)*1000)</f>
        <v>3.3069999999999999</v>
      </c>
      <c r="C69">
        <f t="shared" si="38"/>
        <v>16.770333333333333</v>
      </c>
      <c r="D69">
        <f t="shared" si="38"/>
        <v>31.282333333333334</v>
      </c>
      <c r="E69">
        <f t="shared" si="38"/>
        <v>54.174333333333337</v>
      </c>
      <c r="F69">
        <f t="shared" si="38"/>
        <v>68.843333333333334</v>
      </c>
      <c r="G69">
        <f t="shared" si="38"/>
        <v>84.391666666666666</v>
      </c>
      <c r="H69">
        <f t="shared" si="38"/>
        <v>84.635666666666665</v>
      </c>
      <c r="I69" t="s">
        <v>17</v>
      </c>
    </row>
    <row r="70" spans="1:9">
      <c r="A70" t="s">
        <v>15</v>
      </c>
      <c r="B70">
        <f>STDEV(B64:B68)/1000</f>
        <v>5.8105077230817398E-2</v>
      </c>
      <c r="C70">
        <f t="shared" ref="C70:G70" si="39">STDEV(C64:C68)/1000</f>
        <v>0.45309082974610282</v>
      </c>
      <c r="D70">
        <f t="shared" si="39"/>
        <v>3.5435260969830669</v>
      </c>
      <c r="E70">
        <f t="shared" si="39"/>
        <v>2.9321332336713812</v>
      </c>
      <c r="F70">
        <f t="shared" si="39"/>
        <v>2.4035501242952706</v>
      </c>
      <c r="G70">
        <f t="shared" si="39"/>
        <v>65.577073464740707</v>
      </c>
      <c r="H70">
        <f>STDEV(H64:H68)/1000</f>
        <v>3.096535838643041</v>
      </c>
    </row>
    <row r="71" spans="1:9">
      <c r="A71" t="s">
        <v>16</v>
      </c>
      <c r="B71">
        <f>CONFIDENCE(0.05,B70,5)</f>
        <v>5.0930409914754546E-2</v>
      </c>
      <c r="C71">
        <f t="shared" ref="C71" si="40">CONFIDENCE(0.05,C70,5)</f>
        <v>0.3971443252010054</v>
      </c>
      <c r="D71">
        <f t="shared" ref="D71" si="41">CONFIDENCE(0.05,D70,5)</f>
        <v>3.1059804971270157</v>
      </c>
      <c r="E71">
        <f t="shared" ref="E71" si="42">CONFIDENCE(0.05,E70,5)</f>
        <v>2.5700808712866667</v>
      </c>
      <c r="F71">
        <f t="shared" ref="F71" si="43">CONFIDENCE(0.05,F70,5)</f>
        <v>2.106765861350449</v>
      </c>
      <c r="G71">
        <f t="shared" ref="G71" si="44">CONFIDENCE(0.05,G70,5)</f>
        <v>57.479783036891654</v>
      </c>
      <c r="H71">
        <f>CONFIDENCE(0.05,H70,5)</f>
        <v>2.7141834602738335</v>
      </c>
    </row>
    <row r="73" spans="1:9">
      <c r="A73" s="1" t="s">
        <v>33</v>
      </c>
    </row>
    <row r="74" spans="1:9">
      <c r="A74" t="s">
        <v>27</v>
      </c>
    </row>
    <row r="75" spans="1:9">
      <c r="A75" t="s">
        <v>8</v>
      </c>
    </row>
    <row r="76" spans="1:9">
      <c r="A76" t="s">
        <v>9</v>
      </c>
    </row>
    <row r="77" spans="1:9">
      <c r="A77" t="s">
        <v>10</v>
      </c>
    </row>
    <row r="78" spans="1:9">
      <c r="A78" t="s">
        <v>11</v>
      </c>
    </row>
    <row r="79" spans="1:9">
      <c r="A79" t="s">
        <v>12</v>
      </c>
    </row>
    <row r="80" spans="1:9">
      <c r="A80" t="s">
        <v>13</v>
      </c>
      <c r="B80">
        <f t="shared" ref="B80:H80" si="45">(SUM(B75:B79) -MAX(B75:B79) -MIN(B75:B79))/((COUNT(B75:B79)-2)*1000)</f>
        <v>0</v>
      </c>
      <c r="C80">
        <f t="shared" si="45"/>
        <v>0</v>
      </c>
      <c r="D80">
        <f t="shared" si="45"/>
        <v>0</v>
      </c>
      <c r="E80">
        <f t="shared" si="45"/>
        <v>0</v>
      </c>
      <c r="F80">
        <f t="shared" si="45"/>
        <v>0</v>
      </c>
      <c r="G80">
        <f t="shared" si="45"/>
        <v>0</v>
      </c>
      <c r="H80">
        <f t="shared" si="45"/>
        <v>0</v>
      </c>
    </row>
    <row r="81" spans="1:8">
      <c r="A81" t="s">
        <v>15</v>
      </c>
      <c r="B81" t="e">
        <f>STDEV(B75:B79)/1000</f>
        <v>#DIV/0!</v>
      </c>
      <c r="C81" t="e">
        <f t="shared" ref="C81:H81" si="46">STDEV(C75:C79)/1000</f>
        <v>#DIV/0!</v>
      </c>
      <c r="D81" t="e">
        <f t="shared" si="46"/>
        <v>#DIV/0!</v>
      </c>
      <c r="E81" t="e">
        <f t="shared" si="46"/>
        <v>#DIV/0!</v>
      </c>
      <c r="F81" t="e">
        <f t="shared" si="46"/>
        <v>#DIV/0!</v>
      </c>
      <c r="G81" t="e">
        <f t="shared" si="46"/>
        <v>#DIV/0!</v>
      </c>
      <c r="H81" t="e">
        <f t="shared" si="46"/>
        <v>#DIV/0!</v>
      </c>
    </row>
    <row r="82" spans="1:8">
      <c r="A82" t="s">
        <v>16</v>
      </c>
      <c r="B82" t="e">
        <f>CONFIDENCE(0.05,B81,5)</f>
        <v>#DIV/0!</v>
      </c>
      <c r="C82" t="e">
        <f t="shared" ref="C82:H82" si="47">CONFIDENCE(0.05,C81,5)</f>
        <v>#DIV/0!</v>
      </c>
      <c r="D82" t="e">
        <f t="shared" si="47"/>
        <v>#DIV/0!</v>
      </c>
      <c r="E82" t="e">
        <f t="shared" si="47"/>
        <v>#DIV/0!</v>
      </c>
      <c r="F82" t="e">
        <f t="shared" si="47"/>
        <v>#DIV/0!</v>
      </c>
      <c r="G82" t="e">
        <f t="shared" si="47"/>
        <v>#DIV/0!</v>
      </c>
      <c r="H82" t="e">
        <f t="shared" si="47"/>
        <v>#DIV/0!</v>
      </c>
    </row>
    <row r="84" spans="1:8">
      <c r="A84" t="s">
        <v>28</v>
      </c>
    </row>
    <row r="85" spans="1:8">
      <c r="A85" t="s">
        <v>8</v>
      </c>
    </row>
    <row r="86" spans="1:8">
      <c r="A86" t="s">
        <v>9</v>
      </c>
    </row>
    <row r="87" spans="1:8">
      <c r="A87" t="s">
        <v>10</v>
      </c>
    </row>
    <row r="88" spans="1:8">
      <c r="A88" t="s">
        <v>11</v>
      </c>
    </row>
    <row r="89" spans="1:8">
      <c r="A89" t="s">
        <v>12</v>
      </c>
    </row>
    <row r="90" spans="1:8">
      <c r="A90" t="s">
        <v>13</v>
      </c>
      <c r="B90">
        <f>(SUM(B85:B89) -MAX(B85:B89) -MIN(B85:B89))/((COUNT(B85:B89)-2)*1000)</f>
        <v>0</v>
      </c>
      <c r="C90">
        <f t="shared" ref="C90:H90" si="48">(SUM(C85:C89) -MAX(C85:C89) -MIN(C85:C89))/((COUNT(C85:C89)-2)*1000)</f>
        <v>0</v>
      </c>
      <c r="D90">
        <f t="shared" si="48"/>
        <v>0</v>
      </c>
      <c r="E90">
        <f t="shared" si="48"/>
        <v>0</v>
      </c>
      <c r="F90">
        <f t="shared" si="48"/>
        <v>0</v>
      </c>
      <c r="G90">
        <f t="shared" si="48"/>
        <v>0</v>
      </c>
      <c r="H90">
        <f t="shared" si="48"/>
        <v>0</v>
      </c>
    </row>
    <row r="91" spans="1:8">
      <c r="A91" t="s">
        <v>15</v>
      </c>
      <c r="B91" t="e">
        <f>STDEV(B85:B89)/1000</f>
        <v>#DIV/0!</v>
      </c>
      <c r="C91" t="e">
        <f t="shared" ref="C91:H91" si="49">STDEV(C85:C89)/1000</f>
        <v>#DIV/0!</v>
      </c>
      <c r="D91" t="e">
        <f t="shared" si="49"/>
        <v>#DIV/0!</v>
      </c>
      <c r="E91" t="e">
        <f t="shared" si="49"/>
        <v>#DIV/0!</v>
      </c>
      <c r="F91" t="e">
        <f t="shared" si="49"/>
        <v>#DIV/0!</v>
      </c>
      <c r="G91" t="e">
        <f t="shared" si="49"/>
        <v>#DIV/0!</v>
      </c>
      <c r="H91" t="e">
        <f t="shared" si="49"/>
        <v>#DIV/0!</v>
      </c>
    </row>
    <row r="92" spans="1:8">
      <c r="A92" t="s">
        <v>16</v>
      </c>
      <c r="B92" t="e">
        <f>CONFIDENCE(0.05,B91,5)</f>
        <v>#DIV/0!</v>
      </c>
      <c r="C92" t="e">
        <f t="shared" ref="C92" si="50">CONFIDENCE(0.05,C91,5)</f>
        <v>#DIV/0!</v>
      </c>
      <c r="D92" t="e">
        <f t="shared" ref="D92" si="51">CONFIDENCE(0.05,D91,5)</f>
        <v>#DIV/0!</v>
      </c>
      <c r="E92" t="e">
        <f t="shared" ref="E92" si="52">CONFIDENCE(0.05,E91,5)</f>
        <v>#DIV/0!</v>
      </c>
      <c r="F92" t="e">
        <f t="shared" ref="F92" si="53">CONFIDENCE(0.05,F91,5)</f>
        <v>#DIV/0!</v>
      </c>
      <c r="G92" t="e">
        <f t="shared" ref="G92" si="54">CONFIDENCE(0.05,G91,5)</f>
        <v>#DIV/0!</v>
      </c>
      <c r="H92" t="e">
        <f t="shared" ref="H92" si="55">CONFIDENCE(0.05,H91,5)</f>
        <v>#DIV/0!</v>
      </c>
    </row>
    <row r="94" spans="1:8">
      <c r="A94" t="s">
        <v>29</v>
      </c>
    </row>
    <row r="95" spans="1:8">
      <c r="A95" t="s">
        <v>8</v>
      </c>
    </row>
    <row r="96" spans="1:8">
      <c r="A96" t="s">
        <v>9</v>
      </c>
    </row>
    <row r="97" spans="1:8">
      <c r="A97" t="s">
        <v>10</v>
      </c>
    </row>
    <row r="98" spans="1:8">
      <c r="A98" t="s">
        <v>11</v>
      </c>
    </row>
    <row r="99" spans="1:8">
      <c r="A99" t="s">
        <v>12</v>
      </c>
    </row>
    <row r="100" spans="1:8">
      <c r="A100" t="s">
        <v>13</v>
      </c>
      <c r="B100">
        <f t="shared" ref="B100:H100" si="56">(SUM(B95:B99) -MAX(B95:B99) -MIN(B95:B99))/((COUNT(B95:B99)-2)*1000)</f>
        <v>0</v>
      </c>
      <c r="C100">
        <f t="shared" si="56"/>
        <v>0</v>
      </c>
      <c r="D100">
        <f t="shared" si="56"/>
        <v>0</v>
      </c>
      <c r="E100">
        <f t="shared" si="56"/>
        <v>0</v>
      </c>
      <c r="F100">
        <f t="shared" si="56"/>
        <v>0</v>
      </c>
      <c r="G100">
        <f t="shared" si="56"/>
        <v>0</v>
      </c>
      <c r="H100">
        <f t="shared" si="56"/>
        <v>0</v>
      </c>
    </row>
    <row r="101" spans="1:8">
      <c r="A101" t="s">
        <v>15</v>
      </c>
      <c r="B101" t="e">
        <f>STDEV(B95:B99)/1000</f>
        <v>#DIV/0!</v>
      </c>
      <c r="C101" t="e">
        <f t="shared" ref="C101:H101" si="57">STDEV(C95:C99)/1000</f>
        <v>#DIV/0!</v>
      </c>
      <c r="D101" t="e">
        <f t="shared" si="57"/>
        <v>#DIV/0!</v>
      </c>
      <c r="E101" t="e">
        <f t="shared" si="57"/>
        <v>#DIV/0!</v>
      </c>
      <c r="F101" t="e">
        <f t="shared" si="57"/>
        <v>#DIV/0!</v>
      </c>
      <c r="G101" t="e">
        <f t="shared" si="57"/>
        <v>#DIV/0!</v>
      </c>
      <c r="H101" t="e">
        <f t="shared" si="57"/>
        <v>#DIV/0!</v>
      </c>
    </row>
    <row r="102" spans="1:8">
      <c r="A102" t="s">
        <v>16</v>
      </c>
      <c r="B102" t="e">
        <f>CONFIDENCE(0.05,B101,5)</f>
        <v>#DIV/0!</v>
      </c>
      <c r="C102" t="e">
        <f t="shared" ref="C102" si="58">CONFIDENCE(0.05,C101,5)</f>
        <v>#DIV/0!</v>
      </c>
      <c r="D102" t="e">
        <f t="shared" ref="D102" si="59">CONFIDENCE(0.05,D101,5)</f>
        <v>#DIV/0!</v>
      </c>
      <c r="E102" t="e">
        <f t="shared" ref="E102" si="60">CONFIDENCE(0.05,E101,5)</f>
        <v>#DIV/0!</v>
      </c>
      <c r="F102" t="e">
        <f t="shared" ref="F102" si="61">CONFIDENCE(0.05,F101,5)</f>
        <v>#DIV/0!</v>
      </c>
      <c r="G102" t="e">
        <f t="shared" ref="G102" si="62">CONFIDENCE(0.05,G101,5)</f>
        <v>#DIV/0!</v>
      </c>
      <c r="H102" t="e">
        <f t="shared" ref="H102" si="63">CONFIDENCE(0.05,H101,5)</f>
        <v>#DIV/0!</v>
      </c>
    </row>
    <row r="104" spans="1:8">
      <c r="A104" t="s">
        <v>30</v>
      </c>
    </row>
    <row r="105" spans="1:8">
      <c r="A105" t="s">
        <v>8</v>
      </c>
    </row>
    <row r="106" spans="1:8">
      <c r="A106" t="s">
        <v>9</v>
      </c>
    </row>
    <row r="107" spans="1:8">
      <c r="A107" t="s">
        <v>10</v>
      </c>
    </row>
    <row r="108" spans="1:8">
      <c r="A108" t="s">
        <v>11</v>
      </c>
    </row>
    <row r="109" spans="1:8">
      <c r="A109" t="s">
        <v>12</v>
      </c>
    </row>
    <row r="110" spans="1:8">
      <c r="A110" t="s">
        <v>13</v>
      </c>
      <c r="B110">
        <f t="shared" ref="B110:H110" si="64">(SUM(B105:B109) -MAX(B105:B109) -MIN(B105:B109))/((COUNT(B105:B109)-2)*1000)</f>
        <v>0</v>
      </c>
      <c r="C110">
        <f t="shared" si="64"/>
        <v>0</v>
      </c>
      <c r="D110">
        <f t="shared" si="64"/>
        <v>0</v>
      </c>
      <c r="E110">
        <f t="shared" si="64"/>
        <v>0</v>
      </c>
      <c r="F110">
        <f t="shared" si="64"/>
        <v>0</v>
      </c>
      <c r="G110">
        <f t="shared" si="64"/>
        <v>0</v>
      </c>
      <c r="H110">
        <f t="shared" si="64"/>
        <v>0</v>
      </c>
    </row>
    <row r="111" spans="1:8">
      <c r="A111" t="s">
        <v>15</v>
      </c>
      <c r="B111" t="e">
        <f>STDEV(B105:B109)/1000</f>
        <v>#DIV/0!</v>
      </c>
      <c r="C111" t="e">
        <f t="shared" ref="C111:H111" si="65">STDEV(C105:C109)/1000</f>
        <v>#DIV/0!</v>
      </c>
      <c r="D111" t="e">
        <f t="shared" si="65"/>
        <v>#DIV/0!</v>
      </c>
      <c r="E111" t="e">
        <f t="shared" si="65"/>
        <v>#DIV/0!</v>
      </c>
      <c r="F111" t="e">
        <f t="shared" si="65"/>
        <v>#DIV/0!</v>
      </c>
      <c r="G111" t="e">
        <f t="shared" si="65"/>
        <v>#DIV/0!</v>
      </c>
      <c r="H111" t="e">
        <f t="shared" si="65"/>
        <v>#DIV/0!</v>
      </c>
    </row>
    <row r="112" spans="1:8">
      <c r="A112" t="s">
        <v>16</v>
      </c>
      <c r="B112" t="e">
        <f>CONFIDENCE(0.05,B111,5)</f>
        <v>#DIV/0!</v>
      </c>
      <c r="C112" t="e">
        <f t="shared" ref="C112" si="66">CONFIDENCE(0.05,C111,5)</f>
        <v>#DIV/0!</v>
      </c>
      <c r="D112" t="e">
        <f t="shared" ref="D112" si="67">CONFIDENCE(0.05,D111,5)</f>
        <v>#DIV/0!</v>
      </c>
      <c r="E112" t="e">
        <f t="shared" ref="E112" si="68">CONFIDENCE(0.05,E111,5)</f>
        <v>#DIV/0!</v>
      </c>
      <c r="F112" t="e">
        <f t="shared" ref="F112" si="69">CONFIDENCE(0.05,F111,5)</f>
        <v>#DIV/0!</v>
      </c>
      <c r="G112" t="e">
        <f t="shared" ref="G112" si="70">CONFIDENCE(0.05,G111,5)</f>
        <v>#DIV/0!</v>
      </c>
      <c r="H112" t="e">
        <f t="shared" ref="H112" si="71">CONFIDENCE(0.05,H111,5)</f>
        <v>#DIV/0!</v>
      </c>
    </row>
    <row r="114" spans="1:8">
      <c r="A114" t="s">
        <v>31</v>
      </c>
    </row>
    <row r="115" spans="1:8">
      <c r="A115" t="s">
        <v>8</v>
      </c>
    </row>
    <row r="116" spans="1:8">
      <c r="A116" t="s">
        <v>9</v>
      </c>
    </row>
    <row r="117" spans="1:8">
      <c r="A117" t="s">
        <v>10</v>
      </c>
    </row>
    <row r="118" spans="1:8">
      <c r="A118" t="s">
        <v>11</v>
      </c>
    </row>
    <row r="119" spans="1:8">
      <c r="A119" t="s">
        <v>12</v>
      </c>
    </row>
    <row r="120" spans="1:8">
      <c r="A120" t="s">
        <v>13</v>
      </c>
      <c r="B120">
        <f t="shared" ref="B120:H120" si="72">(SUM(B115:B119) -MAX(B115:B119) -MIN(B115:B119))/((COUNT(B115:B119)-2)*1000)</f>
        <v>0</v>
      </c>
      <c r="C120">
        <f t="shared" si="72"/>
        <v>0</v>
      </c>
      <c r="D120">
        <f t="shared" si="72"/>
        <v>0</v>
      </c>
      <c r="E120">
        <f t="shared" si="72"/>
        <v>0</v>
      </c>
      <c r="F120">
        <f t="shared" si="72"/>
        <v>0</v>
      </c>
      <c r="G120">
        <f t="shared" si="72"/>
        <v>0</v>
      </c>
      <c r="H120">
        <f t="shared" si="72"/>
        <v>0</v>
      </c>
    </row>
    <row r="121" spans="1:8">
      <c r="A121" t="s">
        <v>15</v>
      </c>
      <c r="B121" t="e">
        <f>STDEV(B115:B119)/1000</f>
        <v>#DIV/0!</v>
      </c>
      <c r="C121" t="e">
        <f t="shared" ref="C121:H121" si="73">STDEV(C115:C119)/1000</f>
        <v>#DIV/0!</v>
      </c>
      <c r="D121" t="e">
        <f t="shared" si="73"/>
        <v>#DIV/0!</v>
      </c>
      <c r="E121" t="e">
        <f t="shared" si="73"/>
        <v>#DIV/0!</v>
      </c>
      <c r="F121" t="e">
        <f t="shared" si="73"/>
        <v>#DIV/0!</v>
      </c>
      <c r="G121" t="e">
        <f t="shared" si="73"/>
        <v>#DIV/0!</v>
      </c>
      <c r="H121" t="e">
        <f t="shared" si="73"/>
        <v>#DIV/0!</v>
      </c>
    </row>
    <row r="122" spans="1:8">
      <c r="A122" t="s">
        <v>16</v>
      </c>
      <c r="B122" t="e">
        <f>CONFIDENCE(0.05,B121,5)</f>
        <v>#DIV/0!</v>
      </c>
      <c r="C122" t="e">
        <f t="shared" ref="C122" si="74">CONFIDENCE(0.05,C121,5)</f>
        <v>#DIV/0!</v>
      </c>
      <c r="D122" t="e">
        <f t="shared" ref="D122" si="75">CONFIDENCE(0.05,D121,5)</f>
        <v>#DIV/0!</v>
      </c>
      <c r="E122" t="e">
        <f t="shared" ref="E122" si="76">CONFIDENCE(0.05,E121,5)</f>
        <v>#DIV/0!</v>
      </c>
      <c r="F122" t="e">
        <f t="shared" ref="F122" si="77">CONFIDENCE(0.05,F121,5)</f>
        <v>#DIV/0!</v>
      </c>
      <c r="G122" t="e">
        <f t="shared" ref="G122" si="78">CONFIDENCE(0.05,G121,5)</f>
        <v>#DIV/0!</v>
      </c>
      <c r="H122" t="e">
        <f t="shared" ref="H122" si="79">CONFIDENCE(0.05,H121,5)</f>
        <v>#DIV/0!</v>
      </c>
    </row>
    <row r="124" spans="1:8">
      <c r="A124" t="s">
        <v>32</v>
      </c>
    </row>
    <row r="125" spans="1:8">
      <c r="A125" t="s">
        <v>8</v>
      </c>
    </row>
    <row r="126" spans="1:8">
      <c r="A126" t="s">
        <v>9</v>
      </c>
    </row>
    <row r="127" spans="1:8">
      <c r="A127" t="s">
        <v>10</v>
      </c>
    </row>
    <row r="128" spans="1:8">
      <c r="A128" t="s">
        <v>11</v>
      </c>
    </row>
    <row r="129" spans="1:8">
      <c r="A129" t="s">
        <v>12</v>
      </c>
    </row>
    <row r="130" spans="1:8">
      <c r="A130" t="s">
        <v>13</v>
      </c>
      <c r="B130">
        <f t="shared" ref="B130:H130" si="80">(SUM(B125:B129) -MAX(B125:B129) -MIN(B125:B129))/((COUNT(B125:B129)-2)*1000)</f>
        <v>0</v>
      </c>
      <c r="C130">
        <f t="shared" si="80"/>
        <v>0</v>
      </c>
      <c r="D130">
        <f t="shared" si="80"/>
        <v>0</v>
      </c>
      <c r="E130">
        <f t="shared" si="80"/>
        <v>0</v>
      </c>
      <c r="F130">
        <f t="shared" si="80"/>
        <v>0</v>
      </c>
      <c r="G130">
        <f t="shared" si="80"/>
        <v>0</v>
      </c>
      <c r="H130">
        <f t="shared" si="80"/>
        <v>0</v>
      </c>
    </row>
    <row r="131" spans="1:8">
      <c r="A131" t="s">
        <v>15</v>
      </c>
      <c r="B131" t="e">
        <f>STDEV(B125:B129)/1000</f>
        <v>#DIV/0!</v>
      </c>
      <c r="C131" t="e">
        <f t="shared" ref="C131:H131" si="81">STDEV(C125:C129)/1000</f>
        <v>#DIV/0!</v>
      </c>
      <c r="D131" t="e">
        <f t="shared" si="81"/>
        <v>#DIV/0!</v>
      </c>
      <c r="E131" t="e">
        <f t="shared" si="81"/>
        <v>#DIV/0!</v>
      </c>
      <c r="F131" t="e">
        <f t="shared" si="81"/>
        <v>#DIV/0!</v>
      </c>
      <c r="G131" t="e">
        <f t="shared" si="81"/>
        <v>#DIV/0!</v>
      </c>
      <c r="H131" t="e">
        <f t="shared" si="81"/>
        <v>#DIV/0!</v>
      </c>
    </row>
    <row r="132" spans="1:8">
      <c r="A132" t="s">
        <v>16</v>
      </c>
      <c r="B132" t="e">
        <f>CONFIDENCE(0.05,B131,5)</f>
        <v>#DIV/0!</v>
      </c>
      <c r="C132" t="e">
        <f t="shared" ref="C132" si="82">CONFIDENCE(0.05,C131,5)</f>
        <v>#DIV/0!</v>
      </c>
      <c r="D132" t="e">
        <f t="shared" ref="D132" si="83">CONFIDENCE(0.05,D131,5)</f>
        <v>#DIV/0!</v>
      </c>
      <c r="E132" t="e">
        <f t="shared" ref="E132" si="84">CONFIDENCE(0.05,E131,5)</f>
        <v>#DIV/0!</v>
      </c>
      <c r="F132" t="e">
        <f t="shared" ref="F132" si="85">CONFIDENCE(0.05,F131,5)</f>
        <v>#DIV/0!</v>
      </c>
      <c r="G132" t="e">
        <f t="shared" ref="G132" si="86">CONFIDENCE(0.05,G131,5)</f>
        <v>#DIV/0!</v>
      </c>
      <c r="H132" t="e">
        <f t="shared" ref="H132" si="87">CONFIDENCE(0.05,H131,5)</f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2"/>
  <sheetViews>
    <sheetView topLeftCell="A73" workbookViewId="0">
      <selection activeCell="B95" sqref="B95:H99"/>
    </sheetView>
  </sheetViews>
  <sheetFormatPr defaultRowHeight="14.4"/>
  <cols>
    <col min="1" max="1" width="24.109375" customWidth="1"/>
    <col min="2" max="8" width="12.6640625" customWidth="1"/>
    <col min="9" max="9" width="10.6640625" customWidth="1"/>
    <col min="10" max="10" width="22.5546875" bestFit="1" customWidth="1"/>
    <col min="11" max="11" width="3.6640625" customWidth="1"/>
    <col min="12" max="12" width="18.5546875" bestFit="1" customWidth="1"/>
  </cols>
  <sheetData>
    <row r="1" spans="1:9">
      <c r="A1" t="s">
        <v>18</v>
      </c>
      <c r="B1" t="s">
        <v>23</v>
      </c>
    </row>
    <row r="2" spans="1:9">
      <c r="A2" t="s">
        <v>14</v>
      </c>
      <c r="B2">
        <v>5</v>
      </c>
      <c r="C2">
        <v>10</v>
      </c>
      <c r="D2">
        <v>15</v>
      </c>
      <c r="E2">
        <v>20</v>
      </c>
      <c r="F2">
        <v>25</v>
      </c>
      <c r="G2">
        <v>30</v>
      </c>
      <c r="H2">
        <v>35</v>
      </c>
    </row>
    <row r="3" spans="1:9">
      <c r="A3" t="s">
        <v>7</v>
      </c>
    </row>
    <row r="4" spans="1:9">
      <c r="A4" t="s">
        <v>8</v>
      </c>
      <c r="B4">
        <v>4758</v>
      </c>
      <c r="C4">
        <v>12963</v>
      </c>
      <c r="D4">
        <v>33680</v>
      </c>
      <c r="E4">
        <v>51282</v>
      </c>
      <c r="F4">
        <v>42853</v>
      </c>
      <c r="G4">
        <v>88874</v>
      </c>
      <c r="H4">
        <v>75738</v>
      </c>
    </row>
    <row r="5" spans="1:9">
      <c r="A5" t="s">
        <v>9</v>
      </c>
      <c r="B5">
        <v>4087</v>
      </c>
      <c r="C5">
        <v>11732</v>
      </c>
      <c r="D5">
        <v>33165</v>
      </c>
      <c r="E5">
        <v>51405</v>
      </c>
      <c r="F5">
        <v>40170</v>
      </c>
      <c r="G5">
        <v>88952</v>
      </c>
      <c r="H5">
        <v>78234</v>
      </c>
    </row>
    <row r="6" spans="1:9">
      <c r="A6" t="s">
        <v>10</v>
      </c>
      <c r="B6">
        <v>4072</v>
      </c>
      <c r="C6">
        <v>11731</v>
      </c>
      <c r="D6">
        <v>33228</v>
      </c>
      <c r="E6">
        <v>50608</v>
      </c>
      <c r="F6">
        <v>39921</v>
      </c>
      <c r="G6">
        <v>86627</v>
      </c>
      <c r="H6">
        <v>78391</v>
      </c>
    </row>
    <row r="7" spans="1:9">
      <c r="A7" t="s">
        <v>11</v>
      </c>
      <c r="B7">
        <v>4072</v>
      </c>
      <c r="C7">
        <v>11779</v>
      </c>
      <c r="D7">
        <v>33135</v>
      </c>
      <c r="E7">
        <v>52761</v>
      </c>
      <c r="F7">
        <v>39858</v>
      </c>
      <c r="G7">
        <v>83508</v>
      </c>
      <c r="H7">
        <v>76191</v>
      </c>
    </row>
    <row r="8" spans="1:9">
      <c r="A8" t="s">
        <v>12</v>
      </c>
      <c r="B8">
        <v>4087</v>
      </c>
      <c r="C8">
        <v>11762</v>
      </c>
      <c r="D8">
        <v>32822</v>
      </c>
      <c r="E8">
        <v>89857</v>
      </c>
      <c r="F8">
        <v>39843</v>
      </c>
      <c r="G8">
        <v>84443</v>
      </c>
      <c r="H8">
        <v>83617</v>
      </c>
    </row>
    <row r="9" spans="1:9">
      <c r="A9" t="s">
        <v>13</v>
      </c>
      <c r="B9">
        <f>(SUM(B4:B8) -MAX(B4:B8) -MIN(B4:B8))/((COUNT(B4:B8)-2)*1000)</f>
        <v>4.0819999999999999</v>
      </c>
      <c r="C9">
        <f t="shared" ref="C9:H9" si="0">(SUM(C4:C8) -MAX(C4:C8) -MIN(C4:C8))/((COUNT(C4:C8)-2)*1000)</f>
        <v>11.757666666666667</v>
      </c>
      <c r="D9">
        <f t="shared" si="0"/>
        <v>33.176000000000002</v>
      </c>
      <c r="E9">
        <f t="shared" si="0"/>
        <v>51.816000000000003</v>
      </c>
      <c r="F9">
        <f t="shared" si="0"/>
        <v>39.982999999999997</v>
      </c>
      <c r="G9">
        <f t="shared" si="0"/>
        <v>86.647999999999996</v>
      </c>
      <c r="H9">
        <f t="shared" si="0"/>
        <v>77.605333333333334</v>
      </c>
      <c r="I9" t="s">
        <v>17</v>
      </c>
    </row>
    <row r="10" spans="1:9">
      <c r="A10" t="s">
        <v>15</v>
      </c>
      <c r="B10">
        <f>STDEV(B4:B8)/1000</f>
        <v>0.30352709928439542</v>
      </c>
      <c r="C10">
        <f t="shared" ref="C10:G10" si="1">STDEV(C4:C8)/1000</f>
        <v>0.54240695054544785</v>
      </c>
      <c r="D10">
        <f t="shared" si="1"/>
        <v>0.30795210666595546</v>
      </c>
      <c r="E10">
        <f t="shared" si="1"/>
        <v>17.16529980221727</v>
      </c>
      <c r="F10">
        <f t="shared" si="1"/>
        <v>1.3057907565915758</v>
      </c>
      <c r="G10">
        <f t="shared" si="1"/>
        <v>2.4922770110886074</v>
      </c>
      <c r="H10">
        <f>STDEV(H4:H8)/1000</f>
        <v>3.1306869373988531</v>
      </c>
    </row>
    <row r="11" spans="1:9">
      <c r="A11" t="s">
        <v>16</v>
      </c>
      <c r="B11">
        <f>CONFIDENCE(0.05,B10,5)</f>
        <v>0.26604834419859857</v>
      </c>
      <c r="C11">
        <f t="shared" ref="C11:G11" si="2">CONFIDENCE(0.05,C10,5)</f>
        <v>0.47543191831849219</v>
      </c>
      <c r="D11">
        <f t="shared" si="2"/>
        <v>0.26992696291075369</v>
      </c>
      <c r="E11">
        <f t="shared" si="2"/>
        <v>15.045772192398172</v>
      </c>
      <c r="F11">
        <f t="shared" si="2"/>
        <v>1.1445550314290647</v>
      </c>
      <c r="G11">
        <f t="shared" si="2"/>
        <v>2.1845369775799952</v>
      </c>
      <c r="H11">
        <f>CONFIDENCE(0.05,H10,5)</f>
        <v>2.7441176681187596</v>
      </c>
    </row>
    <row r="13" spans="1:9">
      <c r="A13" t="s">
        <v>1</v>
      </c>
    </row>
    <row r="14" spans="1:9">
      <c r="A14" t="s">
        <v>8</v>
      </c>
      <c r="B14">
        <v>2840</v>
      </c>
      <c r="C14">
        <v>7395</v>
      </c>
      <c r="D14">
        <v>13463</v>
      </c>
      <c r="E14">
        <v>19298</v>
      </c>
      <c r="F14">
        <v>22526</v>
      </c>
      <c r="G14">
        <v>27191</v>
      </c>
      <c r="H14">
        <v>31996</v>
      </c>
    </row>
    <row r="15" spans="1:9">
      <c r="A15" t="s">
        <v>9</v>
      </c>
      <c r="B15">
        <v>312</v>
      </c>
      <c r="C15">
        <v>1030</v>
      </c>
      <c r="D15">
        <v>1529</v>
      </c>
      <c r="E15">
        <v>2824</v>
      </c>
      <c r="F15">
        <v>3198</v>
      </c>
      <c r="G15">
        <v>3838</v>
      </c>
      <c r="H15">
        <v>3869</v>
      </c>
    </row>
    <row r="16" spans="1:9">
      <c r="A16" t="s">
        <v>10</v>
      </c>
      <c r="B16">
        <v>297</v>
      </c>
      <c r="C16">
        <v>1076</v>
      </c>
      <c r="D16">
        <v>1529</v>
      </c>
      <c r="E16">
        <v>2387</v>
      </c>
      <c r="F16">
        <v>3151</v>
      </c>
      <c r="G16">
        <v>3744</v>
      </c>
      <c r="H16">
        <v>3806</v>
      </c>
    </row>
    <row r="17" spans="1:9">
      <c r="A17" t="s">
        <v>11</v>
      </c>
      <c r="B17">
        <v>312</v>
      </c>
      <c r="C17">
        <v>1092</v>
      </c>
      <c r="D17">
        <v>1544</v>
      </c>
      <c r="E17">
        <v>2308</v>
      </c>
      <c r="F17">
        <v>3198</v>
      </c>
      <c r="G17">
        <v>3744</v>
      </c>
      <c r="H17">
        <v>3838</v>
      </c>
    </row>
    <row r="18" spans="1:9">
      <c r="A18" t="s">
        <v>12</v>
      </c>
      <c r="B18">
        <v>312</v>
      </c>
      <c r="C18">
        <v>1076</v>
      </c>
      <c r="D18">
        <v>1513</v>
      </c>
      <c r="E18">
        <v>2231</v>
      </c>
      <c r="F18">
        <v>3151</v>
      </c>
      <c r="G18">
        <v>3760</v>
      </c>
      <c r="H18">
        <v>3853</v>
      </c>
    </row>
    <row r="19" spans="1:9">
      <c r="A19" t="s">
        <v>13</v>
      </c>
      <c r="B19">
        <f t="shared" ref="B19:H19" si="3">(SUM(B14:B18) -MAX(B14:B18) -MIN(B14:B18))/((COUNT(B14:B18)-2)*1000)</f>
        <v>0.312</v>
      </c>
      <c r="C19">
        <f t="shared" si="3"/>
        <v>1.0813333333333333</v>
      </c>
      <c r="D19">
        <f t="shared" si="3"/>
        <v>1.534</v>
      </c>
      <c r="E19">
        <f t="shared" si="3"/>
        <v>2.5063333333333335</v>
      </c>
      <c r="F19">
        <f t="shared" si="3"/>
        <v>3.1823333333333332</v>
      </c>
      <c r="G19">
        <f t="shared" si="3"/>
        <v>3.7806666666666668</v>
      </c>
      <c r="H19">
        <f t="shared" si="3"/>
        <v>3.8533333333333335</v>
      </c>
      <c r="I19" t="s">
        <v>17</v>
      </c>
    </row>
    <row r="20" spans="1:9">
      <c r="A20" t="s">
        <v>15</v>
      </c>
      <c r="B20">
        <f>STDEV(B14:B18)/1000</f>
        <v>1.1322516504735156</v>
      </c>
      <c r="C20">
        <f t="shared" ref="C20:G20" si="4">STDEV(C14:C18)/1000</f>
        <v>2.82939166606534</v>
      </c>
      <c r="D20">
        <f t="shared" si="4"/>
        <v>5.337170111585352</v>
      </c>
      <c r="E20">
        <f t="shared" si="4"/>
        <v>7.5437476296599426</v>
      </c>
      <c r="F20">
        <f t="shared" si="4"/>
        <v>8.6542857995330849</v>
      </c>
      <c r="G20">
        <f t="shared" si="4"/>
        <v>10.473591208367834</v>
      </c>
      <c r="H20">
        <f>STDEV(H14:H18)/1000</f>
        <v>12.591096628173418</v>
      </c>
    </row>
    <row r="21" spans="1:9">
      <c r="A21" t="s">
        <v>16</v>
      </c>
      <c r="B21">
        <f>CONFIDENCE(0.05,B20,5)</f>
        <v>0.99244409324507343</v>
      </c>
      <c r="C21">
        <f t="shared" ref="C21:G21" si="5">CONFIDENCE(0.05,C20,5)</f>
        <v>2.4800255714257986</v>
      </c>
      <c r="D21">
        <f t="shared" si="5"/>
        <v>4.6781499056961904</v>
      </c>
      <c r="E21">
        <f t="shared" si="5"/>
        <v>6.6122648378180973</v>
      </c>
      <c r="F21">
        <f t="shared" si="5"/>
        <v>7.5856765758825722</v>
      </c>
      <c r="G21">
        <f t="shared" si="5"/>
        <v>9.1803387749191234</v>
      </c>
      <c r="H21">
        <f>CONFIDENCE(0.05,H20,5)</f>
        <v>11.036380005171793</v>
      </c>
    </row>
    <row r="23" spans="1:9">
      <c r="A23" t="s">
        <v>2</v>
      </c>
    </row>
    <row r="24" spans="1:9">
      <c r="A24" t="s">
        <v>8</v>
      </c>
      <c r="B24">
        <v>344</v>
      </c>
      <c r="C24">
        <v>1607</v>
      </c>
      <c r="D24">
        <v>2028</v>
      </c>
      <c r="E24">
        <v>3073</v>
      </c>
      <c r="F24">
        <v>4197</v>
      </c>
      <c r="G24">
        <v>4867</v>
      </c>
      <c r="H24">
        <v>4524</v>
      </c>
    </row>
    <row r="25" spans="1:9">
      <c r="A25" t="s">
        <v>9</v>
      </c>
      <c r="B25">
        <v>359</v>
      </c>
      <c r="C25">
        <v>1685</v>
      </c>
      <c r="D25">
        <v>2106</v>
      </c>
      <c r="E25">
        <v>3338</v>
      </c>
      <c r="F25">
        <v>4493</v>
      </c>
      <c r="G25">
        <v>4945</v>
      </c>
      <c r="H25">
        <v>4914</v>
      </c>
    </row>
    <row r="26" spans="1:9">
      <c r="A26" t="s">
        <v>10</v>
      </c>
      <c r="B26">
        <v>359</v>
      </c>
      <c r="C26">
        <v>1716</v>
      </c>
      <c r="D26">
        <v>2059</v>
      </c>
      <c r="E26">
        <v>2979</v>
      </c>
      <c r="F26">
        <v>4213</v>
      </c>
      <c r="G26">
        <v>4618</v>
      </c>
      <c r="H26">
        <v>4368</v>
      </c>
    </row>
    <row r="27" spans="1:9">
      <c r="A27" t="s">
        <v>11</v>
      </c>
      <c r="B27">
        <v>358</v>
      </c>
      <c r="C27">
        <v>1669</v>
      </c>
      <c r="D27">
        <v>2059</v>
      </c>
      <c r="E27">
        <v>2683</v>
      </c>
      <c r="F27">
        <v>4212</v>
      </c>
      <c r="G27">
        <v>4648</v>
      </c>
      <c r="H27">
        <v>4383</v>
      </c>
    </row>
    <row r="28" spans="1:9">
      <c r="A28" t="s">
        <v>12</v>
      </c>
      <c r="B28">
        <v>344</v>
      </c>
      <c r="C28">
        <v>1685</v>
      </c>
      <c r="D28">
        <v>2106</v>
      </c>
      <c r="E28">
        <v>2699</v>
      </c>
      <c r="F28">
        <v>4243</v>
      </c>
      <c r="G28">
        <v>4478</v>
      </c>
      <c r="H28">
        <v>4446</v>
      </c>
    </row>
    <row r="29" spans="1:9">
      <c r="A29" t="s">
        <v>13</v>
      </c>
      <c r="B29">
        <f t="shared" ref="B29:H29" si="6">(SUM(B24:B28) -MAX(B24:B28) -MIN(B24:B28))/((COUNT(B24:B28)-2)*1000)</f>
        <v>0.35366666666666668</v>
      </c>
      <c r="C29">
        <f t="shared" si="6"/>
        <v>1.6796666666666666</v>
      </c>
      <c r="D29">
        <f t="shared" si="6"/>
        <v>2.0746666666666669</v>
      </c>
      <c r="E29">
        <f t="shared" si="6"/>
        <v>2.9169999999999998</v>
      </c>
      <c r="F29">
        <f t="shared" si="6"/>
        <v>4.222666666666667</v>
      </c>
      <c r="G29">
        <f t="shared" si="6"/>
        <v>4.7110000000000003</v>
      </c>
      <c r="H29">
        <f t="shared" si="6"/>
        <v>4.4509999999999996</v>
      </c>
      <c r="I29" t="s">
        <v>17</v>
      </c>
    </row>
    <row r="30" spans="1:9">
      <c r="A30" t="s">
        <v>15</v>
      </c>
      <c r="B30">
        <f>STDEV(B24:B28)/1000</f>
        <v>8.0436310208768062E-3</v>
      </c>
      <c r="C30">
        <f t="shared" ref="C30:G30" si="7">STDEV(C24:C28)/1000</f>
        <v>4.0333608814483904E-2</v>
      </c>
      <c r="D30">
        <f t="shared" si="7"/>
        <v>3.3857052441106178E-2</v>
      </c>
      <c r="E30">
        <f t="shared" si="7"/>
        <v>0.27418387990544002</v>
      </c>
      <c r="F30">
        <f t="shared" si="7"/>
        <v>0.12488714905866315</v>
      </c>
      <c r="G30">
        <f t="shared" si="7"/>
        <v>0.19104894660792884</v>
      </c>
      <c r="H30">
        <f>STDEV(H24:H28)/1000</f>
        <v>0.22491998577271874</v>
      </c>
    </row>
    <row r="31" spans="1:9">
      <c r="A31" t="s">
        <v>16</v>
      </c>
      <c r="B31">
        <f>CONFIDENCE(0.05,B30,5)</f>
        <v>7.0504238978795408E-3</v>
      </c>
      <c r="C31">
        <f t="shared" ref="C31:G31" si="8">CONFIDENCE(0.05,C30,5)</f>
        <v>3.5353317268693438E-2</v>
      </c>
      <c r="D31">
        <f t="shared" si="8"/>
        <v>2.9676469622112938E-2</v>
      </c>
      <c r="E31">
        <f t="shared" si="8"/>
        <v>0.24032835099986058</v>
      </c>
      <c r="F31">
        <f t="shared" si="8"/>
        <v>0.10946640117826564</v>
      </c>
      <c r="G31">
        <f t="shared" si="8"/>
        <v>0.16745870805526147</v>
      </c>
      <c r="H31">
        <f>CONFIDENCE(0.05,H30,5)</f>
        <v>0.197147437355952</v>
      </c>
    </row>
    <row r="33" spans="1:9">
      <c r="A33" t="s">
        <v>3</v>
      </c>
    </row>
    <row r="34" spans="1:9">
      <c r="A34" t="s">
        <v>8</v>
      </c>
      <c r="B34">
        <v>546</v>
      </c>
      <c r="C34">
        <v>4087</v>
      </c>
      <c r="D34">
        <v>3884</v>
      </c>
      <c r="E34">
        <v>4883</v>
      </c>
      <c r="F34">
        <v>7925</v>
      </c>
      <c r="G34">
        <v>8736</v>
      </c>
      <c r="H34">
        <v>9547</v>
      </c>
    </row>
    <row r="35" spans="1:9">
      <c r="A35" t="s">
        <v>9</v>
      </c>
      <c r="B35">
        <v>592</v>
      </c>
      <c r="C35">
        <v>4321</v>
      </c>
      <c r="D35">
        <v>4157</v>
      </c>
      <c r="E35">
        <v>4946</v>
      </c>
      <c r="F35">
        <v>8315</v>
      </c>
      <c r="G35">
        <v>10624</v>
      </c>
      <c r="H35">
        <v>11263</v>
      </c>
    </row>
    <row r="36" spans="1:9">
      <c r="A36" t="s">
        <v>10</v>
      </c>
      <c r="B36">
        <v>593</v>
      </c>
      <c r="C36">
        <v>4321</v>
      </c>
      <c r="D36">
        <v>4142</v>
      </c>
      <c r="E36">
        <v>4992</v>
      </c>
      <c r="F36">
        <v>8331</v>
      </c>
      <c r="G36">
        <v>10608</v>
      </c>
      <c r="H36">
        <v>12573</v>
      </c>
    </row>
    <row r="37" spans="1:9">
      <c r="A37" t="s">
        <v>11</v>
      </c>
      <c r="B37">
        <v>577</v>
      </c>
      <c r="C37">
        <v>4322</v>
      </c>
      <c r="D37">
        <v>4125</v>
      </c>
      <c r="E37">
        <v>4961</v>
      </c>
      <c r="F37">
        <v>8361</v>
      </c>
      <c r="G37">
        <v>11045</v>
      </c>
      <c r="H37">
        <v>11388</v>
      </c>
    </row>
    <row r="38" spans="1:9">
      <c r="A38" t="s">
        <v>12</v>
      </c>
      <c r="B38">
        <v>593</v>
      </c>
      <c r="C38">
        <v>4306</v>
      </c>
      <c r="D38">
        <v>4142</v>
      </c>
      <c r="E38">
        <v>4977</v>
      </c>
      <c r="F38">
        <v>8393</v>
      </c>
      <c r="G38">
        <v>10593</v>
      </c>
      <c r="H38">
        <v>9313</v>
      </c>
    </row>
    <row r="39" spans="1:9">
      <c r="A39" t="s">
        <v>13</v>
      </c>
      <c r="B39">
        <f t="shared" ref="B39:H39" si="9">(SUM(B34:B38) -MAX(B34:B38) -MIN(B34:B38))/((COUNT(B34:B38)-2)*1000)</f>
        <v>0.58733333333333337</v>
      </c>
      <c r="C39">
        <f t="shared" si="9"/>
        <v>4.3159999999999998</v>
      </c>
      <c r="D39">
        <f t="shared" si="9"/>
        <v>4.136333333333333</v>
      </c>
      <c r="E39">
        <f t="shared" si="9"/>
        <v>4.9613333333333332</v>
      </c>
      <c r="F39">
        <f t="shared" si="9"/>
        <v>8.3356666666666666</v>
      </c>
      <c r="G39">
        <f t="shared" si="9"/>
        <v>10.608333333333333</v>
      </c>
      <c r="H39">
        <f t="shared" si="9"/>
        <v>10.732666666666667</v>
      </c>
      <c r="I39" t="s">
        <v>17</v>
      </c>
    </row>
    <row r="40" spans="1:9">
      <c r="A40" t="s">
        <v>15</v>
      </c>
      <c r="B40">
        <f>STDEV(B34:B38)/1000</f>
        <v>2.0290391814847038E-2</v>
      </c>
      <c r="C40">
        <f t="shared" ref="C40:G40" si="10">STDEV(C34:C38)/1000</f>
        <v>0.10329714420060579</v>
      </c>
      <c r="D40">
        <f t="shared" si="10"/>
        <v>0.11571300704760895</v>
      </c>
      <c r="E40">
        <f t="shared" si="10"/>
        <v>4.2139055518595279E-2</v>
      </c>
      <c r="F40">
        <f t="shared" si="10"/>
        <v>0.19239022844209111</v>
      </c>
      <c r="G40">
        <f t="shared" si="10"/>
        <v>0.90616814113055366</v>
      </c>
      <c r="H40">
        <f>STDEV(H34:H38)/1000</f>
        <v>1.3677909928055485</v>
      </c>
    </row>
    <row r="41" spans="1:9">
      <c r="A41" t="s">
        <v>16</v>
      </c>
      <c r="B41">
        <f>CONFIDENCE(0.05,B40,5)</f>
        <v>1.7784985782844001E-2</v>
      </c>
      <c r="C41">
        <f t="shared" ref="C41:G41" si="11">CONFIDENCE(0.05,C40,5)</f>
        <v>9.0542275269020478E-2</v>
      </c>
      <c r="D41">
        <f t="shared" si="11"/>
        <v>0.10142505891512608</v>
      </c>
      <c r="E41">
        <f t="shared" si="11"/>
        <v>3.6935832000656747E-2</v>
      </c>
      <c r="F41">
        <f t="shared" si="11"/>
        <v>0.16863437181617058</v>
      </c>
      <c r="G41">
        <f t="shared" si="11"/>
        <v>0.79427680125331113</v>
      </c>
      <c r="H41">
        <f>CONFIDENCE(0.05,H40,5)</f>
        <v>1.1988996359916841</v>
      </c>
    </row>
    <row r="43" spans="1:9">
      <c r="A43" t="s">
        <v>4</v>
      </c>
    </row>
    <row r="44" spans="1:9">
      <c r="A44" t="s">
        <v>8</v>
      </c>
      <c r="B44">
        <v>780</v>
      </c>
      <c r="C44">
        <v>1809</v>
      </c>
      <c r="D44">
        <v>5798</v>
      </c>
      <c r="E44">
        <v>13229</v>
      </c>
      <c r="F44">
        <v>10437</v>
      </c>
      <c r="G44">
        <v>21497</v>
      </c>
      <c r="H44">
        <v>20139</v>
      </c>
    </row>
    <row r="45" spans="1:9">
      <c r="A45" t="s">
        <v>9</v>
      </c>
      <c r="B45">
        <v>764</v>
      </c>
      <c r="C45">
        <v>1778</v>
      </c>
      <c r="D45">
        <v>5767</v>
      </c>
      <c r="E45">
        <v>12199</v>
      </c>
      <c r="F45">
        <v>7191</v>
      </c>
      <c r="G45">
        <v>20654</v>
      </c>
      <c r="H45">
        <v>16536</v>
      </c>
    </row>
    <row r="46" spans="1:9">
      <c r="A46" t="s">
        <v>10</v>
      </c>
      <c r="B46">
        <v>764</v>
      </c>
      <c r="C46">
        <v>1779</v>
      </c>
      <c r="D46">
        <v>5798</v>
      </c>
      <c r="E46">
        <v>12168</v>
      </c>
      <c r="F46">
        <v>7098</v>
      </c>
      <c r="G46">
        <v>20967</v>
      </c>
      <c r="H46">
        <v>16677</v>
      </c>
    </row>
    <row r="47" spans="1:9">
      <c r="A47" t="s">
        <v>11</v>
      </c>
      <c r="B47">
        <v>764</v>
      </c>
      <c r="C47">
        <v>1778</v>
      </c>
      <c r="D47">
        <v>5782</v>
      </c>
      <c r="E47">
        <v>12137</v>
      </c>
      <c r="F47">
        <v>7082</v>
      </c>
      <c r="G47">
        <v>20670</v>
      </c>
      <c r="H47">
        <v>17238</v>
      </c>
    </row>
    <row r="48" spans="1:9">
      <c r="A48" t="s">
        <v>12</v>
      </c>
      <c r="B48">
        <v>764</v>
      </c>
      <c r="C48">
        <v>1763</v>
      </c>
      <c r="D48">
        <v>5745</v>
      </c>
      <c r="E48">
        <v>13369</v>
      </c>
      <c r="F48">
        <v>7098</v>
      </c>
      <c r="G48">
        <v>20904</v>
      </c>
      <c r="H48">
        <v>17363</v>
      </c>
    </row>
    <row r="49" spans="1:9">
      <c r="A49" t="s">
        <v>13</v>
      </c>
      <c r="B49">
        <f t="shared" ref="B49:H49" si="12">(SUM(B44:B48) -MAX(B44:B48) -MIN(B44:B48))/((COUNT(B44:B48)-2)*1000)</f>
        <v>0.76400000000000001</v>
      </c>
      <c r="C49">
        <f t="shared" si="12"/>
        <v>1.7783333333333333</v>
      </c>
      <c r="D49">
        <f t="shared" si="12"/>
        <v>5.7823333333333338</v>
      </c>
      <c r="E49">
        <f t="shared" si="12"/>
        <v>12.532</v>
      </c>
      <c r="F49">
        <f t="shared" si="12"/>
        <v>7.1289999999999996</v>
      </c>
      <c r="G49">
        <f t="shared" si="12"/>
        <v>20.847000000000001</v>
      </c>
      <c r="H49">
        <f t="shared" si="12"/>
        <v>17.092666666666666</v>
      </c>
      <c r="I49" t="s">
        <v>17</v>
      </c>
    </row>
    <row r="50" spans="1:9">
      <c r="A50" t="s">
        <v>15</v>
      </c>
      <c r="B50">
        <f>STDEV(B44:B48)/1000</f>
        <v>7.1554175279960738E-3</v>
      </c>
      <c r="C50">
        <f t="shared" ref="C50:G50" si="13">STDEV(C44:C48)/1000</f>
        <v>1.6801785619386223E-2</v>
      </c>
      <c r="D50">
        <f t="shared" si="13"/>
        <v>2.2505554869853801E-2</v>
      </c>
      <c r="E50">
        <f t="shared" si="13"/>
        <v>0.62183502635346288</v>
      </c>
      <c r="F50">
        <f t="shared" si="13"/>
        <v>1.4852621654105389</v>
      </c>
      <c r="G50">
        <f t="shared" si="13"/>
        <v>0.34167133330139404</v>
      </c>
      <c r="H50">
        <f>STDEV(H44:H48)/1000</f>
        <v>1.4677633664865777</v>
      </c>
    </row>
    <row r="51" spans="1:9">
      <c r="A51" t="s">
        <v>16</v>
      </c>
      <c r="B51">
        <f>CONFIDENCE(0.05,B50,5)</f>
        <v>6.2718847505253217E-3</v>
      </c>
      <c r="C51">
        <f t="shared" ref="C51:G51" si="14">CONFIDENCE(0.05,C50,5)</f>
        <v>1.4727143817327483E-2</v>
      </c>
      <c r="D51">
        <f t="shared" si="14"/>
        <v>1.9726626131609908E-2</v>
      </c>
      <c r="E51">
        <f t="shared" si="14"/>
        <v>0.54505241711884278</v>
      </c>
      <c r="F51">
        <f t="shared" si="14"/>
        <v>1.3018657666479203</v>
      </c>
      <c r="G51">
        <f t="shared" si="14"/>
        <v>0.29948262510752582</v>
      </c>
      <c r="H51">
        <f>CONFIDENCE(0.05,H50,5)</f>
        <v>1.2865276749580512</v>
      </c>
    </row>
    <row r="53" spans="1:9">
      <c r="A53" t="s">
        <v>5</v>
      </c>
    </row>
    <row r="54" spans="1:9">
      <c r="A54" t="s">
        <v>8</v>
      </c>
      <c r="B54">
        <v>1030</v>
      </c>
      <c r="C54">
        <v>2433</v>
      </c>
      <c r="D54">
        <v>8055</v>
      </c>
      <c r="E54">
        <v>16364</v>
      </c>
      <c r="F54">
        <v>10312</v>
      </c>
      <c r="G54">
        <v>28314</v>
      </c>
      <c r="H54">
        <v>23213</v>
      </c>
    </row>
    <row r="55" spans="1:9">
      <c r="A55" t="s">
        <v>9</v>
      </c>
      <c r="B55">
        <v>1045</v>
      </c>
      <c r="C55">
        <v>2480</v>
      </c>
      <c r="D55">
        <v>8118</v>
      </c>
      <c r="E55">
        <v>15662</v>
      </c>
      <c r="F55">
        <v>10140</v>
      </c>
      <c r="G55">
        <v>28953</v>
      </c>
      <c r="H55">
        <v>24290</v>
      </c>
    </row>
    <row r="56" spans="1:9">
      <c r="A56" t="s">
        <v>10</v>
      </c>
      <c r="B56">
        <v>1061</v>
      </c>
      <c r="C56">
        <v>2450</v>
      </c>
      <c r="D56">
        <v>8133</v>
      </c>
      <c r="E56">
        <v>16068</v>
      </c>
      <c r="F56">
        <v>10140</v>
      </c>
      <c r="G56">
        <v>29437</v>
      </c>
      <c r="H56">
        <v>24274</v>
      </c>
    </row>
    <row r="57" spans="1:9">
      <c r="A57" t="s">
        <v>11</v>
      </c>
      <c r="B57">
        <v>1045</v>
      </c>
      <c r="C57">
        <v>2464</v>
      </c>
      <c r="D57">
        <v>8132</v>
      </c>
      <c r="E57">
        <v>15678</v>
      </c>
      <c r="F57">
        <v>10187</v>
      </c>
      <c r="G57">
        <v>29390</v>
      </c>
      <c r="H57">
        <v>23790</v>
      </c>
    </row>
    <row r="58" spans="1:9">
      <c r="A58" t="s">
        <v>12</v>
      </c>
      <c r="B58">
        <v>1061</v>
      </c>
      <c r="C58">
        <v>2449</v>
      </c>
      <c r="D58">
        <v>8133</v>
      </c>
      <c r="E58">
        <v>15756</v>
      </c>
      <c r="F58">
        <v>10140</v>
      </c>
      <c r="G58">
        <v>30093</v>
      </c>
      <c r="H58">
        <v>24554</v>
      </c>
    </row>
    <row r="59" spans="1:9">
      <c r="A59" t="s">
        <v>13</v>
      </c>
      <c r="B59">
        <f t="shared" ref="B59:H59" si="15">(SUM(B54:B58) -MAX(B54:B58) -MIN(B54:B58))/((COUNT(B54:B58)-2)*1000)</f>
        <v>1.0503333333333333</v>
      </c>
      <c r="C59">
        <f t="shared" si="15"/>
        <v>2.4543333333333335</v>
      </c>
      <c r="D59">
        <f t="shared" si="15"/>
        <v>8.1276666666666664</v>
      </c>
      <c r="E59">
        <f t="shared" si="15"/>
        <v>15.834</v>
      </c>
      <c r="F59">
        <f t="shared" si="15"/>
        <v>10.155666666666667</v>
      </c>
      <c r="G59">
        <f t="shared" si="15"/>
        <v>29.26</v>
      </c>
      <c r="H59">
        <f t="shared" si="15"/>
        <v>24.117999999999999</v>
      </c>
      <c r="I59" t="s">
        <v>17</v>
      </c>
    </row>
    <row r="60" spans="1:9">
      <c r="A60" t="s">
        <v>15</v>
      </c>
      <c r="B60">
        <f>STDEV(B54:B58)/1000</f>
        <v>1.3030732903411326E-2</v>
      </c>
      <c r="C60">
        <f t="shared" ref="C60:G60" si="16">STDEV(C54:C58)/1000</f>
        <v>1.7683325479111282E-2</v>
      </c>
      <c r="D60">
        <f t="shared" si="16"/>
        <v>3.3700148367670137E-2</v>
      </c>
      <c r="E60">
        <f t="shared" si="16"/>
        <v>0.30414930544062058</v>
      </c>
      <c r="F60">
        <f t="shared" si="16"/>
        <v>7.4499664428794451E-2</v>
      </c>
      <c r="G60">
        <f t="shared" si="16"/>
        <v>0.65740573468745489</v>
      </c>
      <c r="H60">
        <f>STDEV(H54:H58)/1000</f>
        <v>0.53071480099960255</v>
      </c>
    </row>
    <row r="61" spans="1:9">
      <c r="A61" t="s">
        <v>16</v>
      </c>
      <c r="B61">
        <f>CONFIDENCE(0.05,B60,5)</f>
        <v>1.142173111007295E-2</v>
      </c>
      <c r="C61">
        <f t="shared" ref="C61:G61" si="17">CONFIDENCE(0.05,C60,5)</f>
        <v>1.5499833374793217E-2</v>
      </c>
      <c r="D61">
        <f t="shared" si="17"/>
        <v>2.9538939665037966E-2</v>
      </c>
      <c r="E61">
        <f t="shared" si="17"/>
        <v>0.26659372191941544</v>
      </c>
      <c r="F61">
        <f t="shared" si="17"/>
        <v>6.5300635137229682E-2</v>
      </c>
      <c r="G61">
        <f t="shared" si="17"/>
        <v>0.57623094475786207</v>
      </c>
      <c r="H61">
        <f>CONFIDENCE(0.05,H60,5)</f>
        <v>0.4651834856937665</v>
      </c>
    </row>
    <row r="63" spans="1:9">
      <c r="A63" t="s">
        <v>6</v>
      </c>
    </row>
    <row r="64" spans="1:9">
      <c r="A64" t="s">
        <v>8</v>
      </c>
      <c r="B64">
        <v>2465</v>
      </c>
      <c r="C64">
        <v>5866</v>
      </c>
      <c r="D64">
        <v>19201</v>
      </c>
      <c r="E64">
        <v>35319</v>
      </c>
      <c r="F64">
        <v>24866</v>
      </c>
      <c r="G64">
        <v>62556</v>
      </c>
      <c r="H64">
        <v>53118</v>
      </c>
    </row>
    <row r="65" spans="1:9">
      <c r="A65" t="s">
        <v>9</v>
      </c>
      <c r="B65">
        <v>2465</v>
      </c>
      <c r="C65">
        <v>6100</v>
      </c>
      <c r="D65">
        <v>20098</v>
      </c>
      <c r="E65">
        <v>44507</v>
      </c>
      <c r="F65">
        <v>31107</v>
      </c>
      <c r="G65">
        <v>66831</v>
      </c>
      <c r="H65">
        <v>79654</v>
      </c>
    </row>
    <row r="66" spans="1:9">
      <c r="A66" t="s">
        <v>10</v>
      </c>
      <c r="B66">
        <v>2449</v>
      </c>
      <c r="C66">
        <v>6100</v>
      </c>
      <c r="D66">
        <v>20098</v>
      </c>
      <c r="E66">
        <v>38579</v>
      </c>
      <c r="F66">
        <v>30498</v>
      </c>
      <c r="G66">
        <v>65349</v>
      </c>
      <c r="H66">
        <v>71059</v>
      </c>
    </row>
    <row r="67" spans="1:9">
      <c r="A67" t="s">
        <v>11</v>
      </c>
      <c r="B67">
        <v>2449</v>
      </c>
      <c r="C67">
        <v>6100</v>
      </c>
      <c r="D67">
        <v>20035</v>
      </c>
      <c r="E67">
        <v>39484</v>
      </c>
      <c r="F67">
        <v>30701</v>
      </c>
      <c r="G67">
        <v>65287</v>
      </c>
      <c r="H67">
        <v>76238</v>
      </c>
    </row>
    <row r="68" spans="1:9">
      <c r="A68" t="s">
        <v>12</v>
      </c>
      <c r="B68">
        <v>2465</v>
      </c>
      <c r="C68">
        <v>6100</v>
      </c>
      <c r="D68">
        <v>20097</v>
      </c>
      <c r="E68">
        <v>39749</v>
      </c>
      <c r="F68">
        <v>31964</v>
      </c>
      <c r="G68">
        <v>66581</v>
      </c>
      <c r="H68">
        <v>58563</v>
      </c>
    </row>
    <row r="69" spans="1:9">
      <c r="A69" t="s">
        <v>13</v>
      </c>
      <c r="B69">
        <f t="shared" ref="B69:H69" si="18">(SUM(B64:B68) -MAX(B64:B68) -MIN(B64:B68))/((COUNT(B64:B68)-2)*1000)</f>
        <v>2.4596666666666667</v>
      </c>
      <c r="C69">
        <f t="shared" si="18"/>
        <v>6.1</v>
      </c>
      <c r="D69">
        <f t="shared" si="18"/>
        <v>20.076666666666668</v>
      </c>
      <c r="E69">
        <f t="shared" si="18"/>
        <v>39.270666666666664</v>
      </c>
      <c r="F69">
        <f t="shared" si="18"/>
        <v>30.768666666666668</v>
      </c>
      <c r="G69">
        <f t="shared" si="18"/>
        <v>65.739000000000004</v>
      </c>
      <c r="H69">
        <f t="shared" si="18"/>
        <v>68.62</v>
      </c>
      <c r="I69" t="s">
        <v>17</v>
      </c>
    </row>
    <row r="70" spans="1:9">
      <c r="A70" t="s">
        <v>15</v>
      </c>
      <c r="B70">
        <f>STDEV(B64:B68)/1000</f>
        <v>8.7635609200720308E-3</v>
      </c>
      <c r="C70">
        <f t="shared" ref="C70:G70" si="19">STDEV(C64:C68)/1000</f>
        <v>0.1046479813470044</v>
      </c>
      <c r="D70">
        <f t="shared" si="19"/>
        <v>0.39492872774715704</v>
      </c>
      <c r="E70">
        <f t="shared" si="19"/>
        <v>3.2961151072133315</v>
      </c>
      <c r="F70">
        <f t="shared" si="19"/>
        <v>2.8297882782992878</v>
      </c>
      <c r="G70">
        <f t="shared" si="19"/>
        <v>1.6966779894841004</v>
      </c>
      <c r="H70">
        <f>STDEV(H64:H68)/1000</f>
        <v>11.436722095950403</v>
      </c>
    </row>
    <row r="71" spans="1:9">
      <c r="A71" t="s">
        <v>16</v>
      </c>
      <c r="B71">
        <f>CONFIDENCE(0.05,B70,5)</f>
        <v>7.6814586821591811E-3</v>
      </c>
      <c r="C71">
        <f t="shared" ref="C71:G71" si="20">CONFIDENCE(0.05,C70,5)</f>
        <v>9.1726314476487006E-2</v>
      </c>
      <c r="D71">
        <f t="shared" si="20"/>
        <v>0.3461639317916152</v>
      </c>
      <c r="E71">
        <f t="shared" si="20"/>
        <v>2.8891191878074807</v>
      </c>
      <c r="F71">
        <f t="shared" si="20"/>
        <v>2.4803732109887222</v>
      </c>
      <c r="G71">
        <f t="shared" si="20"/>
        <v>1.4871765018829701</v>
      </c>
      <c r="H71">
        <f>CONFIDENCE(0.05,H70,5)</f>
        <v>10.024544707410772</v>
      </c>
    </row>
    <row r="73" spans="1:9">
      <c r="A73" s="1" t="s">
        <v>33</v>
      </c>
    </row>
    <row r="74" spans="1:9">
      <c r="A74" t="s">
        <v>27</v>
      </c>
    </row>
    <row r="75" spans="1:9">
      <c r="A75" t="s">
        <v>8</v>
      </c>
    </row>
    <row r="76" spans="1:9">
      <c r="A76" t="s">
        <v>9</v>
      </c>
    </row>
    <row r="77" spans="1:9">
      <c r="A77" t="s">
        <v>10</v>
      </c>
    </row>
    <row r="78" spans="1:9">
      <c r="A78" t="s">
        <v>11</v>
      </c>
    </row>
    <row r="79" spans="1:9">
      <c r="A79" t="s">
        <v>12</v>
      </c>
    </row>
    <row r="80" spans="1:9">
      <c r="A80" t="s">
        <v>13</v>
      </c>
      <c r="B80">
        <f t="shared" ref="B80:H80" si="21">(SUM(B75:B79) -MAX(B75:B79) -MIN(B75:B79))/((COUNT(B75:B79)-2)*1000)</f>
        <v>0</v>
      </c>
      <c r="C80">
        <f t="shared" si="21"/>
        <v>0</v>
      </c>
      <c r="D80">
        <f t="shared" si="21"/>
        <v>0</v>
      </c>
      <c r="E80">
        <f t="shared" si="21"/>
        <v>0</v>
      </c>
      <c r="F80">
        <f t="shared" si="21"/>
        <v>0</v>
      </c>
      <c r="G80">
        <f t="shared" si="21"/>
        <v>0</v>
      </c>
      <c r="H80">
        <f t="shared" si="21"/>
        <v>0</v>
      </c>
    </row>
    <row r="81" spans="1:8">
      <c r="A81" t="s">
        <v>15</v>
      </c>
      <c r="B81" t="e">
        <f>STDEV(B75:B79)/1000</f>
        <v>#DIV/0!</v>
      </c>
      <c r="C81" t="e">
        <f t="shared" ref="C81:H81" si="22">STDEV(C75:C79)/1000</f>
        <v>#DIV/0!</v>
      </c>
      <c r="D81" t="e">
        <f t="shared" si="22"/>
        <v>#DIV/0!</v>
      </c>
      <c r="E81" t="e">
        <f t="shared" si="22"/>
        <v>#DIV/0!</v>
      </c>
      <c r="F81" t="e">
        <f t="shared" si="22"/>
        <v>#DIV/0!</v>
      </c>
      <c r="G81" t="e">
        <f t="shared" si="22"/>
        <v>#DIV/0!</v>
      </c>
      <c r="H81" t="e">
        <f t="shared" si="22"/>
        <v>#DIV/0!</v>
      </c>
    </row>
    <row r="82" spans="1:8">
      <c r="A82" t="s">
        <v>16</v>
      </c>
      <c r="B82" t="e">
        <f>CONFIDENCE(0.05,B81,5)</f>
        <v>#DIV/0!</v>
      </c>
      <c r="C82" t="e">
        <f t="shared" ref="C82:H82" si="23">CONFIDENCE(0.05,C81,5)</f>
        <v>#DIV/0!</v>
      </c>
      <c r="D82" t="e">
        <f t="shared" si="23"/>
        <v>#DIV/0!</v>
      </c>
      <c r="E82" t="e">
        <f t="shared" si="23"/>
        <v>#DIV/0!</v>
      </c>
      <c r="F82" t="e">
        <f t="shared" si="23"/>
        <v>#DIV/0!</v>
      </c>
      <c r="G82" t="e">
        <f t="shared" si="23"/>
        <v>#DIV/0!</v>
      </c>
      <c r="H82" t="e">
        <f t="shared" si="23"/>
        <v>#DIV/0!</v>
      </c>
    </row>
    <row r="84" spans="1:8">
      <c r="A84" t="s">
        <v>28</v>
      </c>
    </row>
    <row r="85" spans="1:8">
      <c r="A85" t="s">
        <v>8</v>
      </c>
    </row>
    <row r="86" spans="1:8">
      <c r="A86" t="s">
        <v>9</v>
      </c>
    </row>
    <row r="87" spans="1:8">
      <c r="A87" t="s">
        <v>10</v>
      </c>
    </row>
    <row r="88" spans="1:8">
      <c r="A88" t="s">
        <v>11</v>
      </c>
    </row>
    <row r="89" spans="1:8">
      <c r="A89" t="s">
        <v>12</v>
      </c>
    </row>
    <row r="90" spans="1:8">
      <c r="A90" t="s">
        <v>13</v>
      </c>
      <c r="B90">
        <f>(SUM(B85:B89) -MAX(B85:B89) -MIN(B85:B89))/((COUNT(B85:B89)-2)*1000)</f>
        <v>0</v>
      </c>
      <c r="C90">
        <f t="shared" ref="C90:H90" si="24">(SUM(C85:C89) -MAX(C85:C89) -MIN(C85:C89))/((COUNT(C85:C89)-2)*1000)</f>
        <v>0</v>
      </c>
      <c r="D90">
        <f t="shared" si="24"/>
        <v>0</v>
      </c>
      <c r="E90">
        <f t="shared" si="24"/>
        <v>0</v>
      </c>
      <c r="F90">
        <f t="shared" si="24"/>
        <v>0</v>
      </c>
      <c r="G90">
        <f t="shared" si="24"/>
        <v>0</v>
      </c>
      <c r="H90">
        <f t="shared" si="24"/>
        <v>0</v>
      </c>
    </row>
    <row r="91" spans="1:8">
      <c r="A91" t="s">
        <v>15</v>
      </c>
      <c r="B91" t="e">
        <f>STDEV(B85:B89)/1000</f>
        <v>#DIV/0!</v>
      </c>
      <c r="C91" t="e">
        <f t="shared" ref="C91:H91" si="25">STDEV(C85:C89)/1000</f>
        <v>#DIV/0!</v>
      </c>
      <c r="D91" t="e">
        <f t="shared" si="25"/>
        <v>#DIV/0!</v>
      </c>
      <c r="E91" t="e">
        <f t="shared" si="25"/>
        <v>#DIV/0!</v>
      </c>
      <c r="F91" t="e">
        <f t="shared" si="25"/>
        <v>#DIV/0!</v>
      </c>
      <c r="G91" t="e">
        <f t="shared" si="25"/>
        <v>#DIV/0!</v>
      </c>
      <c r="H91" t="e">
        <f t="shared" si="25"/>
        <v>#DIV/0!</v>
      </c>
    </row>
    <row r="92" spans="1:8">
      <c r="A92" t="s">
        <v>16</v>
      </c>
      <c r="B92" t="e">
        <f>CONFIDENCE(0.05,B91,5)</f>
        <v>#DIV/0!</v>
      </c>
      <c r="C92" t="e">
        <f t="shared" ref="C92:H92" si="26">CONFIDENCE(0.05,C91,5)</f>
        <v>#DIV/0!</v>
      </c>
      <c r="D92" t="e">
        <f t="shared" si="26"/>
        <v>#DIV/0!</v>
      </c>
      <c r="E92" t="e">
        <f t="shared" si="26"/>
        <v>#DIV/0!</v>
      </c>
      <c r="F92" t="e">
        <f t="shared" si="26"/>
        <v>#DIV/0!</v>
      </c>
      <c r="G92" t="e">
        <f t="shared" si="26"/>
        <v>#DIV/0!</v>
      </c>
      <c r="H92" t="e">
        <f t="shared" si="26"/>
        <v>#DIV/0!</v>
      </c>
    </row>
    <row r="94" spans="1:8">
      <c r="A94" t="s">
        <v>29</v>
      </c>
    </row>
    <row r="95" spans="1:8">
      <c r="A95" t="s">
        <v>8</v>
      </c>
    </row>
    <row r="96" spans="1:8">
      <c r="A96" t="s">
        <v>9</v>
      </c>
    </row>
    <row r="97" spans="1:8">
      <c r="A97" t="s">
        <v>10</v>
      </c>
    </row>
    <row r="98" spans="1:8">
      <c r="A98" t="s">
        <v>11</v>
      </c>
    </row>
    <row r="99" spans="1:8">
      <c r="A99" t="s">
        <v>12</v>
      </c>
    </row>
    <row r="100" spans="1:8">
      <c r="A100" t="s">
        <v>13</v>
      </c>
      <c r="B100">
        <f t="shared" ref="B100:H100" si="27">(SUM(B95:B99) -MAX(B95:B99) -MIN(B95:B99))/((COUNT(B95:B99)-2)*1000)</f>
        <v>0</v>
      </c>
      <c r="C100">
        <f t="shared" si="27"/>
        <v>0</v>
      </c>
      <c r="D100">
        <f t="shared" si="27"/>
        <v>0</v>
      </c>
      <c r="E100">
        <f t="shared" si="27"/>
        <v>0</v>
      </c>
      <c r="F100">
        <f t="shared" si="27"/>
        <v>0</v>
      </c>
      <c r="G100">
        <f t="shared" si="27"/>
        <v>0</v>
      </c>
      <c r="H100">
        <f t="shared" si="27"/>
        <v>0</v>
      </c>
    </row>
    <row r="101" spans="1:8">
      <c r="A101" t="s">
        <v>15</v>
      </c>
      <c r="B101" t="e">
        <f>STDEV(B95:B99)/1000</f>
        <v>#DIV/0!</v>
      </c>
      <c r="C101" t="e">
        <f t="shared" ref="C101:H101" si="28">STDEV(C95:C99)/1000</f>
        <v>#DIV/0!</v>
      </c>
      <c r="D101" t="e">
        <f t="shared" si="28"/>
        <v>#DIV/0!</v>
      </c>
      <c r="E101" t="e">
        <f t="shared" si="28"/>
        <v>#DIV/0!</v>
      </c>
      <c r="F101" t="e">
        <f t="shared" si="28"/>
        <v>#DIV/0!</v>
      </c>
      <c r="G101" t="e">
        <f t="shared" si="28"/>
        <v>#DIV/0!</v>
      </c>
      <c r="H101" t="e">
        <f t="shared" si="28"/>
        <v>#DIV/0!</v>
      </c>
    </row>
    <row r="102" spans="1:8">
      <c r="A102" t="s">
        <v>16</v>
      </c>
      <c r="B102" t="e">
        <f>CONFIDENCE(0.05,B101,5)</f>
        <v>#DIV/0!</v>
      </c>
      <c r="C102" t="e">
        <f t="shared" ref="C102:H102" si="29">CONFIDENCE(0.05,C101,5)</f>
        <v>#DIV/0!</v>
      </c>
      <c r="D102" t="e">
        <f t="shared" si="29"/>
        <v>#DIV/0!</v>
      </c>
      <c r="E102" t="e">
        <f t="shared" si="29"/>
        <v>#DIV/0!</v>
      </c>
      <c r="F102" t="e">
        <f t="shared" si="29"/>
        <v>#DIV/0!</v>
      </c>
      <c r="G102" t="e">
        <f t="shared" si="29"/>
        <v>#DIV/0!</v>
      </c>
      <c r="H102" t="e">
        <f t="shared" si="29"/>
        <v>#DIV/0!</v>
      </c>
    </row>
    <row r="104" spans="1:8">
      <c r="A104" t="s">
        <v>30</v>
      </c>
    </row>
    <row r="105" spans="1:8">
      <c r="A105" t="s">
        <v>8</v>
      </c>
    </row>
    <row r="106" spans="1:8">
      <c r="A106" t="s">
        <v>9</v>
      </c>
    </row>
    <row r="107" spans="1:8">
      <c r="A107" t="s">
        <v>10</v>
      </c>
    </row>
    <row r="108" spans="1:8">
      <c r="A108" t="s">
        <v>11</v>
      </c>
    </row>
    <row r="109" spans="1:8">
      <c r="A109" t="s">
        <v>12</v>
      </c>
    </row>
    <row r="110" spans="1:8">
      <c r="A110" t="s">
        <v>13</v>
      </c>
      <c r="B110">
        <f t="shared" ref="B110:H110" si="30">(SUM(B105:B109) -MAX(B105:B109) -MIN(B105:B109))/((COUNT(B105:B109)-2)*1000)</f>
        <v>0</v>
      </c>
      <c r="C110">
        <f t="shared" si="30"/>
        <v>0</v>
      </c>
      <c r="D110">
        <f t="shared" si="30"/>
        <v>0</v>
      </c>
      <c r="E110">
        <f t="shared" si="30"/>
        <v>0</v>
      </c>
      <c r="F110">
        <f t="shared" si="30"/>
        <v>0</v>
      </c>
      <c r="G110">
        <f t="shared" si="30"/>
        <v>0</v>
      </c>
      <c r="H110">
        <f t="shared" si="30"/>
        <v>0</v>
      </c>
    </row>
    <row r="111" spans="1:8">
      <c r="A111" t="s">
        <v>15</v>
      </c>
      <c r="B111" t="e">
        <f>STDEV(B105:B109)/1000</f>
        <v>#DIV/0!</v>
      </c>
      <c r="C111" t="e">
        <f t="shared" ref="C111:H111" si="31">STDEV(C105:C109)/1000</f>
        <v>#DIV/0!</v>
      </c>
      <c r="D111" t="e">
        <f t="shared" si="31"/>
        <v>#DIV/0!</v>
      </c>
      <c r="E111" t="e">
        <f t="shared" si="31"/>
        <v>#DIV/0!</v>
      </c>
      <c r="F111" t="e">
        <f t="shared" si="31"/>
        <v>#DIV/0!</v>
      </c>
      <c r="G111" t="e">
        <f t="shared" si="31"/>
        <v>#DIV/0!</v>
      </c>
      <c r="H111" t="e">
        <f t="shared" si="31"/>
        <v>#DIV/0!</v>
      </c>
    </row>
    <row r="112" spans="1:8">
      <c r="A112" t="s">
        <v>16</v>
      </c>
      <c r="B112" t="e">
        <f>CONFIDENCE(0.05,B111,5)</f>
        <v>#DIV/0!</v>
      </c>
      <c r="C112" t="e">
        <f t="shared" ref="C112:H112" si="32">CONFIDENCE(0.05,C111,5)</f>
        <v>#DIV/0!</v>
      </c>
      <c r="D112" t="e">
        <f t="shared" si="32"/>
        <v>#DIV/0!</v>
      </c>
      <c r="E112" t="e">
        <f t="shared" si="32"/>
        <v>#DIV/0!</v>
      </c>
      <c r="F112" t="e">
        <f t="shared" si="32"/>
        <v>#DIV/0!</v>
      </c>
      <c r="G112" t="e">
        <f t="shared" si="32"/>
        <v>#DIV/0!</v>
      </c>
      <c r="H112" t="e">
        <f t="shared" si="32"/>
        <v>#DIV/0!</v>
      </c>
    </row>
    <row r="114" spans="1:8">
      <c r="A114" t="s">
        <v>31</v>
      </c>
    </row>
    <row r="115" spans="1:8">
      <c r="A115" t="s">
        <v>8</v>
      </c>
    </row>
    <row r="116" spans="1:8">
      <c r="A116" t="s">
        <v>9</v>
      </c>
    </row>
    <row r="117" spans="1:8">
      <c r="A117" t="s">
        <v>10</v>
      </c>
    </row>
    <row r="118" spans="1:8">
      <c r="A118" t="s">
        <v>11</v>
      </c>
    </row>
    <row r="119" spans="1:8">
      <c r="A119" t="s">
        <v>12</v>
      </c>
    </row>
    <row r="120" spans="1:8">
      <c r="A120" t="s">
        <v>13</v>
      </c>
      <c r="B120">
        <f t="shared" ref="B120:H120" si="33">(SUM(B115:B119) -MAX(B115:B119) -MIN(B115:B119))/((COUNT(B115:B119)-2)*1000)</f>
        <v>0</v>
      </c>
      <c r="C120">
        <f t="shared" si="33"/>
        <v>0</v>
      </c>
      <c r="D120">
        <f t="shared" si="33"/>
        <v>0</v>
      </c>
      <c r="E120">
        <f t="shared" si="33"/>
        <v>0</v>
      </c>
      <c r="F120">
        <f t="shared" si="33"/>
        <v>0</v>
      </c>
      <c r="G120">
        <f t="shared" si="33"/>
        <v>0</v>
      </c>
      <c r="H120">
        <f t="shared" si="33"/>
        <v>0</v>
      </c>
    </row>
    <row r="121" spans="1:8">
      <c r="A121" t="s">
        <v>15</v>
      </c>
      <c r="B121" t="e">
        <f>STDEV(B115:B119)/1000</f>
        <v>#DIV/0!</v>
      </c>
      <c r="C121" t="e">
        <f t="shared" ref="C121:H121" si="34">STDEV(C115:C119)/1000</f>
        <v>#DIV/0!</v>
      </c>
      <c r="D121" t="e">
        <f t="shared" si="34"/>
        <v>#DIV/0!</v>
      </c>
      <c r="E121" t="e">
        <f t="shared" si="34"/>
        <v>#DIV/0!</v>
      </c>
      <c r="F121" t="e">
        <f t="shared" si="34"/>
        <v>#DIV/0!</v>
      </c>
      <c r="G121" t="e">
        <f t="shared" si="34"/>
        <v>#DIV/0!</v>
      </c>
      <c r="H121" t="e">
        <f t="shared" si="34"/>
        <v>#DIV/0!</v>
      </c>
    </row>
    <row r="122" spans="1:8">
      <c r="A122" t="s">
        <v>16</v>
      </c>
      <c r="B122" t="e">
        <f>CONFIDENCE(0.05,B121,5)</f>
        <v>#DIV/0!</v>
      </c>
      <c r="C122" t="e">
        <f t="shared" ref="C122:H122" si="35">CONFIDENCE(0.05,C121,5)</f>
        <v>#DIV/0!</v>
      </c>
      <c r="D122" t="e">
        <f t="shared" si="35"/>
        <v>#DIV/0!</v>
      </c>
      <c r="E122" t="e">
        <f t="shared" si="35"/>
        <v>#DIV/0!</v>
      </c>
      <c r="F122" t="e">
        <f t="shared" si="35"/>
        <v>#DIV/0!</v>
      </c>
      <c r="G122" t="e">
        <f t="shared" si="35"/>
        <v>#DIV/0!</v>
      </c>
      <c r="H122" t="e">
        <f t="shared" si="35"/>
        <v>#DIV/0!</v>
      </c>
    </row>
    <row r="124" spans="1:8">
      <c r="A124" t="s">
        <v>32</v>
      </c>
    </row>
    <row r="125" spans="1:8">
      <c r="A125" t="s">
        <v>8</v>
      </c>
    </row>
    <row r="126" spans="1:8">
      <c r="A126" t="s">
        <v>9</v>
      </c>
    </row>
    <row r="127" spans="1:8">
      <c r="A127" t="s">
        <v>10</v>
      </c>
    </row>
    <row r="128" spans="1:8">
      <c r="A128" t="s">
        <v>11</v>
      </c>
    </row>
    <row r="129" spans="1:8">
      <c r="A129" t="s">
        <v>12</v>
      </c>
    </row>
    <row r="130" spans="1:8">
      <c r="A130" t="s">
        <v>13</v>
      </c>
      <c r="B130">
        <f t="shared" ref="B130:H130" si="36">(SUM(B125:B129) -MAX(B125:B129) -MIN(B125:B129))/((COUNT(B125:B129)-2)*1000)</f>
        <v>0</v>
      </c>
      <c r="C130">
        <f t="shared" si="36"/>
        <v>0</v>
      </c>
      <c r="D130">
        <f t="shared" si="36"/>
        <v>0</v>
      </c>
      <c r="E130">
        <f t="shared" si="36"/>
        <v>0</v>
      </c>
      <c r="F130">
        <f t="shared" si="36"/>
        <v>0</v>
      </c>
      <c r="G130">
        <f t="shared" si="36"/>
        <v>0</v>
      </c>
      <c r="H130">
        <f t="shared" si="36"/>
        <v>0</v>
      </c>
    </row>
    <row r="131" spans="1:8">
      <c r="A131" t="s">
        <v>15</v>
      </c>
      <c r="B131" t="e">
        <f>STDEV(B125:B129)/1000</f>
        <v>#DIV/0!</v>
      </c>
      <c r="C131" t="e">
        <f t="shared" ref="C131:H131" si="37">STDEV(C125:C129)/1000</f>
        <v>#DIV/0!</v>
      </c>
      <c r="D131" t="e">
        <f t="shared" si="37"/>
        <v>#DIV/0!</v>
      </c>
      <c r="E131" t="e">
        <f t="shared" si="37"/>
        <v>#DIV/0!</v>
      </c>
      <c r="F131" t="e">
        <f t="shared" si="37"/>
        <v>#DIV/0!</v>
      </c>
      <c r="G131" t="e">
        <f t="shared" si="37"/>
        <v>#DIV/0!</v>
      </c>
      <c r="H131" t="e">
        <f t="shared" si="37"/>
        <v>#DIV/0!</v>
      </c>
    </row>
    <row r="132" spans="1:8">
      <c r="A132" t="s">
        <v>16</v>
      </c>
      <c r="B132" t="e">
        <f>CONFIDENCE(0.05,B131,5)</f>
        <v>#DIV/0!</v>
      </c>
      <c r="C132" t="e">
        <f t="shared" ref="C132:H132" si="38">CONFIDENCE(0.05,C131,5)</f>
        <v>#DIV/0!</v>
      </c>
      <c r="D132" t="e">
        <f t="shared" si="38"/>
        <v>#DIV/0!</v>
      </c>
      <c r="E132" t="e">
        <f t="shared" si="38"/>
        <v>#DIV/0!</v>
      </c>
      <c r="F132" t="e">
        <f t="shared" si="38"/>
        <v>#DIV/0!</v>
      </c>
      <c r="G132" t="e">
        <f t="shared" si="38"/>
        <v>#DIV/0!</v>
      </c>
      <c r="H132" t="e">
        <f t="shared" si="38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2"/>
  <sheetViews>
    <sheetView topLeftCell="A64" workbookViewId="0">
      <selection activeCell="A73" sqref="A73:XFD73"/>
    </sheetView>
  </sheetViews>
  <sheetFormatPr defaultRowHeight="14.4"/>
  <cols>
    <col min="1" max="1" width="24.109375" customWidth="1"/>
    <col min="2" max="12" width="12.6640625" customWidth="1"/>
    <col min="13" max="13" width="6.109375" customWidth="1"/>
    <col min="14" max="16" width="1.6640625" customWidth="1"/>
    <col min="17" max="17" width="2.109375" customWidth="1"/>
    <col min="18" max="18" width="22.5546875" bestFit="1" customWidth="1"/>
    <col min="19" max="19" width="29" bestFit="1" customWidth="1"/>
    <col min="20" max="21" width="22.5546875" bestFit="1" customWidth="1"/>
    <col min="22" max="28" width="29" bestFit="1" customWidth="1"/>
  </cols>
  <sheetData>
    <row r="1" spans="1:13">
      <c r="A1" t="s">
        <v>18</v>
      </c>
      <c r="B1" t="s">
        <v>24</v>
      </c>
    </row>
    <row r="2" spans="1:13">
      <c r="A2" t="s">
        <v>14</v>
      </c>
      <c r="B2">
        <v>2</v>
      </c>
      <c r="C2">
        <v>4</v>
      </c>
      <c r="D2">
        <v>6</v>
      </c>
      <c r="E2">
        <v>8</v>
      </c>
      <c r="F2">
        <v>10</v>
      </c>
      <c r="G2">
        <v>12</v>
      </c>
      <c r="H2">
        <v>14</v>
      </c>
      <c r="I2">
        <v>16</v>
      </c>
      <c r="J2">
        <v>18</v>
      </c>
      <c r="K2">
        <v>20</v>
      </c>
      <c r="L2">
        <v>22</v>
      </c>
    </row>
    <row r="3" spans="1:13">
      <c r="A3" t="s">
        <v>7</v>
      </c>
    </row>
    <row r="4" spans="1:13">
      <c r="A4" t="s">
        <v>8</v>
      </c>
      <c r="B4">
        <v>1498</v>
      </c>
      <c r="C4">
        <v>4820</v>
      </c>
      <c r="D4">
        <v>10593</v>
      </c>
      <c r="E4">
        <v>19220</v>
      </c>
      <c r="F4">
        <v>17441</v>
      </c>
      <c r="G4">
        <v>35818</v>
      </c>
      <c r="H4">
        <v>43259</v>
      </c>
      <c r="I4">
        <v>69810</v>
      </c>
      <c r="J4">
        <v>81698</v>
      </c>
      <c r="K4">
        <v>73165</v>
      </c>
      <c r="L4">
        <v>62541</v>
      </c>
    </row>
    <row r="5" spans="1:13">
      <c r="A5" t="s">
        <v>9</v>
      </c>
      <c r="B5">
        <v>1388</v>
      </c>
      <c r="C5">
        <v>4493</v>
      </c>
      <c r="D5">
        <v>10343</v>
      </c>
      <c r="E5">
        <v>20311</v>
      </c>
      <c r="F5">
        <v>17332</v>
      </c>
      <c r="G5">
        <v>43088</v>
      </c>
      <c r="H5">
        <v>44382</v>
      </c>
      <c r="I5">
        <v>78343</v>
      </c>
      <c r="J5">
        <v>94397</v>
      </c>
      <c r="K5">
        <v>76534</v>
      </c>
      <c r="L5">
        <v>63555</v>
      </c>
    </row>
    <row r="6" spans="1:13">
      <c r="A6" t="s">
        <v>10</v>
      </c>
      <c r="B6">
        <v>1373</v>
      </c>
      <c r="C6">
        <v>4493</v>
      </c>
      <c r="D6">
        <v>10233</v>
      </c>
      <c r="E6">
        <v>20998</v>
      </c>
      <c r="F6">
        <v>17269</v>
      </c>
      <c r="G6">
        <v>43244</v>
      </c>
      <c r="H6">
        <v>44492</v>
      </c>
      <c r="I6">
        <v>76783</v>
      </c>
      <c r="J6">
        <v>94958</v>
      </c>
      <c r="K6">
        <v>88626</v>
      </c>
      <c r="L6">
        <v>63508</v>
      </c>
    </row>
    <row r="7" spans="1:13">
      <c r="A7" t="s">
        <v>11</v>
      </c>
      <c r="B7">
        <v>1388</v>
      </c>
      <c r="C7">
        <v>4508</v>
      </c>
      <c r="D7">
        <v>10249</v>
      </c>
      <c r="E7">
        <v>19094</v>
      </c>
      <c r="F7">
        <v>17285</v>
      </c>
      <c r="G7">
        <v>42620</v>
      </c>
      <c r="H7">
        <v>44398</v>
      </c>
      <c r="I7">
        <v>76831</v>
      </c>
      <c r="J7">
        <v>92415</v>
      </c>
      <c r="K7">
        <v>88179</v>
      </c>
      <c r="L7">
        <v>63336</v>
      </c>
    </row>
    <row r="8" spans="1:13">
      <c r="A8" t="s">
        <v>12</v>
      </c>
      <c r="B8">
        <v>1389</v>
      </c>
      <c r="C8">
        <v>4508</v>
      </c>
      <c r="D8">
        <v>10296</v>
      </c>
      <c r="E8">
        <v>19079</v>
      </c>
      <c r="F8">
        <v>17300</v>
      </c>
      <c r="G8">
        <v>42417</v>
      </c>
      <c r="H8">
        <v>44476</v>
      </c>
      <c r="I8">
        <v>79201</v>
      </c>
      <c r="J8">
        <v>96253</v>
      </c>
      <c r="K8">
        <v>87760</v>
      </c>
      <c r="L8">
        <v>63384</v>
      </c>
    </row>
    <row r="9" spans="1:13">
      <c r="A9" t="s">
        <v>13</v>
      </c>
      <c r="B9">
        <f>(SUM(B4:B8) -MAX(B4:B8) -MIN(B4:B8))/((COUNT(B4:B8)-2)*1000)</f>
        <v>1.3883333333333334</v>
      </c>
      <c r="C9">
        <f t="shared" ref="C9:H9" si="0">(SUM(C4:C8) -MAX(C4:C8) -MIN(C4:C8))/((COUNT(C4:C8)-2)*1000)</f>
        <v>4.5030000000000001</v>
      </c>
      <c r="D9">
        <f t="shared" si="0"/>
        <v>10.295999999999999</v>
      </c>
      <c r="E9">
        <f t="shared" si="0"/>
        <v>19.541666666666668</v>
      </c>
      <c r="F9">
        <f t="shared" si="0"/>
        <v>17.305666666666667</v>
      </c>
      <c r="G9">
        <f t="shared" si="0"/>
        <v>42.708333333333336</v>
      </c>
      <c r="H9">
        <f t="shared" si="0"/>
        <v>44.418666666666667</v>
      </c>
      <c r="I9">
        <f t="shared" ref="I9" si="1">(SUM(I4:I8) -MAX(I4:I8) -MIN(I4:I8))/((COUNT(I4:I8)-2)*1000)</f>
        <v>77.319000000000003</v>
      </c>
      <c r="J9">
        <f t="shared" ref="J9" si="2">(SUM(J4:J8) -MAX(J4:J8) -MIN(J4:J8))/((COUNT(J4:J8)-2)*1000)</f>
        <v>93.923333333333332</v>
      </c>
      <c r="K9">
        <f t="shared" ref="K9" si="3">(SUM(K4:K8) -MAX(K4:K8) -MIN(K4:K8))/((COUNT(K4:K8)-2)*1000)</f>
        <v>84.157666666666671</v>
      </c>
      <c r="L9">
        <f t="shared" ref="L9" si="4">(SUM(L4:L8) -MAX(L4:L8) -MIN(L4:L8))/((COUNT(L4:L8)-2)*1000)</f>
        <v>63.409333333333336</v>
      </c>
      <c r="M9" t="s">
        <v>17</v>
      </c>
    </row>
    <row r="10" spans="1:13">
      <c r="A10" t="s">
        <v>15</v>
      </c>
      <c r="B10">
        <f>STDEV(B4:B8)/1000</f>
        <v>5.1192772927437583E-2</v>
      </c>
      <c r="C10">
        <f t="shared" ref="C10:G10" si="5">STDEV(C4:C8)/1000</f>
        <v>0.14308144533796388</v>
      </c>
      <c r="D10">
        <f t="shared" si="5"/>
        <v>0.1463256641878074</v>
      </c>
      <c r="E10">
        <f t="shared" si="5"/>
        <v>0.87081014004202539</v>
      </c>
      <c r="F10">
        <f t="shared" si="5"/>
        <v>6.867532307905018E-2</v>
      </c>
      <c r="G10">
        <f t="shared" si="5"/>
        <v>3.1592759930085172</v>
      </c>
      <c r="H10">
        <f>STDEV(H4:H8)/1000</f>
        <v>0.52897050957514702</v>
      </c>
      <c r="I10">
        <f t="shared" ref="I10:L10" si="6">STDEV(I4:I8)/1000</f>
        <v>3.7137715061646146</v>
      </c>
      <c r="J10">
        <f t="shared" si="6"/>
        <v>5.8921821679239317</v>
      </c>
      <c r="K10">
        <f t="shared" si="6"/>
        <v>7.4087711329207497</v>
      </c>
      <c r="L10">
        <f t="shared" si="6"/>
        <v>0.41428456403758185</v>
      </c>
    </row>
    <row r="11" spans="1:13">
      <c r="A11" t="s">
        <v>16</v>
      </c>
      <c r="B11">
        <f>CONFIDENCE(0.05,B10,5)</f>
        <v>4.4871619385517626E-2</v>
      </c>
      <c r="C11">
        <f t="shared" ref="C11:G11" si="7">CONFIDENCE(0.05,C10,5)</f>
        <v>0.12541411197700136</v>
      </c>
      <c r="D11">
        <f t="shared" si="7"/>
        <v>0.12825774292545264</v>
      </c>
      <c r="E11">
        <f t="shared" si="7"/>
        <v>0.7632847163094848</v>
      </c>
      <c r="F11">
        <f t="shared" si="7"/>
        <v>6.0195468660166604E-2</v>
      </c>
      <c r="G11">
        <f t="shared" si="7"/>
        <v>2.7691766197744281</v>
      </c>
      <c r="H11">
        <f>CONFIDENCE(0.05,H10,5)</f>
        <v>0.4636545749428968</v>
      </c>
      <c r="I11">
        <f t="shared" ref="I11:L11" si="8">CONFIDENCE(0.05,I10,5)</f>
        <v>3.2552044357043255</v>
      </c>
      <c r="J11">
        <f t="shared" si="8"/>
        <v>5.1646304833687147</v>
      </c>
      <c r="K11">
        <f t="shared" si="8"/>
        <v>6.4939548959781339</v>
      </c>
      <c r="L11">
        <f t="shared" si="8"/>
        <v>0.36312975859188273</v>
      </c>
    </row>
    <row r="13" spans="1:13">
      <c r="A13" t="s">
        <v>1</v>
      </c>
    </row>
    <row r="14" spans="1:13">
      <c r="A14" t="s">
        <v>8</v>
      </c>
      <c r="B14">
        <v>639</v>
      </c>
      <c r="C14">
        <v>2199</v>
      </c>
      <c r="D14">
        <v>4228</v>
      </c>
      <c r="E14">
        <v>6255</v>
      </c>
      <c r="F14">
        <v>7754</v>
      </c>
      <c r="G14">
        <v>11497</v>
      </c>
      <c r="H14">
        <v>13338</v>
      </c>
      <c r="I14">
        <v>16130</v>
      </c>
      <c r="J14">
        <v>17285</v>
      </c>
      <c r="K14">
        <v>18366</v>
      </c>
      <c r="L14">
        <v>19188</v>
      </c>
    </row>
    <row r="15" spans="1:13">
      <c r="A15" t="s">
        <v>9</v>
      </c>
      <c r="B15">
        <v>109</v>
      </c>
      <c r="C15">
        <v>343</v>
      </c>
      <c r="D15">
        <v>577</v>
      </c>
      <c r="E15">
        <v>920</v>
      </c>
      <c r="F15">
        <v>1279</v>
      </c>
      <c r="G15">
        <v>1342</v>
      </c>
      <c r="H15">
        <v>1529</v>
      </c>
      <c r="I15">
        <v>2902</v>
      </c>
      <c r="J15">
        <v>2558</v>
      </c>
      <c r="K15">
        <v>2388</v>
      </c>
      <c r="L15">
        <v>1919</v>
      </c>
    </row>
    <row r="16" spans="1:13">
      <c r="A16" t="s">
        <v>10</v>
      </c>
      <c r="B16">
        <v>125</v>
      </c>
      <c r="C16">
        <v>343</v>
      </c>
      <c r="D16">
        <v>561</v>
      </c>
      <c r="E16">
        <v>858</v>
      </c>
      <c r="F16">
        <v>1279</v>
      </c>
      <c r="G16">
        <v>1310</v>
      </c>
      <c r="H16">
        <v>1513</v>
      </c>
      <c r="I16">
        <v>2590</v>
      </c>
      <c r="J16">
        <v>2558</v>
      </c>
      <c r="K16">
        <v>2340</v>
      </c>
      <c r="L16">
        <v>1934</v>
      </c>
    </row>
    <row r="17" spans="1:13">
      <c r="A17" t="s">
        <v>11</v>
      </c>
      <c r="B17">
        <v>124</v>
      </c>
      <c r="C17">
        <v>328</v>
      </c>
      <c r="D17">
        <v>561</v>
      </c>
      <c r="E17">
        <v>826</v>
      </c>
      <c r="F17">
        <v>1263</v>
      </c>
      <c r="G17">
        <v>1342</v>
      </c>
      <c r="H17">
        <v>1514</v>
      </c>
      <c r="I17">
        <v>2371</v>
      </c>
      <c r="J17">
        <v>2465</v>
      </c>
      <c r="K17">
        <v>2293</v>
      </c>
      <c r="L17">
        <v>1981</v>
      </c>
    </row>
    <row r="18" spans="1:13">
      <c r="A18" t="s">
        <v>12</v>
      </c>
      <c r="B18">
        <v>125</v>
      </c>
      <c r="C18">
        <v>344</v>
      </c>
      <c r="D18">
        <v>593</v>
      </c>
      <c r="E18">
        <v>826</v>
      </c>
      <c r="F18">
        <v>1310</v>
      </c>
      <c r="G18">
        <v>1341</v>
      </c>
      <c r="H18">
        <v>1482</v>
      </c>
      <c r="I18">
        <v>2199</v>
      </c>
      <c r="J18">
        <v>2465</v>
      </c>
      <c r="K18">
        <v>2371</v>
      </c>
      <c r="L18">
        <v>1919</v>
      </c>
    </row>
    <row r="19" spans="1:13">
      <c r="A19" t="s">
        <v>13</v>
      </c>
      <c r="B19">
        <f t="shared" ref="B19:H19" si="9">(SUM(B14:B18) -MAX(B14:B18) -MIN(B14:B18))/((COUNT(B14:B18)-2)*1000)</f>
        <v>0.12466666666666666</v>
      </c>
      <c r="C19">
        <f t="shared" si="9"/>
        <v>0.34333333333333332</v>
      </c>
      <c r="D19">
        <f t="shared" si="9"/>
        <v>0.57699999999999996</v>
      </c>
      <c r="E19">
        <f t="shared" si="9"/>
        <v>0.86799999999999999</v>
      </c>
      <c r="F19">
        <f t="shared" si="9"/>
        <v>1.2893333333333334</v>
      </c>
      <c r="G19">
        <f t="shared" si="9"/>
        <v>1.3416666666666666</v>
      </c>
      <c r="H19">
        <f t="shared" si="9"/>
        <v>1.5186666666666666</v>
      </c>
      <c r="I19">
        <f t="shared" ref="I19" si="10">(SUM(I14:I18) -MAX(I14:I18) -MIN(I14:I18))/((COUNT(I14:I18)-2)*1000)</f>
        <v>2.621</v>
      </c>
      <c r="J19">
        <f t="shared" ref="J19" si="11">(SUM(J14:J18) -MAX(J14:J18) -MIN(J14:J18))/((COUNT(J14:J18)-2)*1000)</f>
        <v>2.5270000000000001</v>
      </c>
      <c r="K19">
        <f t="shared" ref="K19" si="12">(SUM(K14:K18) -MAX(K14:K18) -MIN(K14:K18))/((COUNT(K14:K18)-2)*1000)</f>
        <v>2.3663333333333334</v>
      </c>
      <c r="L19">
        <f t="shared" ref="L19" si="13">(SUM(L14:L18) -MAX(L14:L18) -MIN(L14:L18))/((COUNT(L14:L18)-2)*1000)</f>
        <v>1.9446666666666668</v>
      </c>
      <c r="M19" t="s">
        <v>17</v>
      </c>
    </row>
    <row r="20" spans="1:13">
      <c r="A20" t="s">
        <v>15</v>
      </c>
      <c r="B20">
        <f>STDEV(B14:B18)/1000</f>
        <v>0.23186806593405657</v>
      </c>
      <c r="C20">
        <f t="shared" ref="C20:G20" si="14">STDEV(C14:C18)/1000</f>
        <v>0.83162028594785975</v>
      </c>
      <c r="D20">
        <f t="shared" si="14"/>
        <v>1.6346195275965596</v>
      </c>
      <c r="E20">
        <f t="shared" si="14"/>
        <v>2.4141404267357771</v>
      </c>
      <c r="F20">
        <f t="shared" si="14"/>
        <v>2.8940811149655081</v>
      </c>
      <c r="G20">
        <f t="shared" si="14"/>
        <v>4.5451642764591034</v>
      </c>
      <c r="H20">
        <f>STDEV(H14:H18)/1000</f>
        <v>5.2898936378721269</v>
      </c>
      <c r="I20">
        <f t="shared" ref="I20:L20" si="15">STDEV(I14:I18)/1000</f>
        <v>6.0942528910441514</v>
      </c>
      <c r="J20">
        <f t="shared" si="15"/>
        <v>6.6070736865877313</v>
      </c>
      <c r="K20">
        <f t="shared" si="15"/>
        <v>7.1635584244145027</v>
      </c>
      <c r="L20">
        <f t="shared" si="15"/>
        <v>7.7143646335910265</v>
      </c>
    </row>
    <row r="21" spans="1:13">
      <c r="A21" t="s">
        <v>16</v>
      </c>
      <c r="B21">
        <f>CONFIDENCE(0.05,B20,5)</f>
        <v>0.20323758623109758</v>
      </c>
      <c r="C21">
        <f t="shared" ref="C21:G21" si="16">CONFIDENCE(0.05,C20,5)</f>
        <v>0.72893392583404115</v>
      </c>
      <c r="D21">
        <f t="shared" si="16"/>
        <v>1.4327808612050279</v>
      </c>
      <c r="E21">
        <f t="shared" si="16"/>
        <v>2.1160485001510763</v>
      </c>
      <c r="F21">
        <f t="shared" si="16"/>
        <v>2.5367273315242729</v>
      </c>
      <c r="G21">
        <f t="shared" si="16"/>
        <v>3.9839389389398532</v>
      </c>
      <c r="H21">
        <f>CONFIDENCE(0.05,H20,5)</f>
        <v>4.6367110108475718</v>
      </c>
      <c r="I21">
        <f t="shared" ref="I21" si="17">CONFIDENCE(0.05,I20,5)</f>
        <v>5.3417500269741964</v>
      </c>
      <c r="J21">
        <f t="shared" ref="J21" si="18">CONFIDENCE(0.05,J20,5)</f>
        <v>5.7912490135445589</v>
      </c>
      <c r="K21">
        <f t="shared" ref="K21" si="19">CONFIDENCE(0.05,K20,5)</f>
        <v>6.2790204297365735</v>
      </c>
      <c r="L21">
        <f t="shared" ref="L21" si="20">CONFIDENCE(0.05,L20,5)</f>
        <v>6.7618144875693362</v>
      </c>
    </row>
    <row r="23" spans="1:13">
      <c r="A23" t="s">
        <v>2</v>
      </c>
    </row>
    <row r="24" spans="1:13">
      <c r="A24" t="s">
        <v>8</v>
      </c>
      <c r="B24">
        <v>140</v>
      </c>
      <c r="C24">
        <v>453</v>
      </c>
      <c r="D24">
        <v>952</v>
      </c>
      <c r="E24">
        <v>1311</v>
      </c>
      <c r="F24">
        <v>2090</v>
      </c>
      <c r="G24">
        <v>1903</v>
      </c>
      <c r="H24">
        <v>1919</v>
      </c>
      <c r="I24">
        <v>3073</v>
      </c>
      <c r="J24">
        <v>3495</v>
      </c>
      <c r="K24">
        <v>3104</v>
      </c>
      <c r="L24">
        <v>2340</v>
      </c>
    </row>
    <row r="25" spans="1:13">
      <c r="A25" t="s">
        <v>9</v>
      </c>
      <c r="B25">
        <v>140</v>
      </c>
      <c r="C25">
        <v>468</v>
      </c>
      <c r="D25">
        <v>998</v>
      </c>
      <c r="E25">
        <v>1482</v>
      </c>
      <c r="F25">
        <v>2184</v>
      </c>
      <c r="G25">
        <v>2043</v>
      </c>
      <c r="H25">
        <v>2121</v>
      </c>
      <c r="I25">
        <v>3042</v>
      </c>
      <c r="J25">
        <v>3759</v>
      </c>
      <c r="K25">
        <v>3370</v>
      </c>
      <c r="L25">
        <v>2621</v>
      </c>
    </row>
    <row r="26" spans="1:13">
      <c r="A26" t="s">
        <v>10</v>
      </c>
      <c r="B26">
        <v>156</v>
      </c>
      <c r="C26">
        <v>452</v>
      </c>
      <c r="D26">
        <v>967</v>
      </c>
      <c r="E26">
        <v>1372</v>
      </c>
      <c r="F26">
        <v>2168</v>
      </c>
      <c r="G26">
        <v>1950</v>
      </c>
      <c r="H26">
        <v>1950</v>
      </c>
      <c r="I26">
        <v>2855</v>
      </c>
      <c r="J26">
        <v>3666</v>
      </c>
      <c r="K26">
        <v>3167</v>
      </c>
      <c r="L26">
        <v>2403</v>
      </c>
    </row>
    <row r="27" spans="1:13">
      <c r="A27" t="s">
        <v>11</v>
      </c>
      <c r="B27">
        <v>141</v>
      </c>
      <c r="C27">
        <v>468</v>
      </c>
      <c r="D27">
        <v>936</v>
      </c>
      <c r="E27">
        <v>1311</v>
      </c>
      <c r="F27">
        <v>2169</v>
      </c>
      <c r="G27">
        <v>1934</v>
      </c>
      <c r="H27">
        <v>1950</v>
      </c>
      <c r="I27">
        <v>2839</v>
      </c>
      <c r="J27">
        <v>3448</v>
      </c>
      <c r="K27">
        <v>3167</v>
      </c>
      <c r="L27">
        <v>2402</v>
      </c>
    </row>
    <row r="28" spans="1:13">
      <c r="A28" t="s">
        <v>12</v>
      </c>
      <c r="B28">
        <v>156</v>
      </c>
      <c r="C28">
        <v>453</v>
      </c>
      <c r="D28">
        <v>936</v>
      </c>
      <c r="E28">
        <v>1295</v>
      </c>
      <c r="F28">
        <v>2168</v>
      </c>
      <c r="G28">
        <v>1965</v>
      </c>
      <c r="H28">
        <v>1965</v>
      </c>
      <c r="I28">
        <v>2839</v>
      </c>
      <c r="J28">
        <v>3385</v>
      </c>
      <c r="K28">
        <v>3136</v>
      </c>
      <c r="L28">
        <v>2324</v>
      </c>
    </row>
    <row r="29" spans="1:13">
      <c r="A29" t="s">
        <v>13</v>
      </c>
      <c r="B29">
        <f t="shared" ref="B29:H29" si="21">(SUM(B24:B28) -MAX(B24:B28) -MIN(B24:B28))/((COUNT(B24:B28)-2)*1000)</f>
        <v>0.14566666666666667</v>
      </c>
      <c r="C29">
        <f t="shared" si="21"/>
        <v>0.45800000000000002</v>
      </c>
      <c r="D29">
        <f t="shared" si="21"/>
        <v>0.95166666666666666</v>
      </c>
      <c r="E29">
        <f t="shared" si="21"/>
        <v>1.3313333333333333</v>
      </c>
      <c r="F29">
        <f t="shared" si="21"/>
        <v>2.1683333333333334</v>
      </c>
      <c r="G29">
        <f t="shared" si="21"/>
        <v>1.9496666666666667</v>
      </c>
      <c r="H29">
        <f t="shared" si="21"/>
        <v>1.9550000000000001</v>
      </c>
      <c r="I29">
        <f t="shared" ref="I29" si="22">(SUM(I24:I28) -MAX(I24:I28) -MIN(I24:I28))/((COUNT(I24:I28)-2)*1000)</f>
        <v>2.9119999999999999</v>
      </c>
      <c r="J29">
        <f t="shared" ref="J29" si="23">(SUM(J24:J28) -MAX(J24:J28) -MIN(J24:J28))/((COUNT(J24:J28)-2)*1000)</f>
        <v>3.5363333333333333</v>
      </c>
      <c r="K29">
        <f t="shared" ref="K29" si="24">(SUM(K24:K28) -MAX(K24:K28) -MIN(K24:K28))/((COUNT(K24:K28)-2)*1000)</f>
        <v>3.1566666666666667</v>
      </c>
      <c r="L29">
        <f t="shared" ref="L29" si="25">(SUM(L24:L28) -MAX(L24:L28) -MIN(L24:L28))/((COUNT(L24:L28)-2)*1000)</f>
        <v>2.3816666666666668</v>
      </c>
      <c r="M29" t="s">
        <v>17</v>
      </c>
    </row>
    <row r="30" spans="1:13">
      <c r="A30" t="s">
        <v>15</v>
      </c>
      <c r="B30">
        <f>STDEV(B24:B28)/1000</f>
        <v>8.5906926379657692E-3</v>
      </c>
      <c r="C30">
        <f t="shared" ref="C30:G30" si="26">STDEV(C24:C28)/1000</f>
        <v>8.408329203831855E-3</v>
      </c>
      <c r="D30">
        <f t="shared" si="26"/>
        <v>2.5907527863537144E-2</v>
      </c>
      <c r="E30">
        <f t="shared" si="26"/>
        <v>7.7276775295040526E-2</v>
      </c>
      <c r="F30">
        <f t="shared" si="26"/>
        <v>3.7405881890421808E-2</v>
      </c>
      <c r="G30">
        <f t="shared" si="26"/>
        <v>5.2282884388679243E-2</v>
      </c>
      <c r="H30">
        <f>STDEV(H24:H28)/1000</f>
        <v>8.003436761791774E-2</v>
      </c>
      <c r="I30">
        <f t="shared" ref="I30:L30" si="27">STDEV(I24:I28)/1000</f>
        <v>0.11745126648955619</v>
      </c>
      <c r="J30">
        <f t="shared" si="27"/>
        <v>0.15635632382478409</v>
      </c>
      <c r="K30">
        <f t="shared" si="27"/>
        <v>0.10459780112411185</v>
      </c>
      <c r="L30">
        <f t="shared" si="27"/>
        <v>0.11896428035339011</v>
      </c>
    </row>
    <row r="31" spans="1:13">
      <c r="A31" t="s">
        <v>16</v>
      </c>
      <c r="B31">
        <f>CONFIDENCE(0.05,B30,5)</f>
        <v>7.5299357363422907E-3</v>
      </c>
      <c r="C31">
        <f t="shared" ref="C31:G31" si="28">CONFIDENCE(0.05,C30,5)</f>
        <v>7.3700900757469618E-3</v>
      </c>
      <c r="D31">
        <f t="shared" si="28"/>
        <v>2.2708532143006152E-2</v>
      </c>
      <c r="E31">
        <f t="shared" si="28"/>
        <v>6.7734835409174535E-2</v>
      </c>
      <c r="F31">
        <f t="shared" si="28"/>
        <v>3.2787098627100067E-2</v>
      </c>
      <c r="G31">
        <f t="shared" si="28"/>
        <v>4.5827126653036822E-2</v>
      </c>
      <c r="H31">
        <f>CONFIDENCE(0.05,H30,5)</f>
        <v>7.0151927237897344E-2</v>
      </c>
      <c r="I31">
        <f t="shared" ref="I31" si="29">CONFIDENCE(0.05,I30,5)</f>
        <v>0.1029486824973629</v>
      </c>
      <c r="J31">
        <f t="shared" ref="J31" si="30">CONFIDENCE(0.05,J30,5)</f>
        <v>0.13704984219411445</v>
      </c>
      <c r="K31">
        <f t="shared" ref="K31" si="31">CONFIDENCE(0.05,K30,5)</f>
        <v>9.1682330380030541E-2</v>
      </c>
      <c r="L31">
        <f t="shared" ref="L31" si="32">CONFIDENCE(0.05,L30,5)</f>
        <v>0.10427487325321821</v>
      </c>
    </row>
    <row r="33" spans="1:13">
      <c r="A33" t="s">
        <v>3</v>
      </c>
    </row>
    <row r="34" spans="1:13">
      <c r="A34" t="s">
        <v>8</v>
      </c>
      <c r="B34">
        <v>281</v>
      </c>
      <c r="C34">
        <v>1061</v>
      </c>
      <c r="D34">
        <v>2667</v>
      </c>
      <c r="E34">
        <v>3557</v>
      </c>
      <c r="F34">
        <v>5835</v>
      </c>
      <c r="G34">
        <v>4961</v>
      </c>
      <c r="H34">
        <v>4025</v>
      </c>
      <c r="I34">
        <v>6505</v>
      </c>
      <c r="J34">
        <v>8253</v>
      </c>
      <c r="K34">
        <v>6365</v>
      </c>
      <c r="L34">
        <v>4071</v>
      </c>
    </row>
    <row r="35" spans="1:13">
      <c r="A35" t="s">
        <v>9</v>
      </c>
      <c r="B35">
        <v>296</v>
      </c>
      <c r="C35">
        <v>1139</v>
      </c>
      <c r="D35">
        <v>2854</v>
      </c>
      <c r="E35">
        <v>3572</v>
      </c>
      <c r="F35">
        <v>6178</v>
      </c>
      <c r="G35">
        <v>5257</v>
      </c>
      <c r="H35">
        <v>4243</v>
      </c>
      <c r="I35">
        <v>6879</v>
      </c>
      <c r="J35">
        <v>9484</v>
      </c>
      <c r="K35">
        <v>6896</v>
      </c>
      <c r="L35">
        <v>4368</v>
      </c>
    </row>
    <row r="36" spans="1:13">
      <c r="A36" t="s">
        <v>10</v>
      </c>
      <c r="B36">
        <v>312</v>
      </c>
      <c r="C36">
        <v>1139</v>
      </c>
      <c r="D36">
        <v>2855</v>
      </c>
      <c r="E36">
        <v>3510</v>
      </c>
      <c r="F36">
        <v>6193</v>
      </c>
      <c r="G36">
        <v>5257</v>
      </c>
      <c r="H36">
        <v>4259</v>
      </c>
      <c r="I36">
        <v>6864</v>
      </c>
      <c r="J36">
        <v>9251</v>
      </c>
      <c r="K36">
        <v>6755</v>
      </c>
      <c r="L36">
        <v>4306</v>
      </c>
    </row>
    <row r="37" spans="1:13">
      <c r="A37" t="s">
        <v>11</v>
      </c>
      <c r="B37">
        <v>312</v>
      </c>
      <c r="C37">
        <v>1155</v>
      </c>
      <c r="D37">
        <v>2839</v>
      </c>
      <c r="E37">
        <v>3463</v>
      </c>
      <c r="F37">
        <v>6209</v>
      </c>
      <c r="G37">
        <v>5258</v>
      </c>
      <c r="H37">
        <v>4243</v>
      </c>
      <c r="I37">
        <v>7051</v>
      </c>
      <c r="J37">
        <v>8861</v>
      </c>
      <c r="K37">
        <v>6786</v>
      </c>
      <c r="L37">
        <v>4305</v>
      </c>
    </row>
    <row r="38" spans="1:13">
      <c r="A38" t="s">
        <v>12</v>
      </c>
      <c r="B38">
        <v>312</v>
      </c>
      <c r="C38">
        <v>1139</v>
      </c>
      <c r="D38">
        <v>2855</v>
      </c>
      <c r="E38">
        <v>3463</v>
      </c>
      <c r="F38">
        <v>6193</v>
      </c>
      <c r="G38">
        <v>5257</v>
      </c>
      <c r="H38">
        <v>4259</v>
      </c>
      <c r="I38">
        <v>7254</v>
      </c>
      <c r="J38">
        <v>8799</v>
      </c>
      <c r="K38">
        <v>6755</v>
      </c>
      <c r="L38">
        <v>4368</v>
      </c>
    </row>
    <row r="39" spans="1:13">
      <c r="A39" t="s">
        <v>13</v>
      </c>
      <c r="B39">
        <f t="shared" ref="B39:H39" si="33">(SUM(B34:B38) -MAX(B34:B38) -MIN(B34:B38))/((COUNT(B34:B38)-2)*1000)</f>
        <v>0.30666666666666664</v>
      </c>
      <c r="C39">
        <f t="shared" si="33"/>
        <v>1.139</v>
      </c>
      <c r="D39">
        <f t="shared" si="33"/>
        <v>2.8493333333333335</v>
      </c>
      <c r="E39">
        <f t="shared" si="33"/>
        <v>3.51</v>
      </c>
      <c r="F39">
        <f t="shared" si="33"/>
        <v>6.1879999999999997</v>
      </c>
      <c r="G39">
        <f t="shared" si="33"/>
        <v>5.2569999999999997</v>
      </c>
      <c r="H39">
        <f t="shared" si="33"/>
        <v>4.2483333333333331</v>
      </c>
      <c r="I39">
        <f t="shared" ref="I39" si="34">(SUM(I34:I38) -MAX(I34:I38) -MIN(I34:I38))/((COUNT(I34:I38)-2)*1000)</f>
        <v>6.9313333333333329</v>
      </c>
      <c r="J39">
        <f t="shared" ref="J39" si="35">(SUM(J34:J38) -MAX(J34:J38) -MIN(J34:J38))/((COUNT(J34:J38)-2)*1000)</f>
        <v>8.9703333333333326</v>
      </c>
      <c r="K39">
        <f t="shared" ref="K39" si="36">(SUM(K34:K38) -MAX(K34:K38) -MIN(K34:K38))/((COUNT(K34:K38)-2)*1000)</f>
        <v>6.7653333333333334</v>
      </c>
      <c r="L39">
        <f t="shared" ref="L39" si="37">(SUM(L34:L38) -MAX(L34:L38) -MIN(L34:L38))/((COUNT(L34:L38)-2)*1000)</f>
        <v>4.3263333333333334</v>
      </c>
      <c r="M39" t="s">
        <v>17</v>
      </c>
    </row>
    <row r="40" spans="1:13">
      <c r="A40" t="s">
        <v>15</v>
      </c>
      <c r="B40">
        <f>STDEV(B34:B38)/1000</f>
        <v>1.3921206844235987E-2</v>
      </c>
      <c r="C40">
        <f t="shared" ref="C40:G40" si="38">STDEV(C34:C38)/1000</f>
        <v>3.7320235797755175E-2</v>
      </c>
      <c r="D40">
        <f t="shared" si="38"/>
        <v>8.2456048898792128E-2</v>
      </c>
      <c r="E40">
        <f t="shared" si="38"/>
        <v>5.1053893093475251E-2</v>
      </c>
      <c r="F40">
        <f t="shared" si="38"/>
        <v>0.16058891618040463</v>
      </c>
      <c r="G40">
        <f t="shared" si="38"/>
        <v>0.13248773528142144</v>
      </c>
      <c r="H40">
        <f>STDEV(H34:H38)/1000</f>
        <v>0.10138638961911631</v>
      </c>
      <c r="I40">
        <f t="shared" ref="I40:L40" si="39">STDEV(I34:I38)/1000</f>
        <v>0.27627757780898005</v>
      </c>
      <c r="J40">
        <f t="shared" si="39"/>
        <v>0.47175396129762071</v>
      </c>
      <c r="K40">
        <f t="shared" si="39"/>
        <v>0.20213683484213613</v>
      </c>
      <c r="L40">
        <f t="shared" si="39"/>
        <v>0.12288734678558548</v>
      </c>
    </row>
    <row r="41" spans="1:13">
      <c r="A41" t="s">
        <v>16</v>
      </c>
      <c r="B41">
        <f>CONFIDENCE(0.05,B40,5)</f>
        <v>1.2202251591001821E-2</v>
      </c>
      <c r="C41">
        <f t="shared" ref="C41:G41" si="40">CONFIDENCE(0.05,C40,5)</f>
        <v>3.2712027896365445E-2</v>
      </c>
      <c r="D41">
        <f t="shared" si="40"/>
        <v>7.2274585466676103E-2</v>
      </c>
      <c r="E41">
        <f t="shared" si="40"/>
        <v>4.4749888080618118E-2</v>
      </c>
      <c r="F41">
        <f t="shared" si="40"/>
        <v>0.14075980479888797</v>
      </c>
      <c r="G41">
        <f t="shared" si="40"/>
        <v>0.11612848632410912</v>
      </c>
      <c r="H41">
        <f>CONFIDENCE(0.05,H40,5)</f>
        <v>8.8867455808834969E-2</v>
      </c>
      <c r="I41">
        <f t="shared" ref="I41" si="41">CONFIDENCE(0.05,I40,5)</f>
        <v>0.24216352440547137</v>
      </c>
      <c r="J41">
        <f t="shared" ref="J41" si="42">CONFIDENCE(0.05,J40,5)</f>
        <v>0.41350298068365676</v>
      </c>
      <c r="K41">
        <f t="shared" ref="K41" si="43">CONFIDENCE(0.05,K40,5)</f>
        <v>0.17717749201993802</v>
      </c>
      <c r="L41">
        <f t="shared" ref="L41" si="44">CONFIDENCE(0.05,L40,5)</f>
        <v>0.10771352940921679</v>
      </c>
    </row>
    <row r="43" spans="1:13">
      <c r="A43" t="s">
        <v>4</v>
      </c>
    </row>
    <row r="44" spans="1:13">
      <c r="A44" t="s">
        <v>8</v>
      </c>
      <c r="B44">
        <v>266</v>
      </c>
      <c r="C44">
        <v>1014</v>
      </c>
      <c r="D44">
        <v>2106</v>
      </c>
      <c r="E44">
        <v>9079</v>
      </c>
      <c r="F44">
        <v>2449</v>
      </c>
      <c r="G44">
        <v>6240</v>
      </c>
      <c r="H44">
        <v>8517</v>
      </c>
      <c r="I44">
        <v>17612</v>
      </c>
      <c r="J44">
        <v>43789</v>
      </c>
      <c r="K44">
        <v>18127</v>
      </c>
      <c r="L44">
        <v>13728</v>
      </c>
    </row>
    <row r="45" spans="1:13">
      <c r="A45" t="s">
        <v>9</v>
      </c>
      <c r="B45">
        <v>234</v>
      </c>
      <c r="C45">
        <v>967</v>
      </c>
      <c r="D45">
        <v>2013</v>
      </c>
      <c r="E45">
        <v>7754</v>
      </c>
      <c r="F45">
        <v>2403</v>
      </c>
      <c r="G45">
        <v>6053</v>
      </c>
      <c r="H45">
        <v>7956</v>
      </c>
      <c r="I45">
        <v>16178</v>
      </c>
      <c r="J45">
        <v>32229</v>
      </c>
      <c r="K45">
        <v>17519</v>
      </c>
      <c r="L45">
        <v>11278</v>
      </c>
    </row>
    <row r="46" spans="1:13">
      <c r="A46" t="s">
        <v>10</v>
      </c>
      <c r="B46">
        <v>250</v>
      </c>
      <c r="C46">
        <v>967</v>
      </c>
      <c r="D46">
        <v>1997</v>
      </c>
      <c r="E46">
        <v>7457</v>
      </c>
      <c r="F46">
        <v>2403</v>
      </c>
      <c r="G46">
        <v>6053</v>
      </c>
      <c r="H46">
        <v>7784</v>
      </c>
      <c r="I46">
        <v>16069</v>
      </c>
      <c r="J46">
        <v>40482</v>
      </c>
      <c r="K46">
        <v>17410</v>
      </c>
      <c r="L46">
        <v>10983</v>
      </c>
    </row>
    <row r="47" spans="1:13">
      <c r="A47" t="s">
        <v>11</v>
      </c>
      <c r="B47">
        <v>234</v>
      </c>
      <c r="C47">
        <v>998</v>
      </c>
      <c r="D47">
        <v>2013</v>
      </c>
      <c r="E47">
        <v>6100</v>
      </c>
      <c r="F47">
        <v>2387</v>
      </c>
      <c r="G47">
        <v>6084</v>
      </c>
      <c r="H47">
        <v>7784</v>
      </c>
      <c r="I47">
        <v>16162</v>
      </c>
      <c r="J47">
        <v>18861</v>
      </c>
      <c r="K47">
        <v>18611</v>
      </c>
      <c r="L47">
        <v>11061</v>
      </c>
    </row>
    <row r="48" spans="1:13">
      <c r="A48" t="s">
        <v>12</v>
      </c>
      <c r="B48">
        <v>234</v>
      </c>
      <c r="C48">
        <v>952</v>
      </c>
      <c r="D48">
        <v>2043</v>
      </c>
      <c r="E48">
        <v>5460</v>
      </c>
      <c r="F48">
        <v>2402</v>
      </c>
      <c r="G48">
        <v>6053</v>
      </c>
      <c r="H48">
        <v>7816</v>
      </c>
      <c r="I48">
        <v>16147</v>
      </c>
      <c r="J48">
        <v>19094</v>
      </c>
      <c r="K48">
        <v>18579</v>
      </c>
      <c r="L48">
        <v>11029</v>
      </c>
    </row>
    <row r="49" spans="1:13">
      <c r="A49" t="s">
        <v>13</v>
      </c>
      <c r="B49">
        <f t="shared" ref="B49:H49" si="45">(SUM(B44:B48) -MAX(B44:B48) -MIN(B44:B48))/((COUNT(B44:B48)-2)*1000)</f>
        <v>0.23933333333333334</v>
      </c>
      <c r="C49">
        <f t="shared" si="45"/>
        <v>0.97733333333333339</v>
      </c>
      <c r="D49">
        <f t="shared" si="45"/>
        <v>2.0230000000000001</v>
      </c>
      <c r="E49">
        <f t="shared" si="45"/>
        <v>7.1036666666666664</v>
      </c>
      <c r="F49">
        <f t="shared" si="45"/>
        <v>2.4026666666666667</v>
      </c>
      <c r="G49">
        <f t="shared" si="45"/>
        <v>6.0633333333333335</v>
      </c>
      <c r="H49">
        <f t="shared" si="45"/>
        <v>7.8520000000000003</v>
      </c>
      <c r="I49">
        <f t="shared" ref="I49" si="46">(SUM(I44:I48) -MAX(I44:I48) -MIN(I44:I48))/((COUNT(I44:I48)-2)*1000)</f>
        <v>16.162333333333333</v>
      </c>
      <c r="J49">
        <f t="shared" ref="J49" si="47">(SUM(J44:J48) -MAX(J44:J48) -MIN(J44:J48))/((COUNT(J44:J48)-2)*1000)</f>
        <v>30.601666666666667</v>
      </c>
      <c r="K49">
        <f t="shared" ref="K49" si="48">(SUM(K44:K48) -MAX(K44:K48) -MIN(K44:K48))/((COUNT(K44:K48)-2)*1000)</f>
        <v>18.074999999999999</v>
      </c>
      <c r="L49">
        <f t="shared" ref="L49" si="49">(SUM(L44:L48) -MAX(L44:L48) -MIN(L44:L48))/((COUNT(L44:L48)-2)*1000)</f>
        <v>11.122666666666667</v>
      </c>
      <c r="M49" t="s">
        <v>17</v>
      </c>
    </row>
    <row r="50" spans="1:13">
      <c r="A50" t="s">
        <v>15</v>
      </c>
      <c r="B50">
        <f>STDEV(B44:B48)/1000</f>
        <v>1.4310835055998755E-2</v>
      </c>
      <c r="C50">
        <f t="shared" ref="C50:G50" si="50">STDEV(C44:C48)/1000</f>
        <v>2.5500980373312054E-2</v>
      </c>
      <c r="D50">
        <f t="shared" si="50"/>
        <v>4.3345126600343592E-2</v>
      </c>
      <c r="E50">
        <f t="shared" si="50"/>
        <v>1.4262455959616493</v>
      </c>
      <c r="F50">
        <f t="shared" si="50"/>
        <v>2.3477648945330668E-2</v>
      </c>
      <c r="G50">
        <f t="shared" si="50"/>
        <v>8.1279148617569935E-2</v>
      </c>
      <c r="H50">
        <f>STDEV(H44:H48)/1000</f>
        <v>0.31317056055765685</v>
      </c>
      <c r="I50">
        <f t="shared" ref="I50:L50" si="51">STDEV(I44:I48)/1000</f>
        <v>0.66007522298599564</v>
      </c>
      <c r="J50">
        <f t="shared" si="51"/>
        <v>11.662182878861058</v>
      </c>
      <c r="K50">
        <f t="shared" si="51"/>
        <v>0.56834162261793575</v>
      </c>
      <c r="L50">
        <f t="shared" si="51"/>
        <v>1.1861777691391742</v>
      </c>
    </row>
    <row r="51" spans="1:13">
      <c r="A51" t="s">
        <v>16</v>
      </c>
      <c r="B51">
        <f>CONFIDENCE(0.05,B50,5)</f>
        <v>1.2543769501056434E-2</v>
      </c>
      <c r="C51">
        <f t="shared" ref="C51:G51" si="52">CONFIDENCE(0.05,C50,5)</f>
        <v>2.2352184104009024E-2</v>
      </c>
      <c r="D51">
        <f t="shared" si="52"/>
        <v>3.7992980489346725E-2</v>
      </c>
      <c r="E51">
        <f t="shared" si="52"/>
        <v>1.2501364132584656</v>
      </c>
      <c r="F51">
        <f t="shared" si="52"/>
        <v>2.0578688500326337E-2</v>
      </c>
      <c r="G51">
        <f t="shared" si="52"/>
        <v>7.1243005842173954E-2</v>
      </c>
      <c r="H51">
        <f>CONFIDENCE(0.05,H50,5)</f>
        <v>0.27450105537378955</v>
      </c>
      <c r="I51">
        <f t="shared" ref="I51" si="53">CONFIDENCE(0.05,I50,5)</f>
        <v>0.57857081142333844</v>
      </c>
      <c r="J51">
        <f t="shared" ref="J51" si="54">CONFIDENCE(0.05,J50,5)</f>
        <v>10.222166165648005</v>
      </c>
      <c r="K51">
        <f t="shared" ref="K51" si="55">CONFIDENCE(0.05,K50,5)</f>
        <v>0.49816424297248973</v>
      </c>
      <c r="L51">
        <f t="shared" ref="L51" si="56">CONFIDENCE(0.05,L50,5)</f>
        <v>1.0397115517813307</v>
      </c>
    </row>
    <row r="53" spans="1:13">
      <c r="A53" t="s">
        <v>5</v>
      </c>
    </row>
    <row r="54" spans="1:13">
      <c r="A54" t="s">
        <v>8</v>
      </c>
      <c r="B54">
        <v>406</v>
      </c>
      <c r="C54">
        <v>1342</v>
      </c>
      <c r="D54">
        <v>2714</v>
      </c>
      <c r="E54">
        <v>10436</v>
      </c>
      <c r="F54">
        <v>3448</v>
      </c>
      <c r="G54">
        <v>8611</v>
      </c>
      <c r="H54">
        <v>11122</v>
      </c>
      <c r="I54">
        <v>21794</v>
      </c>
      <c r="J54">
        <v>25693</v>
      </c>
      <c r="K54">
        <v>23462</v>
      </c>
      <c r="L54">
        <v>16162</v>
      </c>
    </row>
    <row r="55" spans="1:13">
      <c r="A55" t="s">
        <v>9</v>
      </c>
      <c r="B55">
        <v>358</v>
      </c>
      <c r="C55">
        <v>1294</v>
      </c>
      <c r="D55">
        <v>2730</v>
      </c>
      <c r="E55">
        <v>10483</v>
      </c>
      <c r="F55">
        <v>3510</v>
      </c>
      <c r="G55">
        <v>8705</v>
      </c>
      <c r="H55">
        <v>11357</v>
      </c>
      <c r="I55">
        <v>23150</v>
      </c>
      <c r="J55">
        <v>27425</v>
      </c>
      <c r="K55">
        <v>24695</v>
      </c>
      <c r="L55">
        <v>16629</v>
      </c>
    </row>
    <row r="56" spans="1:13">
      <c r="A56" t="s">
        <v>10</v>
      </c>
      <c r="B56">
        <v>344</v>
      </c>
      <c r="C56">
        <v>1311</v>
      </c>
      <c r="D56">
        <v>2699</v>
      </c>
      <c r="E56">
        <v>8924</v>
      </c>
      <c r="F56">
        <v>3510</v>
      </c>
      <c r="G56">
        <v>8689</v>
      </c>
      <c r="H56">
        <v>11217</v>
      </c>
      <c r="I56">
        <v>21871</v>
      </c>
      <c r="J56">
        <v>25756</v>
      </c>
      <c r="K56">
        <v>23119</v>
      </c>
      <c r="L56">
        <v>16473</v>
      </c>
    </row>
    <row r="57" spans="1:13">
      <c r="A57" t="s">
        <v>11</v>
      </c>
      <c r="B57">
        <v>328</v>
      </c>
      <c r="C57">
        <v>1263</v>
      </c>
      <c r="D57">
        <v>2683</v>
      </c>
      <c r="E57">
        <v>8705</v>
      </c>
      <c r="F57">
        <v>3494</v>
      </c>
      <c r="G57">
        <v>8705</v>
      </c>
      <c r="H57">
        <v>11201</v>
      </c>
      <c r="I57">
        <v>21918</v>
      </c>
      <c r="J57">
        <v>26863</v>
      </c>
      <c r="K57">
        <v>22979</v>
      </c>
      <c r="L57">
        <v>16256</v>
      </c>
    </row>
    <row r="58" spans="1:13">
      <c r="A58" t="s">
        <v>12</v>
      </c>
      <c r="B58">
        <v>343</v>
      </c>
      <c r="C58">
        <v>1279</v>
      </c>
      <c r="D58">
        <v>2683</v>
      </c>
      <c r="E58">
        <v>7441</v>
      </c>
      <c r="F58">
        <v>3495</v>
      </c>
      <c r="G58">
        <v>8736</v>
      </c>
      <c r="H58">
        <v>11201</v>
      </c>
      <c r="I58">
        <v>21700</v>
      </c>
      <c r="J58">
        <v>25522</v>
      </c>
      <c r="K58">
        <v>24134</v>
      </c>
      <c r="L58">
        <v>16052</v>
      </c>
    </row>
    <row r="59" spans="1:13">
      <c r="A59" t="s">
        <v>13</v>
      </c>
      <c r="B59">
        <f t="shared" ref="B59:H59" si="57">(SUM(B54:B58) -MAX(B54:B58) -MIN(B54:B58))/((COUNT(B54:B58)-2)*1000)</f>
        <v>0.34833333333333333</v>
      </c>
      <c r="C59">
        <f t="shared" si="57"/>
        <v>1.2946666666666666</v>
      </c>
      <c r="D59">
        <f t="shared" si="57"/>
        <v>2.6986666666666665</v>
      </c>
      <c r="E59">
        <f t="shared" si="57"/>
        <v>9.3550000000000004</v>
      </c>
      <c r="F59">
        <f t="shared" si="57"/>
        <v>3.4996666666666667</v>
      </c>
      <c r="G59">
        <f t="shared" si="57"/>
        <v>8.6996666666666673</v>
      </c>
      <c r="H59">
        <f t="shared" si="57"/>
        <v>11.206333333333333</v>
      </c>
      <c r="I59">
        <f t="shared" ref="I59" si="58">(SUM(I54:I58) -MAX(I54:I58) -MIN(I54:I58))/((COUNT(I54:I58)-2)*1000)</f>
        <v>21.861000000000001</v>
      </c>
      <c r="J59">
        <f t="shared" ref="J59" si="59">(SUM(J54:J58) -MAX(J54:J58) -MIN(J54:J58))/((COUNT(J54:J58)-2)*1000)</f>
        <v>26.103999999999999</v>
      </c>
      <c r="K59">
        <f t="shared" ref="K59" si="60">(SUM(K54:K58) -MAX(K54:K58) -MIN(K54:K58))/((COUNT(K54:K58)-2)*1000)</f>
        <v>23.571666666666665</v>
      </c>
      <c r="L59">
        <f t="shared" ref="L59" si="61">(SUM(L54:L58) -MAX(L54:L58) -MIN(L54:L58))/((COUNT(L54:L58)-2)*1000)</f>
        <v>16.297000000000001</v>
      </c>
      <c r="M59" t="s">
        <v>17</v>
      </c>
    </row>
    <row r="60" spans="1:13">
      <c r="A60" t="s">
        <v>15</v>
      </c>
      <c r="B60">
        <f>STDEV(B54:B58)/1000</f>
        <v>3.0003333148168918E-2</v>
      </c>
      <c r="C60">
        <f t="shared" ref="C60:G60" si="62">STDEV(C54:C58)/1000</f>
        <v>3.0441747650228401E-2</v>
      </c>
      <c r="D60">
        <f t="shared" si="62"/>
        <v>2.0364184245858095E-2</v>
      </c>
      <c r="E60">
        <f t="shared" si="62"/>
        <v>1.2834565438689394</v>
      </c>
      <c r="F60">
        <f t="shared" si="62"/>
        <v>2.5471552759907375E-2</v>
      </c>
      <c r="G60">
        <f t="shared" si="62"/>
        <v>4.6916947897353477E-2</v>
      </c>
      <c r="H60">
        <f>STDEV(H54:H58)/1000</f>
        <v>8.529830010036496E-2</v>
      </c>
      <c r="I60">
        <f t="shared" ref="I60:L60" si="63">STDEV(I54:I58)/1000</f>
        <v>0.60016731000609513</v>
      </c>
      <c r="J60">
        <f t="shared" si="63"/>
        <v>0.84271092315220852</v>
      </c>
      <c r="K60">
        <f t="shared" si="63"/>
        <v>0.72283518176694173</v>
      </c>
      <c r="L60">
        <f t="shared" si="63"/>
        <v>0.23431666607395199</v>
      </c>
    </row>
    <row r="61" spans="1:13">
      <c r="A61" t="s">
        <v>16</v>
      </c>
      <c r="B61">
        <f>CONFIDENCE(0.05,B60,5)</f>
        <v>2.6298597796798582E-2</v>
      </c>
      <c r="C61">
        <f t="shared" ref="C61:G61" si="64">CONFIDENCE(0.05,C60,5)</f>
        <v>2.6682877989969378E-2</v>
      </c>
      <c r="D61">
        <f t="shared" si="64"/>
        <v>1.7849666511949133E-2</v>
      </c>
      <c r="E61">
        <f t="shared" si="64"/>
        <v>1.1249785905516414</v>
      </c>
      <c r="F61">
        <f t="shared" si="64"/>
        <v>2.2326390137544446E-2</v>
      </c>
      <c r="G61">
        <f t="shared" si="64"/>
        <v>4.1123762367087376E-2</v>
      </c>
      <c r="H61">
        <f>CONFIDENCE(0.05,H60,5)</f>
        <v>7.4765882710835563E-2</v>
      </c>
      <c r="I61">
        <f t="shared" ref="I61" si="65">CONFIDENCE(0.05,I60,5)</f>
        <v>0.52606017533755534</v>
      </c>
      <c r="J61">
        <f t="shared" ref="J61" si="66">CONFIDENCE(0.05,J60,5)</f>
        <v>0.73865511933301009</v>
      </c>
      <c r="K61">
        <f t="shared" ref="K61" si="67">CONFIDENCE(0.05,K60,5)</f>
        <v>0.63358132994049488</v>
      </c>
      <c r="L61">
        <f t="shared" ref="L61" si="68">CONFIDENCE(0.05,L60,5)</f>
        <v>0.20538383944657487</v>
      </c>
    </row>
    <row r="63" spans="1:13">
      <c r="A63" t="s">
        <v>6</v>
      </c>
    </row>
    <row r="64" spans="1:13">
      <c r="A64" t="s">
        <v>8</v>
      </c>
      <c r="B64">
        <v>702</v>
      </c>
      <c r="C64">
        <v>3167</v>
      </c>
      <c r="D64">
        <v>8721</v>
      </c>
      <c r="E64">
        <v>18018</v>
      </c>
      <c r="F64">
        <v>8362</v>
      </c>
      <c r="G64">
        <v>21387</v>
      </c>
      <c r="H64">
        <v>26254</v>
      </c>
      <c r="I64">
        <v>47440</v>
      </c>
      <c r="J64">
        <v>56863</v>
      </c>
      <c r="K64">
        <v>52588</v>
      </c>
      <c r="L64">
        <v>39593</v>
      </c>
    </row>
    <row r="65" spans="1:13">
      <c r="A65" t="s">
        <v>9</v>
      </c>
      <c r="B65">
        <v>764</v>
      </c>
      <c r="C65">
        <v>2777</v>
      </c>
      <c r="D65">
        <v>6723</v>
      </c>
      <c r="E65">
        <v>17222</v>
      </c>
      <c r="F65">
        <v>8782</v>
      </c>
      <c r="G65">
        <v>21606</v>
      </c>
      <c r="H65">
        <v>27971</v>
      </c>
      <c r="I65">
        <v>50731</v>
      </c>
      <c r="J65">
        <v>64850</v>
      </c>
      <c r="K65">
        <v>61059</v>
      </c>
      <c r="L65">
        <v>48033</v>
      </c>
    </row>
    <row r="66" spans="1:13">
      <c r="A66" t="s">
        <v>10</v>
      </c>
      <c r="B66">
        <v>718</v>
      </c>
      <c r="C66">
        <v>2776</v>
      </c>
      <c r="D66">
        <v>6661</v>
      </c>
      <c r="E66">
        <v>16239</v>
      </c>
      <c r="F66">
        <v>8783</v>
      </c>
      <c r="G66">
        <v>20935</v>
      </c>
      <c r="H66">
        <v>27518</v>
      </c>
      <c r="I66">
        <v>49764</v>
      </c>
      <c r="J66">
        <v>64600</v>
      </c>
      <c r="K66">
        <v>60404</v>
      </c>
      <c r="L66">
        <v>46067</v>
      </c>
    </row>
    <row r="67" spans="1:13">
      <c r="A67" t="s">
        <v>11</v>
      </c>
      <c r="B67">
        <v>843</v>
      </c>
      <c r="C67">
        <v>2699</v>
      </c>
      <c r="D67">
        <v>6630</v>
      </c>
      <c r="E67">
        <v>15350</v>
      </c>
      <c r="F67">
        <v>8783</v>
      </c>
      <c r="G67">
        <v>20935</v>
      </c>
      <c r="H67">
        <v>27643</v>
      </c>
      <c r="I67">
        <v>48876</v>
      </c>
      <c r="J67">
        <v>64101</v>
      </c>
      <c r="K67">
        <v>60341</v>
      </c>
      <c r="L67">
        <v>46707</v>
      </c>
    </row>
    <row r="68" spans="1:13">
      <c r="A68" t="s">
        <v>12</v>
      </c>
      <c r="B68">
        <v>827</v>
      </c>
      <c r="C68">
        <v>2792</v>
      </c>
      <c r="D68">
        <v>6646</v>
      </c>
      <c r="E68">
        <v>14851</v>
      </c>
      <c r="F68">
        <v>14508</v>
      </c>
      <c r="G68">
        <v>20904</v>
      </c>
      <c r="H68">
        <v>27627</v>
      </c>
      <c r="I68">
        <v>49265</v>
      </c>
      <c r="J68">
        <v>63649</v>
      </c>
      <c r="K68">
        <v>60810</v>
      </c>
      <c r="L68">
        <v>46738</v>
      </c>
    </row>
    <row r="69" spans="1:13">
      <c r="A69" t="s">
        <v>13</v>
      </c>
      <c r="B69">
        <f t="shared" ref="B69:H69" si="69">(SUM(B64:B68) -MAX(B64:B68) -MIN(B64:B68))/((COUNT(B64:B68)-2)*1000)</f>
        <v>0.76966666666666672</v>
      </c>
      <c r="C69">
        <f t="shared" si="69"/>
        <v>2.7816666666666667</v>
      </c>
      <c r="D69">
        <f t="shared" si="69"/>
        <v>6.6766666666666667</v>
      </c>
      <c r="E69">
        <f t="shared" si="69"/>
        <v>16.270333333333333</v>
      </c>
      <c r="F69">
        <f t="shared" si="69"/>
        <v>8.7826666666666675</v>
      </c>
      <c r="G69">
        <f t="shared" si="69"/>
        <v>21.085666666666668</v>
      </c>
      <c r="H69">
        <f t="shared" si="69"/>
        <v>27.596</v>
      </c>
      <c r="I69">
        <f t="shared" ref="I69" si="70">(SUM(I64:I68) -MAX(I64:I68) -MIN(I64:I68))/((COUNT(I64:I68)-2)*1000)</f>
        <v>49.301666666666669</v>
      </c>
      <c r="J69">
        <f t="shared" ref="J69" si="71">(SUM(J64:J68) -MAX(J64:J68) -MIN(J64:J68))/((COUNT(J64:J68)-2)*1000)</f>
        <v>64.11666666666666</v>
      </c>
      <c r="K69">
        <f t="shared" ref="K69" si="72">(SUM(K64:K68) -MAX(K64:K68) -MIN(K64:K68))/((COUNT(K64:K68)-2)*1000)</f>
        <v>60.518333333333331</v>
      </c>
      <c r="L69">
        <f t="shared" ref="L69" si="73">(SUM(L64:L68) -MAX(L64:L68) -MIN(L64:L68))/((COUNT(L64:L68)-2)*1000)</f>
        <v>46.503999999999998</v>
      </c>
      <c r="M69" t="s">
        <v>17</v>
      </c>
    </row>
    <row r="70" spans="1:13">
      <c r="A70" t="s">
        <v>15</v>
      </c>
      <c r="B70">
        <f>STDEV(B64:B68)/1000</f>
        <v>6.3124480195879268E-2</v>
      </c>
      <c r="C70">
        <f t="shared" ref="C70:G70" si="74">STDEV(C64:C68)/1000</f>
        <v>0.18517208212902736</v>
      </c>
      <c r="D70">
        <f t="shared" si="74"/>
        <v>0.92014602102057863</v>
      </c>
      <c r="E70">
        <f t="shared" si="74"/>
        <v>1.3039315549521762</v>
      </c>
      <c r="F70">
        <f t="shared" si="74"/>
        <v>2.6138336404599274</v>
      </c>
      <c r="G70">
        <f t="shared" si="74"/>
        <v>0.32288279607305237</v>
      </c>
      <c r="H70">
        <f>STDEV(H64:H68)/1000</f>
        <v>0.66404540507404486</v>
      </c>
      <c r="I70">
        <f t="shared" ref="I70:L70" si="75">STDEV(I64:I68)/1000</f>
        <v>1.2111670817850893</v>
      </c>
      <c r="J70">
        <f t="shared" si="75"/>
        <v>3.3579412293844859</v>
      </c>
      <c r="K70">
        <f t="shared" si="75"/>
        <v>3.6190696732724268</v>
      </c>
      <c r="L70">
        <f t="shared" si="75"/>
        <v>3.3389186572901397</v>
      </c>
    </row>
    <row r="71" spans="1:13">
      <c r="A71" t="s">
        <v>16</v>
      </c>
      <c r="B71">
        <f>CONFIDENCE(0.05,B70,5)</f>
        <v>5.53300297538682E-2</v>
      </c>
      <c r="C71">
        <f t="shared" ref="C71:G71" si="76">CONFIDENCE(0.05,C70,5)</f>
        <v>0.16230750387159046</v>
      </c>
      <c r="D71">
        <f t="shared" si="76"/>
        <v>0.80652872804639009</v>
      </c>
      <c r="E71">
        <f t="shared" si="76"/>
        <v>1.142925399284654</v>
      </c>
      <c r="F71">
        <f t="shared" si="76"/>
        <v>2.2910841031804705</v>
      </c>
      <c r="G71">
        <f t="shared" si="76"/>
        <v>0.28301404872242208</v>
      </c>
      <c r="H71">
        <f>CONFIDENCE(0.05,H70,5)</f>
        <v>0.58205076551370705</v>
      </c>
      <c r="I71">
        <f t="shared" ref="I71" si="77">CONFIDENCE(0.05,I70,5)</f>
        <v>1.0616152475889908</v>
      </c>
      <c r="J71">
        <f t="shared" ref="J71" si="78">CONFIDENCE(0.05,J70,5)</f>
        <v>2.9433111774869389</v>
      </c>
      <c r="K71">
        <f t="shared" ref="K71" si="79">CONFIDENCE(0.05,K70,5)</f>
        <v>3.1721961445404063</v>
      </c>
      <c r="L71">
        <f t="shared" ref="L71" si="80">CONFIDENCE(0.05,L70,5)</f>
        <v>2.9266374642665012</v>
      </c>
    </row>
    <row r="73" spans="1:13">
      <c r="A73" s="1" t="s">
        <v>33</v>
      </c>
    </row>
    <row r="74" spans="1:13">
      <c r="A74" t="s">
        <v>27</v>
      </c>
    </row>
    <row r="75" spans="1:13">
      <c r="A75" t="s">
        <v>8</v>
      </c>
    </row>
    <row r="76" spans="1:13">
      <c r="A76" t="s">
        <v>9</v>
      </c>
    </row>
    <row r="77" spans="1:13">
      <c r="A77" t="s">
        <v>10</v>
      </c>
    </row>
    <row r="78" spans="1:13">
      <c r="A78" t="s">
        <v>11</v>
      </c>
    </row>
    <row r="79" spans="1:13">
      <c r="A79" t="s">
        <v>12</v>
      </c>
    </row>
    <row r="80" spans="1:13">
      <c r="A80" t="s">
        <v>13</v>
      </c>
      <c r="B80">
        <f t="shared" ref="B80:H80" si="81">(SUM(B75:B79) -MAX(B75:B79) -MIN(B75:B79))/((COUNT(B75:B79)-2)*1000)</f>
        <v>0</v>
      </c>
      <c r="C80">
        <f t="shared" si="81"/>
        <v>0</v>
      </c>
      <c r="D80">
        <f t="shared" si="81"/>
        <v>0</v>
      </c>
      <c r="E80">
        <f t="shared" si="81"/>
        <v>0</v>
      </c>
      <c r="F80">
        <f t="shared" si="81"/>
        <v>0</v>
      </c>
      <c r="G80">
        <f t="shared" si="81"/>
        <v>0</v>
      </c>
      <c r="H80">
        <f t="shared" si="81"/>
        <v>0</v>
      </c>
    </row>
    <row r="81" spans="1:8">
      <c r="A81" t="s">
        <v>15</v>
      </c>
      <c r="B81" t="e">
        <f>STDEV(B75:B79)/1000</f>
        <v>#DIV/0!</v>
      </c>
      <c r="C81" t="e">
        <f t="shared" ref="C81:H81" si="82">STDEV(C75:C79)/1000</f>
        <v>#DIV/0!</v>
      </c>
      <c r="D81" t="e">
        <f t="shared" si="82"/>
        <v>#DIV/0!</v>
      </c>
      <c r="E81" t="e">
        <f t="shared" si="82"/>
        <v>#DIV/0!</v>
      </c>
      <c r="F81" t="e">
        <f t="shared" si="82"/>
        <v>#DIV/0!</v>
      </c>
      <c r="G81" t="e">
        <f t="shared" si="82"/>
        <v>#DIV/0!</v>
      </c>
      <c r="H81" t="e">
        <f t="shared" si="82"/>
        <v>#DIV/0!</v>
      </c>
    </row>
    <row r="82" spans="1:8">
      <c r="A82" t="s">
        <v>16</v>
      </c>
      <c r="B82" t="e">
        <f>CONFIDENCE(0.05,B81,5)</f>
        <v>#DIV/0!</v>
      </c>
      <c r="C82" t="e">
        <f t="shared" ref="C82:H82" si="83">CONFIDENCE(0.05,C81,5)</f>
        <v>#DIV/0!</v>
      </c>
      <c r="D82" t="e">
        <f t="shared" si="83"/>
        <v>#DIV/0!</v>
      </c>
      <c r="E82" t="e">
        <f t="shared" si="83"/>
        <v>#DIV/0!</v>
      </c>
      <c r="F82" t="e">
        <f t="shared" si="83"/>
        <v>#DIV/0!</v>
      </c>
      <c r="G82" t="e">
        <f t="shared" si="83"/>
        <v>#DIV/0!</v>
      </c>
      <c r="H82" t="e">
        <f t="shared" si="83"/>
        <v>#DIV/0!</v>
      </c>
    </row>
    <row r="84" spans="1:8">
      <c r="A84" t="s">
        <v>28</v>
      </c>
    </row>
    <row r="85" spans="1:8">
      <c r="A85" t="s">
        <v>8</v>
      </c>
    </row>
    <row r="86" spans="1:8">
      <c r="A86" t="s">
        <v>9</v>
      </c>
    </row>
    <row r="87" spans="1:8">
      <c r="A87" t="s">
        <v>10</v>
      </c>
    </row>
    <row r="88" spans="1:8">
      <c r="A88" t="s">
        <v>11</v>
      </c>
    </row>
    <row r="89" spans="1:8">
      <c r="A89" t="s">
        <v>12</v>
      </c>
    </row>
    <row r="90" spans="1:8">
      <c r="A90" t="s">
        <v>13</v>
      </c>
      <c r="B90">
        <f>(SUM(B85:B89) -MAX(B85:B89) -MIN(B85:B89))/((COUNT(B85:B89)-2)*1000)</f>
        <v>0</v>
      </c>
      <c r="C90">
        <f t="shared" ref="C90:H90" si="84">(SUM(C85:C89) -MAX(C85:C89) -MIN(C85:C89))/((COUNT(C85:C89)-2)*1000)</f>
        <v>0</v>
      </c>
      <c r="D90">
        <f t="shared" si="84"/>
        <v>0</v>
      </c>
      <c r="E90">
        <f t="shared" si="84"/>
        <v>0</v>
      </c>
      <c r="F90">
        <f t="shared" si="84"/>
        <v>0</v>
      </c>
      <c r="G90">
        <f t="shared" si="84"/>
        <v>0</v>
      </c>
      <c r="H90">
        <f t="shared" si="84"/>
        <v>0</v>
      </c>
    </row>
    <row r="91" spans="1:8">
      <c r="A91" t="s">
        <v>15</v>
      </c>
      <c r="B91" t="e">
        <f>STDEV(B85:B89)/1000</f>
        <v>#DIV/0!</v>
      </c>
      <c r="C91" t="e">
        <f t="shared" ref="C91:H91" si="85">STDEV(C85:C89)/1000</f>
        <v>#DIV/0!</v>
      </c>
      <c r="D91" t="e">
        <f t="shared" si="85"/>
        <v>#DIV/0!</v>
      </c>
      <c r="E91" t="e">
        <f t="shared" si="85"/>
        <v>#DIV/0!</v>
      </c>
      <c r="F91" t="e">
        <f t="shared" si="85"/>
        <v>#DIV/0!</v>
      </c>
      <c r="G91" t="e">
        <f t="shared" si="85"/>
        <v>#DIV/0!</v>
      </c>
      <c r="H91" t="e">
        <f t="shared" si="85"/>
        <v>#DIV/0!</v>
      </c>
    </row>
    <row r="92" spans="1:8">
      <c r="A92" t="s">
        <v>16</v>
      </c>
      <c r="B92" t="e">
        <f>CONFIDENCE(0.05,B91,5)</f>
        <v>#DIV/0!</v>
      </c>
      <c r="C92" t="e">
        <f t="shared" ref="C92:H92" si="86">CONFIDENCE(0.05,C91,5)</f>
        <v>#DIV/0!</v>
      </c>
      <c r="D92" t="e">
        <f t="shared" si="86"/>
        <v>#DIV/0!</v>
      </c>
      <c r="E92" t="e">
        <f t="shared" si="86"/>
        <v>#DIV/0!</v>
      </c>
      <c r="F92" t="e">
        <f t="shared" si="86"/>
        <v>#DIV/0!</v>
      </c>
      <c r="G92" t="e">
        <f t="shared" si="86"/>
        <v>#DIV/0!</v>
      </c>
      <c r="H92" t="e">
        <f t="shared" si="86"/>
        <v>#DIV/0!</v>
      </c>
    </row>
    <row r="94" spans="1:8">
      <c r="A94" t="s">
        <v>29</v>
      </c>
    </row>
    <row r="95" spans="1:8">
      <c r="A95" t="s">
        <v>8</v>
      </c>
    </row>
    <row r="96" spans="1:8">
      <c r="A96" t="s">
        <v>9</v>
      </c>
    </row>
    <row r="97" spans="1:8">
      <c r="A97" t="s">
        <v>10</v>
      </c>
    </row>
    <row r="98" spans="1:8">
      <c r="A98" t="s">
        <v>11</v>
      </c>
    </row>
    <row r="99" spans="1:8">
      <c r="A99" t="s">
        <v>12</v>
      </c>
    </row>
    <row r="100" spans="1:8">
      <c r="A100" t="s">
        <v>13</v>
      </c>
      <c r="B100">
        <f t="shared" ref="B100:H100" si="87">(SUM(B95:B99) -MAX(B95:B99) -MIN(B95:B99))/((COUNT(B95:B99)-2)*1000)</f>
        <v>0</v>
      </c>
      <c r="C100">
        <f t="shared" si="87"/>
        <v>0</v>
      </c>
      <c r="D100">
        <f t="shared" si="87"/>
        <v>0</v>
      </c>
      <c r="E100">
        <f t="shared" si="87"/>
        <v>0</v>
      </c>
      <c r="F100">
        <f t="shared" si="87"/>
        <v>0</v>
      </c>
      <c r="G100">
        <f t="shared" si="87"/>
        <v>0</v>
      </c>
      <c r="H100">
        <f t="shared" si="87"/>
        <v>0</v>
      </c>
    </row>
    <row r="101" spans="1:8">
      <c r="A101" t="s">
        <v>15</v>
      </c>
      <c r="B101" t="e">
        <f>STDEV(B95:B99)/1000</f>
        <v>#DIV/0!</v>
      </c>
      <c r="C101" t="e">
        <f t="shared" ref="C101:H101" si="88">STDEV(C95:C99)/1000</f>
        <v>#DIV/0!</v>
      </c>
      <c r="D101" t="e">
        <f t="shared" si="88"/>
        <v>#DIV/0!</v>
      </c>
      <c r="E101" t="e">
        <f t="shared" si="88"/>
        <v>#DIV/0!</v>
      </c>
      <c r="F101" t="e">
        <f t="shared" si="88"/>
        <v>#DIV/0!</v>
      </c>
      <c r="G101" t="e">
        <f t="shared" si="88"/>
        <v>#DIV/0!</v>
      </c>
      <c r="H101" t="e">
        <f t="shared" si="88"/>
        <v>#DIV/0!</v>
      </c>
    </row>
    <row r="102" spans="1:8">
      <c r="A102" t="s">
        <v>16</v>
      </c>
      <c r="B102" t="e">
        <f>CONFIDENCE(0.05,B101,5)</f>
        <v>#DIV/0!</v>
      </c>
      <c r="C102" t="e">
        <f t="shared" ref="C102:H102" si="89">CONFIDENCE(0.05,C101,5)</f>
        <v>#DIV/0!</v>
      </c>
      <c r="D102" t="e">
        <f t="shared" si="89"/>
        <v>#DIV/0!</v>
      </c>
      <c r="E102" t="e">
        <f t="shared" si="89"/>
        <v>#DIV/0!</v>
      </c>
      <c r="F102" t="e">
        <f t="shared" si="89"/>
        <v>#DIV/0!</v>
      </c>
      <c r="G102" t="e">
        <f t="shared" si="89"/>
        <v>#DIV/0!</v>
      </c>
      <c r="H102" t="e">
        <f t="shared" si="89"/>
        <v>#DIV/0!</v>
      </c>
    </row>
    <row r="104" spans="1:8">
      <c r="A104" t="s">
        <v>30</v>
      </c>
    </row>
    <row r="105" spans="1:8">
      <c r="A105" t="s">
        <v>8</v>
      </c>
    </row>
    <row r="106" spans="1:8">
      <c r="A106" t="s">
        <v>9</v>
      </c>
    </row>
    <row r="107" spans="1:8">
      <c r="A107" t="s">
        <v>10</v>
      </c>
    </row>
    <row r="108" spans="1:8">
      <c r="A108" t="s">
        <v>11</v>
      </c>
    </row>
    <row r="109" spans="1:8">
      <c r="A109" t="s">
        <v>12</v>
      </c>
    </row>
    <row r="110" spans="1:8">
      <c r="A110" t="s">
        <v>13</v>
      </c>
      <c r="B110">
        <f t="shared" ref="B110:H110" si="90">(SUM(B105:B109) -MAX(B105:B109) -MIN(B105:B109))/((COUNT(B105:B109)-2)*1000)</f>
        <v>0</v>
      </c>
      <c r="C110">
        <f t="shared" si="90"/>
        <v>0</v>
      </c>
      <c r="D110">
        <f t="shared" si="90"/>
        <v>0</v>
      </c>
      <c r="E110">
        <f t="shared" si="90"/>
        <v>0</v>
      </c>
      <c r="F110">
        <f t="shared" si="90"/>
        <v>0</v>
      </c>
      <c r="G110">
        <f t="shared" si="90"/>
        <v>0</v>
      </c>
      <c r="H110">
        <f t="shared" si="90"/>
        <v>0</v>
      </c>
    </row>
    <row r="111" spans="1:8">
      <c r="A111" t="s">
        <v>15</v>
      </c>
      <c r="B111" t="e">
        <f>STDEV(B105:B109)/1000</f>
        <v>#DIV/0!</v>
      </c>
      <c r="C111" t="e">
        <f t="shared" ref="C111:H111" si="91">STDEV(C105:C109)/1000</f>
        <v>#DIV/0!</v>
      </c>
      <c r="D111" t="e">
        <f t="shared" si="91"/>
        <v>#DIV/0!</v>
      </c>
      <c r="E111" t="e">
        <f t="shared" si="91"/>
        <v>#DIV/0!</v>
      </c>
      <c r="F111" t="e">
        <f t="shared" si="91"/>
        <v>#DIV/0!</v>
      </c>
      <c r="G111" t="e">
        <f t="shared" si="91"/>
        <v>#DIV/0!</v>
      </c>
      <c r="H111" t="e">
        <f t="shared" si="91"/>
        <v>#DIV/0!</v>
      </c>
    </row>
    <row r="112" spans="1:8">
      <c r="A112" t="s">
        <v>16</v>
      </c>
      <c r="B112" t="e">
        <f>CONFIDENCE(0.05,B111,5)</f>
        <v>#DIV/0!</v>
      </c>
      <c r="C112" t="e">
        <f t="shared" ref="C112:H112" si="92">CONFIDENCE(0.05,C111,5)</f>
        <v>#DIV/0!</v>
      </c>
      <c r="D112" t="e">
        <f t="shared" si="92"/>
        <v>#DIV/0!</v>
      </c>
      <c r="E112" t="e">
        <f t="shared" si="92"/>
        <v>#DIV/0!</v>
      </c>
      <c r="F112" t="e">
        <f t="shared" si="92"/>
        <v>#DIV/0!</v>
      </c>
      <c r="G112" t="e">
        <f t="shared" si="92"/>
        <v>#DIV/0!</v>
      </c>
      <c r="H112" t="e">
        <f t="shared" si="92"/>
        <v>#DIV/0!</v>
      </c>
    </row>
    <row r="114" spans="1:8">
      <c r="A114" t="s">
        <v>31</v>
      </c>
    </row>
    <row r="115" spans="1:8">
      <c r="A115" t="s">
        <v>8</v>
      </c>
    </row>
    <row r="116" spans="1:8">
      <c r="A116" t="s">
        <v>9</v>
      </c>
    </row>
    <row r="117" spans="1:8">
      <c r="A117" t="s">
        <v>10</v>
      </c>
    </row>
    <row r="118" spans="1:8">
      <c r="A118" t="s">
        <v>11</v>
      </c>
    </row>
    <row r="119" spans="1:8">
      <c r="A119" t="s">
        <v>12</v>
      </c>
    </row>
    <row r="120" spans="1:8">
      <c r="A120" t="s">
        <v>13</v>
      </c>
      <c r="B120">
        <f t="shared" ref="B120:H120" si="93">(SUM(B115:B119) -MAX(B115:B119) -MIN(B115:B119))/((COUNT(B115:B119)-2)*1000)</f>
        <v>0</v>
      </c>
      <c r="C120">
        <f t="shared" si="93"/>
        <v>0</v>
      </c>
      <c r="D120">
        <f t="shared" si="93"/>
        <v>0</v>
      </c>
      <c r="E120">
        <f t="shared" si="93"/>
        <v>0</v>
      </c>
      <c r="F120">
        <f t="shared" si="93"/>
        <v>0</v>
      </c>
      <c r="G120">
        <f t="shared" si="93"/>
        <v>0</v>
      </c>
      <c r="H120">
        <f t="shared" si="93"/>
        <v>0</v>
      </c>
    </row>
    <row r="121" spans="1:8">
      <c r="A121" t="s">
        <v>15</v>
      </c>
      <c r="B121" t="e">
        <f>STDEV(B115:B119)/1000</f>
        <v>#DIV/0!</v>
      </c>
      <c r="C121" t="e">
        <f t="shared" ref="C121:H121" si="94">STDEV(C115:C119)/1000</f>
        <v>#DIV/0!</v>
      </c>
      <c r="D121" t="e">
        <f t="shared" si="94"/>
        <v>#DIV/0!</v>
      </c>
      <c r="E121" t="e">
        <f t="shared" si="94"/>
        <v>#DIV/0!</v>
      </c>
      <c r="F121" t="e">
        <f t="shared" si="94"/>
        <v>#DIV/0!</v>
      </c>
      <c r="G121" t="e">
        <f t="shared" si="94"/>
        <v>#DIV/0!</v>
      </c>
      <c r="H121" t="e">
        <f t="shared" si="94"/>
        <v>#DIV/0!</v>
      </c>
    </row>
    <row r="122" spans="1:8">
      <c r="A122" t="s">
        <v>16</v>
      </c>
      <c r="B122" t="e">
        <f>CONFIDENCE(0.05,B121,5)</f>
        <v>#DIV/0!</v>
      </c>
      <c r="C122" t="e">
        <f t="shared" ref="C122:H122" si="95">CONFIDENCE(0.05,C121,5)</f>
        <v>#DIV/0!</v>
      </c>
      <c r="D122" t="e">
        <f t="shared" si="95"/>
        <v>#DIV/0!</v>
      </c>
      <c r="E122" t="e">
        <f t="shared" si="95"/>
        <v>#DIV/0!</v>
      </c>
      <c r="F122" t="e">
        <f t="shared" si="95"/>
        <v>#DIV/0!</v>
      </c>
      <c r="G122" t="e">
        <f t="shared" si="95"/>
        <v>#DIV/0!</v>
      </c>
      <c r="H122" t="e">
        <f t="shared" si="95"/>
        <v>#DIV/0!</v>
      </c>
    </row>
    <row r="124" spans="1:8">
      <c r="A124" t="s">
        <v>32</v>
      </c>
    </row>
    <row r="125" spans="1:8">
      <c r="A125" t="s">
        <v>8</v>
      </c>
    </row>
    <row r="126" spans="1:8">
      <c r="A126" t="s">
        <v>9</v>
      </c>
    </row>
    <row r="127" spans="1:8">
      <c r="A127" t="s">
        <v>10</v>
      </c>
    </row>
    <row r="128" spans="1:8">
      <c r="A128" t="s">
        <v>11</v>
      </c>
    </row>
    <row r="129" spans="1:8">
      <c r="A129" t="s">
        <v>12</v>
      </c>
    </row>
    <row r="130" spans="1:8">
      <c r="A130" t="s">
        <v>13</v>
      </c>
      <c r="B130">
        <f t="shared" ref="B130:H130" si="96">(SUM(B125:B129) -MAX(B125:B129) -MIN(B125:B129))/((COUNT(B125:B129)-2)*1000)</f>
        <v>0</v>
      </c>
      <c r="C130">
        <f t="shared" si="96"/>
        <v>0</v>
      </c>
      <c r="D130">
        <f t="shared" si="96"/>
        <v>0</v>
      </c>
      <c r="E130">
        <f t="shared" si="96"/>
        <v>0</v>
      </c>
      <c r="F130">
        <f t="shared" si="96"/>
        <v>0</v>
      </c>
      <c r="G130">
        <f t="shared" si="96"/>
        <v>0</v>
      </c>
      <c r="H130">
        <f t="shared" si="96"/>
        <v>0</v>
      </c>
    </row>
    <row r="131" spans="1:8">
      <c r="A131" t="s">
        <v>15</v>
      </c>
      <c r="B131" t="e">
        <f>STDEV(B125:B129)/1000</f>
        <v>#DIV/0!</v>
      </c>
      <c r="C131" t="e">
        <f t="shared" ref="C131:H131" si="97">STDEV(C125:C129)/1000</f>
        <v>#DIV/0!</v>
      </c>
      <c r="D131" t="e">
        <f t="shared" si="97"/>
        <v>#DIV/0!</v>
      </c>
      <c r="E131" t="e">
        <f t="shared" si="97"/>
        <v>#DIV/0!</v>
      </c>
      <c r="F131" t="e">
        <f t="shared" si="97"/>
        <v>#DIV/0!</v>
      </c>
      <c r="G131" t="e">
        <f t="shared" si="97"/>
        <v>#DIV/0!</v>
      </c>
      <c r="H131" t="e">
        <f t="shared" si="97"/>
        <v>#DIV/0!</v>
      </c>
    </row>
    <row r="132" spans="1:8">
      <c r="A132" t="s">
        <v>16</v>
      </c>
      <c r="B132" t="e">
        <f>CONFIDENCE(0.05,B131,5)</f>
        <v>#DIV/0!</v>
      </c>
      <c r="C132" t="e">
        <f t="shared" ref="C132:H132" si="98">CONFIDENCE(0.05,C131,5)</f>
        <v>#DIV/0!</v>
      </c>
      <c r="D132" t="e">
        <f t="shared" si="98"/>
        <v>#DIV/0!</v>
      </c>
      <c r="E132" t="e">
        <f t="shared" si="98"/>
        <v>#DIV/0!</v>
      </c>
      <c r="F132" t="e">
        <f t="shared" si="98"/>
        <v>#DIV/0!</v>
      </c>
      <c r="G132" t="e">
        <f t="shared" si="98"/>
        <v>#DIV/0!</v>
      </c>
      <c r="H132" t="e">
        <f t="shared" si="98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2"/>
  <sheetViews>
    <sheetView tabSelected="1" topLeftCell="A55" workbookViewId="0">
      <selection activeCell="A73" sqref="A73:XFD73"/>
    </sheetView>
  </sheetViews>
  <sheetFormatPr defaultRowHeight="14.4"/>
  <cols>
    <col min="1" max="1" width="24.109375" customWidth="1"/>
    <col min="2" max="8" width="12.6640625" customWidth="1"/>
    <col min="9" max="11" width="10.6640625" customWidth="1"/>
    <col min="12" max="12" width="18.5546875" bestFit="1" customWidth="1"/>
    <col min="13" max="20" width="29" bestFit="1" customWidth="1"/>
  </cols>
  <sheetData>
    <row r="1" spans="1:10">
      <c r="A1" t="s">
        <v>18</v>
      </c>
      <c r="B1" t="s">
        <v>25</v>
      </c>
    </row>
    <row r="2" spans="1:10">
      <c r="A2" t="s">
        <v>14</v>
      </c>
      <c r="B2">
        <v>2</v>
      </c>
      <c r="C2">
        <v>4</v>
      </c>
      <c r="D2">
        <v>6</v>
      </c>
      <c r="E2">
        <v>8</v>
      </c>
      <c r="F2">
        <v>10</v>
      </c>
      <c r="G2">
        <v>12</v>
      </c>
      <c r="H2">
        <v>14</v>
      </c>
      <c r="I2">
        <v>16</v>
      </c>
    </row>
    <row r="3" spans="1:10">
      <c r="A3" t="s">
        <v>7</v>
      </c>
    </row>
    <row r="4" spans="1:10">
      <c r="A4" t="s">
        <v>8</v>
      </c>
      <c r="B4">
        <v>1856</v>
      </c>
      <c r="C4">
        <v>5943</v>
      </c>
      <c r="D4">
        <v>13151</v>
      </c>
      <c r="E4">
        <v>24118</v>
      </c>
      <c r="F4">
        <v>22776</v>
      </c>
      <c r="G4">
        <v>44741</v>
      </c>
      <c r="H4">
        <v>57097</v>
      </c>
      <c r="I4">
        <v>92493</v>
      </c>
    </row>
    <row r="5" spans="1:10">
      <c r="A5" t="s">
        <v>9</v>
      </c>
      <c r="B5">
        <v>1810</v>
      </c>
      <c r="C5">
        <v>5803</v>
      </c>
      <c r="D5">
        <v>13323</v>
      </c>
      <c r="E5">
        <v>24851</v>
      </c>
      <c r="F5">
        <v>23228</v>
      </c>
      <c r="G5">
        <v>48017</v>
      </c>
      <c r="H5">
        <v>60029</v>
      </c>
      <c r="I5">
        <v>97423</v>
      </c>
    </row>
    <row r="6" spans="1:10">
      <c r="A6" t="s">
        <v>10</v>
      </c>
      <c r="B6">
        <v>1794</v>
      </c>
      <c r="C6">
        <v>5804</v>
      </c>
      <c r="D6">
        <v>13229</v>
      </c>
      <c r="E6">
        <v>24649</v>
      </c>
      <c r="F6">
        <v>23260</v>
      </c>
      <c r="G6">
        <v>48127</v>
      </c>
      <c r="H6">
        <v>60356</v>
      </c>
      <c r="I6">
        <v>97672</v>
      </c>
    </row>
    <row r="7" spans="1:10">
      <c r="A7" t="s">
        <v>11</v>
      </c>
      <c r="B7">
        <v>1810</v>
      </c>
      <c r="C7">
        <v>5928</v>
      </c>
      <c r="D7">
        <v>13292</v>
      </c>
      <c r="E7">
        <v>24570</v>
      </c>
      <c r="F7">
        <v>23291</v>
      </c>
      <c r="G7">
        <v>48001</v>
      </c>
      <c r="H7">
        <v>60232</v>
      </c>
      <c r="I7">
        <v>97189</v>
      </c>
    </row>
    <row r="8" spans="1:10">
      <c r="A8" t="s">
        <v>12</v>
      </c>
      <c r="B8">
        <v>1826</v>
      </c>
      <c r="C8">
        <v>5912</v>
      </c>
      <c r="D8">
        <v>13385</v>
      </c>
      <c r="E8">
        <v>24679</v>
      </c>
      <c r="F8">
        <v>23291</v>
      </c>
      <c r="G8">
        <v>48049</v>
      </c>
      <c r="H8">
        <v>60373</v>
      </c>
      <c r="I8">
        <v>95286</v>
      </c>
    </row>
    <row r="9" spans="1:10">
      <c r="A9" t="s">
        <v>13</v>
      </c>
      <c r="B9">
        <f>(SUM(B4:B8) -MAX(B4:B8) -MIN(B4:B8))/((COUNT(B4:B8)-2)*1000)</f>
        <v>1.8153333333333332</v>
      </c>
      <c r="C9">
        <f t="shared" ref="C9:H9" si="0">(SUM(C4:C8) -MAX(C4:C8) -MIN(C4:C8))/((COUNT(C4:C8)-2)*1000)</f>
        <v>5.8813333333333331</v>
      </c>
      <c r="D9">
        <f t="shared" si="0"/>
        <v>13.281333333333333</v>
      </c>
      <c r="E9">
        <f t="shared" si="0"/>
        <v>24.632666666666665</v>
      </c>
      <c r="F9">
        <f t="shared" si="0"/>
        <v>23.259666666666668</v>
      </c>
      <c r="G9">
        <f t="shared" si="0"/>
        <v>48.022333333333336</v>
      </c>
      <c r="H9">
        <f t="shared" si="0"/>
        <v>60.205666666666666</v>
      </c>
      <c r="I9">
        <f t="shared" ref="I9" si="1">(SUM(I4:I8) -MAX(I4:I8) -MIN(I4:I8))/((COUNT(I4:I8)-2)*1000)</f>
        <v>96.632666666666665</v>
      </c>
      <c r="J9" t="s">
        <v>17</v>
      </c>
    </row>
    <row r="10" spans="1:10">
      <c r="A10" t="s">
        <v>15</v>
      </c>
      <c r="B10">
        <f>STDEV(B4:B8)/1000</f>
        <v>2.3477648945330668E-2</v>
      </c>
      <c r="C10">
        <f t="shared" ref="C10:G10" si="2">STDEV(C4:C8)/1000</f>
        <v>6.8887589593481929E-2</v>
      </c>
      <c r="D10">
        <f t="shared" si="2"/>
        <v>8.969392398596461E-2</v>
      </c>
      <c r="E10">
        <f t="shared" si="2"/>
        <v>0.27446730224191063</v>
      </c>
      <c r="F10">
        <f t="shared" si="2"/>
        <v>0.22134746440844466</v>
      </c>
      <c r="G10">
        <f t="shared" si="2"/>
        <v>1.479954053340846</v>
      </c>
      <c r="H10">
        <f>STDEV(H4:H8)/1000</f>
        <v>1.4156292946955396</v>
      </c>
      <c r="I10">
        <f>STDEV(I4:I8)/1000</f>
        <v>2.1818733464615301</v>
      </c>
    </row>
    <row r="11" spans="1:10">
      <c r="A11" t="s">
        <v>16</v>
      </c>
      <c r="B11">
        <f>CONFIDENCE(0.05,B10,5)</f>
        <v>2.0578688500326337E-2</v>
      </c>
      <c r="C11">
        <f t="shared" ref="C11:G11" si="3">CONFIDENCE(0.05,C10,5)</f>
        <v>6.0381525044675657E-2</v>
      </c>
      <c r="D11">
        <f t="shared" si="3"/>
        <v>7.8618746126460484E-2</v>
      </c>
      <c r="E11">
        <f t="shared" si="3"/>
        <v>0.24057677706627997</v>
      </c>
      <c r="F11">
        <f t="shared" si="3"/>
        <v>0.19401604185347437</v>
      </c>
      <c r="G11">
        <f t="shared" si="3"/>
        <v>1.2972130867709279</v>
      </c>
      <c r="H11">
        <f>CONFIDENCE(0.05,H10,5)</f>
        <v>1.2408309859011686</v>
      </c>
      <c r="I11">
        <f>CONFIDENCE(0.05,I10,5)</f>
        <v>1.9124611688567881</v>
      </c>
    </row>
    <row r="13" spans="1:10">
      <c r="A13" t="s">
        <v>1</v>
      </c>
    </row>
    <row r="14" spans="1:10">
      <c r="A14" t="s">
        <v>8</v>
      </c>
      <c r="B14">
        <v>671</v>
      </c>
      <c r="C14">
        <v>2262</v>
      </c>
      <c r="D14">
        <v>4368</v>
      </c>
      <c r="E14">
        <v>6443</v>
      </c>
      <c r="F14">
        <v>8252</v>
      </c>
      <c r="G14">
        <v>11778</v>
      </c>
      <c r="H14">
        <v>12854</v>
      </c>
      <c r="I14">
        <v>14383</v>
      </c>
    </row>
    <row r="15" spans="1:10">
      <c r="A15" t="s">
        <v>9</v>
      </c>
      <c r="B15">
        <v>141</v>
      </c>
      <c r="C15">
        <v>390</v>
      </c>
      <c r="D15">
        <v>702</v>
      </c>
      <c r="E15">
        <v>1107</v>
      </c>
      <c r="F15">
        <v>1560</v>
      </c>
      <c r="G15">
        <v>1591</v>
      </c>
      <c r="H15">
        <v>1903</v>
      </c>
      <c r="I15">
        <v>2527</v>
      </c>
    </row>
    <row r="16" spans="1:10">
      <c r="A16" t="s">
        <v>10</v>
      </c>
      <c r="B16">
        <v>141</v>
      </c>
      <c r="C16">
        <v>390</v>
      </c>
      <c r="D16">
        <v>702</v>
      </c>
      <c r="E16">
        <v>1061</v>
      </c>
      <c r="F16">
        <v>1575</v>
      </c>
      <c r="G16">
        <v>1575</v>
      </c>
      <c r="H16">
        <v>1919</v>
      </c>
      <c r="I16">
        <v>2465</v>
      </c>
    </row>
    <row r="17" spans="1:10">
      <c r="A17" t="s">
        <v>11</v>
      </c>
      <c r="B17">
        <v>140</v>
      </c>
      <c r="C17">
        <v>375</v>
      </c>
      <c r="D17">
        <v>718</v>
      </c>
      <c r="E17">
        <v>999</v>
      </c>
      <c r="F17">
        <v>1575</v>
      </c>
      <c r="G17">
        <v>1576</v>
      </c>
      <c r="H17">
        <v>1887</v>
      </c>
      <c r="I17">
        <v>2465</v>
      </c>
    </row>
    <row r="18" spans="1:10">
      <c r="A18" t="s">
        <v>12</v>
      </c>
      <c r="B18">
        <v>140</v>
      </c>
      <c r="C18">
        <v>390</v>
      </c>
      <c r="D18">
        <v>686</v>
      </c>
      <c r="E18">
        <v>999</v>
      </c>
      <c r="F18">
        <v>1545</v>
      </c>
      <c r="G18">
        <v>1576</v>
      </c>
      <c r="H18">
        <v>1919</v>
      </c>
      <c r="I18">
        <v>2511</v>
      </c>
    </row>
    <row r="19" spans="1:10">
      <c r="A19" t="s">
        <v>13</v>
      </c>
      <c r="B19">
        <f t="shared" ref="B19:H19" si="4">(SUM(B14:B18) -MAX(B14:B18) -MIN(B14:B18))/((COUNT(B14:B18)-2)*1000)</f>
        <v>0.14066666666666666</v>
      </c>
      <c r="C19">
        <f t="shared" si="4"/>
        <v>0.39</v>
      </c>
      <c r="D19">
        <f t="shared" si="4"/>
        <v>0.70733333333333337</v>
      </c>
      <c r="E19">
        <f t="shared" si="4"/>
        <v>1.0556666666666668</v>
      </c>
      <c r="F19">
        <f t="shared" si="4"/>
        <v>1.57</v>
      </c>
      <c r="G19">
        <f t="shared" si="4"/>
        <v>1.581</v>
      </c>
      <c r="H19">
        <f t="shared" si="4"/>
        <v>1.9136666666666666</v>
      </c>
      <c r="I19">
        <f t="shared" ref="I19" si="5">(SUM(I14:I18) -MAX(I14:I18) -MIN(I14:I18))/((COUNT(I14:I18)-2)*1000)</f>
        <v>2.5009999999999999</v>
      </c>
      <c r="J19" t="s">
        <v>17</v>
      </c>
    </row>
    <row r="20" spans="1:10">
      <c r="A20" t="s">
        <v>15</v>
      </c>
      <c r="B20">
        <f>STDEV(B14:B18)/1000</f>
        <v>0.23724733928961142</v>
      </c>
      <c r="C20">
        <f t="shared" ref="C20:G20" si="6">STDEV(C14:C18)/1000</f>
        <v>0.83888604708863768</v>
      </c>
      <c r="D20">
        <f t="shared" si="6"/>
        <v>1.6395240772858446</v>
      </c>
      <c r="E20">
        <f t="shared" si="6"/>
        <v>2.4160528139922772</v>
      </c>
      <c r="F20">
        <f t="shared" si="6"/>
        <v>2.9911021881574023</v>
      </c>
      <c r="G20">
        <f t="shared" si="6"/>
        <v>4.560912704711634</v>
      </c>
      <c r="H20">
        <f>STDEV(H14:H18)/1000</f>
        <v>4.8956652050564085</v>
      </c>
      <c r="I20">
        <f>STDEV(I14:I18)/1000</f>
        <v>5.3178884155273511</v>
      </c>
    </row>
    <row r="21" spans="1:10">
      <c r="A21" t="s">
        <v>16</v>
      </c>
      <c r="B21">
        <f>CONFIDENCE(0.05,B20,5)</f>
        <v>0.20795264057916443</v>
      </c>
      <c r="C21">
        <f t="shared" ref="C21:G21" si="7">CONFIDENCE(0.05,C20,5)</f>
        <v>0.73530252924837847</v>
      </c>
      <c r="D21">
        <f t="shared" si="7"/>
        <v>1.4370798095590642</v>
      </c>
      <c r="E21">
        <f t="shared" si="7"/>
        <v>2.1177247506877097</v>
      </c>
      <c r="F21">
        <f t="shared" si="7"/>
        <v>2.6217684890878985</v>
      </c>
      <c r="G21">
        <f t="shared" si="7"/>
        <v>3.9977427912818491</v>
      </c>
      <c r="H21">
        <f>CONFIDENCE(0.05,H20,5)</f>
        <v>4.2911609033484144</v>
      </c>
      <c r="I21">
        <f>CONFIDENCE(0.05,I20,5)</f>
        <v>4.6612490644808053</v>
      </c>
    </row>
    <row r="23" spans="1:10">
      <c r="A23" t="s">
        <v>2</v>
      </c>
    </row>
    <row r="24" spans="1:10">
      <c r="A24" t="s">
        <v>8</v>
      </c>
      <c r="B24">
        <v>171</v>
      </c>
      <c r="C24">
        <v>546</v>
      </c>
      <c r="D24">
        <v>1186</v>
      </c>
      <c r="E24">
        <v>1591</v>
      </c>
      <c r="F24">
        <v>2621</v>
      </c>
      <c r="G24">
        <v>2356</v>
      </c>
      <c r="H24">
        <v>2637</v>
      </c>
      <c r="I24">
        <v>3463</v>
      </c>
    </row>
    <row r="25" spans="1:10">
      <c r="A25" t="s">
        <v>9</v>
      </c>
      <c r="B25">
        <v>171</v>
      </c>
      <c r="C25">
        <v>562</v>
      </c>
      <c r="D25">
        <v>1450</v>
      </c>
      <c r="E25">
        <v>1606</v>
      </c>
      <c r="F25">
        <v>2746</v>
      </c>
      <c r="G25">
        <v>2558</v>
      </c>
      <c r="H25">
        <v>2668</v>
      </c>
      <c r="I25">
        <v>3791</v>
      </c>
    </row>
    <row r="26" spans="1:10">
      <c r="A26" t="s">
        <v>10</v>
      </c>
      <c r="B26">
        <v>187</v>
      </c>
      <c r="C26">
        <v>562</v>
      </c>
      <c r="D26">
        <v>1201</v>
      </c>
      <c r="E26">
        <v>1576</v>
      </c>
      <c r="F26">
        <v>2762</v>
      </c>
      <c r="G26">
        <v>2434</v>
      </c>
      <c r="H26">
        <v>2449</v>
      </c>
      <c r="I26">
        <v>3588</v>
      </c>
    </row>
    <row r="27" spans="1:10">
      <c r="A27" t="s">
        <v>11</v>
      </c>
      <c r="B27">
        <v>187</v>
      </c>
      <c r="C27">
        <v>546</v>
      </c>
      <c r="D27">
        <v>1201</v>
      </c>
      <c r="E27">
        <v>1560</v>
      </c>
      <c r="F27">
        <v>2761</v>
      </c>
      <c r="G27">
        <v>2480</v>
      </c>
      <c r="H27">
        <v>2528</v>
      </c>
      <c r="I27">
        <v>3588</v>
      </c>
    </row>
    <row r="28" spans="1:10">
      <c r="A28" t="s">
        <v>12</v>
      </c>
      <c r="B28">
        <v>172</v>
      </c>
      <c r="C28">
        <v>562</v>
      </c>
      <c r="D28">
        <v>1217</v>
      </c>
      <c r="E28">
        <v>1529</v>
      </c>
      <c r="F28">
        <v>2699</v>
      </c>
      <c r="G28">
        <v>2387</v>
      </c>
      <c r="H28">
        <v>2480</v>
      </c>
      <c r="I28">
        <v>3572</v>
      </c>
    </row>
    <row r="29" spans="1:10">
      <c r="A29" t="s">
        <v>13</v>
      </c>
      <c r="B29">
        <f t="shared" ref="B29:H29" si="8">(SUM(B24:B28) -MAX(B24:B28) -MIN(B24:B28))/((COUNT(B24:B28)-2)*1000)</f>
        <v>0.17666666666666667</v>
      </c>
      <c r="C29">
        <f t="shared" si="8"/>
        <v>0.55666666666666664</v>
      </c>
      <c r="D29">
        <f t="shared" si="8"/>
        <v>1.2063333333333333</v>
      </c>
      <c r="E29">
        <f t="shared" si="8"/>
        <v>1.5756666666666668</v>
      </c>
      <c r="F29">
        <f t="shared" si="8"/>
        <v>2.7353333333333332</v>
      </c>
      <c r="G29">
        <f t="shared" si="8"/>
        <v>2.4336666666666669</v>
      </c>
      <c r="H29">
        <f t="shared" si="8"/>
        <v>2.5483333333333333</v>
      </c>
      <c r="I29">
        <f t="shared" ref="I29" si="9">(SUM(I24:I28) -MAX(I24:I28) -MIN(I24:I28))/((COUNT(I24:I28)-2)*1000)</f>
        <v>3.5826666666666669</v>
      </c>
      <c r="J29" t="s">
        <v>17</v>
      </c>
    </row>
    <row r="30" spans="1:10">
      <c r="A30" t="s">
        <v>15</v>
      </c>
      <c r="B30">
        <f>STDEV(B24:B28)/1000</f>
        <v>8.5906926379659809E-3</v>
      </c>
      <c r="C30">
        <f t="shared" ref="C30:G30" si="10">STDEV(C24:C28)/1000</f>
        <v>8.7635609200819933E-3</v>
      </c>
      <c r="D30">
        <f t="shared" si="10"/>
        <v>0.11178327245165083</v>
      </c>
      <c r="E30">
        <f t="shared" si="10"/>
        <v>2.9686697357567647E-2</v>
      </c>
      <c r="F30">
        <f t="shared" si="10"/>
        <v>5.9872364242605738E-2</v>
      </c>
      <c r="G30">
        <f t="shared" si="10"/>
        <v>7.9655508284110527E-2</v>
      </c>
      <c r="H30">
        <f>STDEV(H24:H28)/1000</f>
        <v>9.6240843720323918E-2</v>
      </c>
      <c r="I30">
        <f>STDEV(I24:I28)/1000</f>
        <v>0.11866043991154231</v>
      </c>
    </row>
    <row r="31" spans="1:10">
      <c r="A31" t="s">
        <v>16</v>
      </c>
      <c r="B31">
        <f>CONFIDENCE(0.05,B30,5)</f>
        <v>7.5299357363424763E-3</v>
      </c>
      <c r="C31">
        <f t="shared" ref="C31:G31" si="11">CONFIDENCE(0.05,C30,5)</f>
        <v>7.6814586821679137E-3</v>
      </c>
      <c r="D31">
        <f t="shared" si="11"/>
        <v>9.798055796328517E-2</v>
      </c>
      <c r="E31">
        <f t="shared" si="11"/>
        <v>2.6021059389183285E-2</v>
      </c>
      <c r="F31">
        <f t="shared" si="11"/>
        <v>5.2479476816255255E-2</v>
      </c>
      <c r="G31">
        <f t="shared" si="11"/>
        <v>6.9819848492107497E-2</v>
      </c>
      <c r="H31">
        <f>CONFIDENCE(0.05,H30,5)</f>
        <v>8.4357268844972064E-2</v>
      </c>
      <c r="I31">
        <f>CONFIDENCE(0.05,I30,5)</f>
        <v>0.10400855025719986</v>
      </c>
    </row>
    <row r="33" spans="1:10">
      <c r="A33" t="s">
        <v>3</v>
      </c>
    </row>
    <row r="34" spans="1:10">
      <c r="A34" t="s">
        <v>8</v>
      </c>
      <c r="B34">
        <v>390</v>
      </c>
      <c r="C34">
        <v>1373</v>
      </c>
      <c r="D34">
        <v>3494</v>
      </c>
      <c r="E34">
        <v>4103</v>
      </c>
      <c r="F34">
        <v>7566</v>
      </c>
      <c r="G34">
        <v>6349</v>
      </c>
      <c r="H34">
        <v>5367</v>
      </c>
      <c r="I34">
        <v>8330</v>
      </c>
    </row>
    <row r="35" spans="1:10">
      <c r="A35" t="s">
        <v>9</v>
      </c>
      <c r="B35">
        <v>406</v>
      </c>
      <c r="C35">
        <v>1498</v>
      </c>
      <c r="D35">
        <v>3994</v>
      </c>
      <c r="E35">
        <v>4383</v>
      </c>
      <c r="F35">
        <v>7987</v>
      </c>
      <c r="G35">
        <v>6801</v>
      </c>
      <c r="H35">
        <v>6459</v>
      </c>
      <c r="I35">
        <v>10046</v>
      </c>
    </row>
    <row r="36" spans="1:10">
      <c r="A36" t="s">
        <v>10</v>
      </c>
      <c r="B36">
        <v>405</v>
      </c>
      <c r="C36">
        <v>1513</v>
      </c>
      <c r="D36">
        <v>3744</v>
      </c>
      <c r="E36">
        <v>4415</v>
      </c>
      <c r="F36">
        <v>7972</v>
      </c>
      <c r="G36">
        <v>6770</v>
      </c>
      <c r="H36">
        <v>5990</v>
      </c>
      <c r="I36">
        <v>9750</v>
      </c>
    </row>
    <row r="37" spans="1:10">
      <c r="A37" t="s">
        <v>11</v>
      </c>
      <c r="B37">
        <v>406</v>
      </c>
      <c r="C37">
        <v>1498</v>
      </c>
      <c r="D37">
        <v>3728</v>
      </c>
      <c r="E37">
        <v>4383</v>
      </c>
      <c r="F37">
        <v>7972</v>
      </c>
      <c r="G37">
        <v>6755</v>
      </c>
      <c r="H37">
        <v>5709</v>
      </c>
      <c r="I37">
        <v>8986</v>
      </c>
    </row>
    <row r="38" spans="1:10">
      <c r="A38" t="s">
        <v>12</v>
      </c>
      <c r="B38">
        <v>406</v>
      </c>
      <c r="C38">
        <v>1498</v>
      </c>
      <c r="D38">
        <v>3728</v>
      </c>
      <c r="E38">
        <v>4384</v>
      </c>
      <c r="F38">
        <v>8003</v>
      </c>
      <c r="G38">
        <v>6739</v>
      </c>
      <c r="H38">
        <v>5757</v>
      </c>
      <c r="I38">
        <v>9594</v>
      </c>
    </row>
    <row r="39" spans="1:10">
      <c r="A39" t="s">
        <v>13</v>
      </c>
      <c r="B39">
        <f t="shared" ref="B39:H39" si="12">(SUM(B34:B38) -MAX(B34:B38) -MIN(B34:B38))/((COUNT(B34:B38)-2)*1000)</f>
        <v>0.40566666666666668</v>
      </c>
      <c r="C39">
        <f t="shared" si="12"/>
        <v>1.498</v>
      </c>
      <c r="D39">
        <f t="shared" si="12"/>
        <v>3.7333333333333334</v>
      </c>
      <c r="E39">
        <f t="shared" si="12"/>
        <v>4.3833333333333337</v>
      </c>
      <c r="F39">
        <f t="shared" si="12"/>
        <v>7.9770000000000003</v>
      </c>
      <c r="G39">
        <f t="shared" si="12"/>
        <v>6.754666666666667</v>
      </c>
      <c r="H39">
        <f t="shared" si="12"/>
        <v>5.8186666666666671</v>
      </c>
      <c r="I39">
        <f t="shared" ref="I39" si="13">(SUM(I34:I38) -MAX(I34:I38) -MIN(I34:I38))/((COUNT(I34:I38)-2)*1000)</f>
        <v>9.4433333333333334</v>
      </c>
      <c r="J39" t="s">
        <v>17</v>
      </c>
    </row>
    <row r="40" spans="1:10">
      <c r="A40" t="s">
        <v>15</v>
      </c>
      <c r="B40">
        <f>STDEV(B34:B38)/1000</f>
        <v>7.0569115057501153E-3</v>
      </c>
      <c r="C40">
        <f t="shared" ref="C40:G40" si="14">STDEV(C34:C38)/1000</f>
        <v>5.7943938423272542E-2</v>
      </c>
      <c r="D40">
        <f t="shared" si="14"/>
        <v>0.17699378520163001</v>
      </c>
      <c r="E40">
        <f t="shared" si="14"/>
        <v>0.1296371860231498</v>
      </c>
      <c r="F40">
        <f t="shared" si="14"/>
        <v>0.18715100854657452</v>
      </c>
      <c r="G40">
        <f t="shared" si="14"/>
        <v>0.18799521270501274</v>
      </c>
      <c r="H40">
        <f>STDEV(H34:H38)/1000</f>
        <v>0.40376205864345033</v>
      </c>
      <c r="I40">
        <f>STDEV(I34:I38)/1000</f>
        <v>0.68491984932545424</v>
      </c>
    </row>
    <row r="41" spans="1:10">
      <c r="A41" t="s">
        <v>16</v>
      </c>
      <c r="B41">
        <f>CONFIDENCE(0.05,B40,5)</f>
        <v>6.1855420016442E-3</v>
      </c>
      <c r="C41">
        <f t="shared" ref="C41:G41" si="15">CONFIDENCE(0.05,C40,5)</f>
        <v>5.0789168117779851E-2</v>
      </c>
      <c r="D41">
        <f t="shared" si="15"/>
        <v>0.15513904227119849</v>
      </c>
      <c r="E41">
        <f t="shared" si="15"/>
        <v>0.11362991564621017</v>
      </c>
      <c r="F41">
        <f t="shared" si="15"/>
        <v>0.16404207748271302</v>
      </c>
      <c r="G41">
        <f t="shared" si="15"/>
        <v>0.1647820414564326</v>
      </c>
      <c r="H41">
        <f>CONFIDENCE(0.05,H40,5)</f>
        <v>0.35390654543058775</v>
      </c>
      <c r="I41">
        <f>CONFIDENCE(0.05,I40,5)</f>
        <v>0.60034768642207659</v>
      </c>
    </row>
    <row r="43" spans="1:10">
      <c r="A43" t="s">
        <v>4</v>
      </c>
    </row>
    <row r="44" spans="1:10">
      <c r="A44" t="s">
        <v>8</v>
      </c>
      <c r="B44">
        <v>296</v>
      </c>
      <c r="C44">
        <v>1341</v>
      </c>
      <c r="D44">
        <v>3213</v>
      </c>
      <c r="E44">
        <v>4540</v>
      </c>
      <c r="F44">
        <v>3073</v>
      </c>
      <c r="G44">
        <v>10749</v>
      </c>
      <c r="H44">
        <v>32948</v>
      </c>
      <c r="I44">
        <v>22948</v>
      </c>
    </row>
    <row r="45" spans="1:10">
      <c r="A45" t="s">
        <v>9</v>
      </c>
      <c r="B45">
        <v>281</v>
      </c>
      <c r="C45">
        <v>1264</v>
      </c>
      <c r="D45">
        <v>2730</v>
      </c>
      <c r="E45">
        <v>3962</v>
      </c>
      <c r="F45">
        <v>3042</v>
      </c>
      <c r="G45">
        <v>10233</v>
      </c>
      <c r="H45">
        <v>32136</v>
      </c>
      <c r="I45">
        <v>22495</v>
      </c>
    </row>
    <row r="46" spans="1:10">
      <c r="A46" t="s">
        <v>10</v>
      </c>
      <c r="B46">
        <v>280</v>
      </c>
      <c r="C46">
        <v>1264</v>
      </c>
      <c r="D46">
        <v>2746</v>
      </c>
      <c r="E46">
        <v>3978</v>
      </c>
      <c r="F46">
        <v>3058</v>
      </c>
      <c r="G46">
        <v>10280</v>
      </c>
      <c r="H46">
        <v>31294</v>
      </c>
      <c r="I46">
        <v>20827</v>
      </c>
    </row>
    <row r="47" spans="1:10">
      <c r="A47" t="s">
        <v>11</v>
      </c>
      <c r="B47">
        <v>296</v>
      </c>
      <c r="C47">
        <v>1232</v>
      </c>
      <c r="D47">
        <v>2636</v>
      </c>
      <c r="E47">
        <v>3963</v>
      </c>
      <c r="F47">
        <v>3057</v>
      </c>
      <c r="G47">
        <v>10296</v>
      </c>
      <c r="H47">
        <v>30779</v>
      </c>
      <c r="I47">
        <v>21122</v>
      </c>
    </row>
    <row r="48" spans="1:10">
      <c r="A48" t="s">
        <v>12</v>
      </c>
      <c r="B48">
        <v>297</v>
      </c>
      <c r="C48">
        <v>1263</v>
      </c>
      <c r="D48">
        <v>2668</v>
      </c>
      <c r="E48">
        <v>3963</v>
      </c>
      <c r="F48">
        <v>3042</v>
      </c>
      <c r="G48">
        <v>10405</v>
      </c>
      <c r="H48">
        <v>30733</v>
      </c>
      <c r="I48">
        <v>20857</v>
      </c>
    </row>
    <row r="49" spans="1:10">
      <c r="A49" t="s">
        <v>13</v>
      </c>
      <c r="B49">
        <f t="shared" ref="B49:H49" si="16">(SUM(B44:B48) -MAX(B44:B48) -MIN(B44:B48))/((COUNT(B44:B48)-2)*1000)</f>
        <v>0.29099999999999998</v>
      </c>
      <c r="C49">
        <f t="shared" si="16"/>
        <v>1.2636666666666667</v>
      </c>
      <c r="D49">
        <f t="shared" si="16"/>
        <v>2.7146666666666666</v>
      </c>
      <c r="E49">
        <f t="shared" si="16"/>
        <v>3.968</v>
      </c>
      <c r="F49">
        <f t="shared" si="16"/>
        <v>3.0523333333333333</v>
      </c>
      <c r="G49">
        <f t="shared" si="16"/>
        <v>10.327</v>
      </c>
      <c r="H49">
        <f t="shared" si="16"/>
        <v>31.402999999999999</v>
      </c>
      <c r="I49">
        <f t="shared" ref="I49" si="17">(SUM(I44:I48) -MAX(I44:I48) -MIN(I44:I48))/((COUNT(I44:I48)-2)*1000)</f>
        <v>21.491333333333333</v>
      </c>
      <c r="J49" t="s">
        <v>17</v>
      </c>
    </row>
    <row r="50" spans="1:10">
      <c r="A50" t="s">
        <v>15</v>
      </c>
      <c r="B50">
        <f>STDEV(B44:B48)/1000</f>
        <v>8.6890735984913835E-3</v>
      </c>
      <c r="C50">
        <f t="shared" ref="C50:G50" si="18">STDEV(C44:C48)/1000</f>
        <v>4.0517897280090351E-2</v>
      </c>
      <c r="D50">
        <f t="shared" si="18"/>
        <v>0.23595296141392408</v>
      </c>
      <c r="E50">
        <f t="shared" si="18"/>
        <v>0.25656324756285587</v>
      </c>
      <c r="F50">
        <f t="shared" si="18"/>
        <v>1.2973048986292507E-2</v>
      </c>
      <c r="G50">
        <f t="shared" si="18"/>
        <v>0.20896004402758897</v>
      </c>
      <c r="H50">
        <f>STDEV(H44:H48)/1000</f>
        <v>0.95149172355832923</v>
      </c>
      <c r="I50">
        <f>STDEV(I44:I48)/1000</f>
        <v>0.99797179318858886</v>
      </c>
    </row>
    <row r="51" spans="1:10">
      <c r="A51" t="s">
        <v>16</v>
      </c>
      <c r="B51">
        <f>CONFIDENCE(0.05,B50,5)</f>
        <v>7.6161688658065666E-3</v>
      </c>
      <c r="C51">
        <f t="shared" ref="C51:G51" si="19">CONFIDENCE(0.05,C50,5)</f>
        <v>3.5514850262765754E-2</v>
      </c>
      <c r="D51">
        <f t="shared" si="19"/>
        <v>0.20681808919510083</v>
      </c>
      <c r="E51">
        <f t="shared" si="19"/>
        <v>0.22488346957237285</v>
      </c>
      <c r="F51">
        <f t="shared" si="19"/>
        <v>1.1371169856489553E-2</v>
      </c>
      <c r="G51">
        <f t="shared" si="19"/>
        <v>0.18315818867005662</v>
      </c>
      <c r="H51">
        <f>CONFIDENCE(0.05,H50,5)</f>
        <v>0.83400394287093715</v>
      </c>
      <c r="I51">
        <f>CONFIDENCE(0.05,I50,5)</f>
        <v>0.87474477158942876</v>
      </c>
    </row>
    <row r="53" spans="1:10">
      <c r="A53" t="s">
        <v>5</v>
      </c>
    </row>
    <row r="54" spans="1:10">
      <c r="A54" t="s">
        <v>8</v>
      </c>
      <c r="B54">
        <v>390</v>
      </c>
      <c r="C54">
        <v>1747</v>
      </c>
      <c r="D54">
        <v>4790</v>
      </c>
      <c r="E54">
        <v>5694</v>
      </c>
      <c r="F54">
        <v>4462</v>
      </c>
      <c r="G54">
        <v>14133</v>
      </c>
      <c r="H54">
        <v>44195</v>
      </c>
      <c r="I54">
        <v>28704</v>
      </c>
    </row>
    <row r="55" spans="1:10">
      <c r="A55" t="s">
        <v>9</v>
      </c>
      <c r="B55">
        <v>406</v>
      </c>
      <c r="C55">
        <v>1623</v>
      </c>
      <c r="D55">
        <v>3947</v>
      </c>
      <c r="E55">
        <v>5741</v>
      </c>
      <c r="F55">
        <v>4524</v>
      </c>
      <c r="G55">
        <v>13853</v>
      </c>
      <c r="H55">
        <v>38766</v>
      </c>
      <c r="I55">
        <v>29593</v>
      </c>
    </row>
    <row r="56" spans="1:10">
      <c r="A56" t="s">
        <v>10</v>
      </c>
      <c r="B56">
        <v>406</v>
      </c>
      <c r="C56">
        <v>1701</v>
      </c>
      <c r="D56">
        <v>3993</v>
      </c>
      <c r="E56">
        <v>5757</v>
      </c>
      <c r="F56">
        <v>4509</v>
      </c>
      <c r="G56">
        <v>14695</v>
      </c>
      <c r="H56">
        <v>36832</v>
      </c>
      <c r="I56">
        <v>28814</v>
      </c>
    </row>
    <row r="57" spans="1:10">
      <c r="A57" t="s">
        <v>11</v>
      </c>
      <c r="B57">
        <v>406</v>
      </c>
      <c r="C57">
        <v>1654</v>
      </c>
      <c r="D57">
        <v>3822</v>
      </c>
      <c r="E57">
        <v>5725</v>
      </c>
      <c r="F57">
        <v>4508</v>
      </c>
      <c r="G57">
        <v>13806</v>
      </c>
      <c r="H57">
        <v>37706</v>
      </c>
      <c r="I57">
        <v>28549</v>
      </c>
    </row>
    <row r="58" spans="1:10">
      <c r="A58" t="s">
        <v>12</v>
      </c>
      <c r="B58">
        <v>405</v>
      </c>
      <c r="C58">
        <v>1670</v>
      </c>
      <c r="D58">
        <v>3791</v>
      </c>
      <c r="E58">
        <v>5725</v>
      </c>
      <c r="F58">
        <v>4508</v>
      </c>
      <c r="G58">
        <v>13665</v>
      </c>
      <c r="H58">
        <v>17129</v>
      </c>
      <c r="I58">
        <v>29624</v>
      </c>
    </row>
    <row r="59" spans="1:10">
      <c r="A59" t="s">
        <v>13</v>
      </c>
      <c r="B59">
        <f t="shared" ref="B59:H59" si="20">(SUM(B54:B58) -MAX(B54:B58) -MIN(B54:B58))/((COUNT(B54:B58)-2)*1000)</f>
        <v>0.40566666666666668</v>
      </c>
      <c r="C59">
        <f t="shared" si="20"/>
        <v>1.675</v>
      </c>
      <c r="D59">
        <f t="shared" si="20"/>
        <v>3.9206666666666665</v>
      </c>
      <c r="E59">
        <f t="shared" si="20"/>
        <v>5.7303333333333333</v>
      </c>
      <c r="F59">
        <f t="shared" si="20"/>
        <v>4.5083333333333337</v>
      </c>
      <c r="G59">
        <f t="shared" si="20"/>
        <v>13.930666666666667</v>
      </c>
      <c r="H59">
        <f t="shared" si="20"/>
        <v>37.768000000000001</v>
      </c>
      <c r="I59">
        <f t="shared" ref="I59" si="21">(SUM(I54:I58) -MAX(I54:I58) -MIN(I54:I58))/((COUNT(I54:I58)-2)*1000)</f>
        <v>29.036999999999999</v>
      </c>
      <c r="J59" t="s">
        <v>17</v>
      </c>
    </row>
    <row r="60" spans="1:10">
      <c r="A60" t="s">
        <v>15</v>
      </c>
      <c r="B60">
        <f>STDEV(B54:B58)/1000</f>
        <v>7.0569115057501153E-3</v>
      </c>
      <c r="C60">
        <f t="shared" ref="C60:G60" si="22">STDEV(C54:C58)/1000</f>
        <v>4.7302219821061253E-2</v>
      </c>
      <c r="D60">
        <f t="shared" si="22"/>
        <v>0.41194453510151186</v>
      </c>
      <c r="E60">
        <f t="shared" si="22"/>
        <v>2.3362362894129948E-2</v>
      </c>
      <c r="F60">
        <f t="shared" si="22"/>
        <v>2.3477648945310837E-2</v>
      </c>
      <c r="G60">
        <f t="shared" si="22"/>
        <v>0.40852270438742067</v>
      </c>
      <c r="H60">
        <f>STDEV(H54:H58)/1000</f>
        <v>10.353192807052322</v>
      </c>
      <c r="I60">
        <f>STDEV(I54:I58)/1000</f>
        <v>0.51247116992085284</v>
      </c>
    </row>
    <row r="61" spans="1:10">
      <c r="A61" t="s">
        <v>16</v>
      </c>
      <c r="B61">
        <f>CONFIDENCE(0.05,B60,5)</f>
        <v>6.1855420016442E-3</v>
      </c>
      <c r="C61">
        <f t="shared" ref="C61:G61" si="23">CONFIDENCE(0.05,C60,5)</f>
        <v>4.1461461892468542E-2</v>
      </c>
      <c r="D61">
        <f t="shared" si="23"/>
        <v>0.36107867048381592</v>
      </c>
      <c r="E61">
        <f t="shared" si="23"/>
        <v>2.047763767783484E-2</v>
      </c>
      <c r="F61">
        <f t="shared" si="23"/>
        <v>2.0578688500308955E-2</v>
      </c>
      <c r="G61">
        <f t="shared" si="23"/>
        <v>0.35807935873287777</v>
      </c>
      <c r="H61">
        <f>CONFIDENCE(0.05,H60,5)</f>
        <v>9.0748068623166898</v>
      </c>
      <c r="I61">
        <f>CONFIDENCE(0.05,I60,5)</f>
        <v>0.44919253183127894</v>
      </c>
    </row>
    <row r="63" spans="1:10">
      <c r="A63" t="s">
        <v>6</v>
      </c>
    </row>
    <row r="64" spans="1:10">
      <c r="A64" t="s">
        <v>8</v>
      </c>
      <c r="B64">
        <v>874</v>
      </c>
      <c r="C64">
        <v>3838</v>
      </c>
      <c r="D64">
        <v>11466</v>
      </c>
      <c r="E64">
        <v>13681</v>
      </c>
      <c r="F64">
        <v>11107</v>
      </c>
      <c r="G64">
        <v>30186</v>
      </c>
      <c r="H64">
        <v>37737</v>
      </c>
      <c r="I64">
        <v>64038</v>
      </c>
    </row>
    <row r="65" spans="1:10">
      <c r="A65" t="s">
        <v>9</v>
      </c>
      <c r="B65">
        <v>921</v>
      </c>
      <c r="C65">
        <v>3385</v>
      </c>
      <c r="D65">
        <v>9547</v>
      </c>
      <c r="E65">
        <v>14164</v>
      </c>
      <c r="F65">
        <v>11669</v>
      </c>
      <c r="G65">
        <v>30452</v>
      </c>
      <c r="H65">
        <v>40092</v>
      </c>
      <c r="I65">
        <v>69858</v>
      </c>
    </row>
    <row r="66" spans="1:10">
      <c r="A66" t="s">
        <v>10</v>
      </c>
      <c r="B66">
        <v>936</v>
      </c>
      <c r="C66">
        <v>3416</v>
      </c>
      <c r="D66">
        <v>8674</v>
      </c>
      <c r="E66">
        <v>14118</v>
      </c>
      <c r="F66">
        <v>11669</v>
      </c>
      <c r="G66">
        <v>30404</v>
      </c>
      <c r="H66">
        <v>39718</v>
      </c>
      <c r="I66">
        <v>69108</v>
      </c>
    </row>
    <row r="67" spans="1:10">
      <c r="A67" t="s">
        <v>11</v>
      </c>
      <c r="B67">
        <v>936</v>
      </c>
      <c r="C67">
        <v>3479</v>
      </c>
      <c r="D67">
        <v>8829</v>
      </c>
      <c r="E67">
        <v>14243</v>
      </c>
      <c r="F67">
        <v>11653</v>
      </c>
      <c r="G67">
        <v>30295</v>
      </c>
      <c r="H67">
        <v>40888</v>
      </c>
      <c r="I67">
        <v>68858</v>
      </c>
    </row>
    <row r="68" spans="1:10">
      <c r="A68" t="s">
        <v>12</v>
      </c>
      <c r="B68">
        <v>936</v>
      </c>
      <c r="C68">
        <v>3447</v>
      </c>
      <c r="D68">
        <v>8705</v>
      </c>
      <c r="E68">
        <v>14242</v>
      </c>
      <c r="F68">
        <v>11607</v>
      </c>
      <c r="G68">
        <v>30264</v>
      </c>
      <c r="H68">
        <v>39936</v>
      </c>
      <c r="I68">
        <v>68173</v>
      </c>
    </row>
    <row r="69" spans="1:10">
      <c r="A69" t="s">
        <v>13</v>
      </c>
      <c r="B69">
        <f t="shared" ref="B69:H69" si="24">(SUM(B64:B68) -MAX(B64:B68) -MIN(B64:B68))/((COUNT(B64:B68)-2)*1000)</f>
        <v>0.93100000000000005</v>
      </c>
      <c r="C69">
        <f t="shared" si="24"/>
        <v>3.4473333333333334</v>
      </c>
      <c r="D69">
        <f t="shared" si="24"/>
        <v>9.0269999999999992</v>
      </c>
      <c r="E69">
        <f t="shared" si="24"/>
        <v>14.174666666666667</v>
      </c>
      <c r="F69">
        <f t="shared" si="24"/>
        <v>11.643000000000001</v>
      </c>
      <c r="G69">
        <f t="shared" si="24"/>
        <v>30.321000000000002</v>
      </c>
      <c r="H69">
        <f t="shared" si="24"/>
        <v>39.915333333333336</v>
      </c>
      <c r="I69">
        <f t="shared" ref="I69" si="25">(SUM(I64:I68) -MAX(I64:I68) -MIN(I64:I68))/((COUNT(I64:I68)-2)*1000)</f>
        <v>68.712999999999994</v>
      </c>
      <c r="J69" t="s">
        <v>17</v>
      </c>
    </row>
    <row r="70" spans="1:10">
      <c r="A70" t="s">
        <v>15</v>
      </c>
      <c r="B70">
        <f>STDEV(B64:B68)/1000</f>
        <v>2.6847718711280603E-2</v>
      </c>
      <c r="C70">
        <f t="shared" ref="C70:G70" si="26">STDEV(C64:C68)/1000</f>
        <v>0.185020269159895</v>
      </c>
      <c r="D70">
        <f t="shared" si="26"/>
        <v>1.1849408002090243</v>
      </c>
      <c r="E70">
        <f t="shared" si="26"/>
        <v>0.23454914197244875</v>
      </c>
      <c r="F70">
        <f t="shared" si="26"/>
        <v>0.24393851684389653</v>
      </c>
      <c r="G70">
        <f t="shared" si="26"/>
        <v>0.10746720429995228</v>
      </c>
      <c r="H70">
        <f>STDEV(H64:H68)/1000</f>
        <v>1.1695157972426227</v>
      </c>
      <c r="I70">
        <f>STDEV(I64:I68)/1000</f>
        <v>2.2990824256646389</v>
      </c>
    </row>
    <row r="71" spans="1:10">
      <c r="A71" t="s">
        <v>16</v>
      </c>
      <c r="B71">
        <f>CONFIDENCE(0.05,B70,5)</f>
        <v>2.3532630613497099E-2</v>
      </c>
      <c r="C71">
        <f t="shared" ref="C71:G71" si="27">CONFIDENCE(0.05,C70,5)</f>
        <v>0.16217443638219411</v>
      </c>
      <c r="D71">
        <f t="shared" si="27"/>
        <v>1.0386273206320613</v>
      </c>
      <c r="E71">
        <f t="shared" si="27"/>
        <v>0.20558760981174809</v>
      </c>
      <c r="F71">
        <f t="shared" si="27"/>
        <v>0.21381760852849541</v>
      </c>
      <c r="G71">
        <f t="shared" si="27"/>
        <v>9.4197426941656698E-2</v>
      </c>
      <c r="H71">
        <f>CONFIDENCE(0.05,H70,5)</f>
        <v>1.0251069578435497</v>
      </c>
      <c r="I71">
        <f>CONFIDENCE(0.05,I70,5)</f>
        <v>2.0151975687385386</v>
      </c>
    </row>
    <row r="73" spans="1:10">
      <c r="A73" s="1" t="s">
        <v>33</v>
      </c>
    </row>
    <row r="74" spans="1:10">
      <c r="A74" t="s">
        <v>27</v>
      </c>
    </row>
    <row r="75" spans="1:10">
      <c r="A75" t="s">
        <v>8</v>
      </c>
    </row>
    <row r="76" spans="1:10">
      <c r="A76" t="s">
        <v>9</v>
      </c>
    </row>
    <row r="77" spans="1:10">
      <c r="A77" t="s">
        <v>10</v>
      </c>
    </row>
    <row r="78" spans="1:10">
      <c r="A78" t="s">
        <v>11</v>
      </c>
    </row>
    <row r="79" spans="1:10">
      <c r="A79" t="s">
        <v>12</v>
      </c>
    </row>
    <row r="80" spans="1:10">
      <c r="A80" t="s">
        <v>13</v>
      </c>
      <c r="B80">
        <f t="shared" ref="B80:H80" si="28">(SUM(B75:B79) -MAX(B75:B79) -MIN(B75:B79))/((COUNT(B75:B79)-2)*1000)</f>
        <v>0</v>
      </c>
      <c r="C80">
        <f t="shared" si="28"/>
        <v>0</v>
      </c>
      <c r="D80">
        <f t="shared" si="28"/>
        <v>0</v>
      </c>
      <c r="E80">
        <f t="shared" si="28"/>
        <v>0</v>
      </c>
      <c r="F80">
        <f t="shared" si="28"/>
        <v>0</v>
      </c>
      <c r="G80">
        <f t="shared" si="28"/>
        <v>0</v>
      </c>
      <c r="H80">
        <f t="shared" si="28"/>
        <v>0</v>
      </c>
    </row>
    <row r="81" spans="1:8">
      <c r="A81" t="s">
        <v>15</v>
      </c>
      <c r="B81" t="e">
        <f>STDEV(B75:B79)/1000</f>
        <v>#DIV/0!</v>
      </c>
      <c r="C81" t="e">
        <f t="shared" ref="C81:H81" si="29">STDEV(C75:C79)/1000</f>
        <v>#DIV/0!</v>
      </c>
      <c r="D81" t="e">
        <f t="shared" si="29"/>
        <v>#DIV/0!</v>
      </c>
      <c r="E81" t="e">
        <f t="shared" si="29"/>
        <v>#DIV/0!</v>
      </c>
      <c r="F81" t="e">
        <f t="shared" si="29"/>
        <v>#DIV/0!</v>
      </c>
      <c r="G81" t="e">
        <f t="shared" si="29"/>
        <v>#DIV/0!</v>
      </c>
      <c r="H81" t="e">
        <f t="shared" si="29"/>
        <v>#DIV/0!</v>
      </c>
    </row>
    <row r="82" spans="1:8">
      <c r="A82" t="s">
        <v>16</v>
      </c>
      <c r="B82" t="e">
        <f>CONFIDENCE(0.05,B81,5)</f>
        <v>#DIV/0!</v>
      </c>
      <c r="C82" t="e">
        <f t="shared" ref="C82:H82" si="30">CONFIDENCE(0.05,C81,5)</f>
        <v>#DIV/0!</v>
      </c>
      <c r="D82" t="e">
        <f t="shared" si="30"/>
        <v>#DIV/0!</v>
      </c>
      <c r="E82" t="e">
        <f t="shared" si="30"/>
        <v>#DIV/0!</v>
      </c>
      <c r="F82" t="e">
        <f t="shared" si="30"/>
        <v>#DIV/0!</v>
      </c>
      <c r="G82" t="e">
        <f t="shared" si="30"/>
        <v>#DIV/0!</v>
      </c>
      <c r="H82" t="e">
        <f t="shared" si="30"/>
        <v>#DIV/0!</v>
      </c>
    </row>
    <row r="84" spans="1:8">
      <c r="A84" t="s">
        <v>28</v>
      </c>
    </row>
    <row r="85" spans="1:8">
      <c r="A85" t="s">
        <v>8</v>
      </c>
    </row>
    <row r="86" spans="1:8">
      <c r="A86" t="s">
        <v>9</v>
      </c>
    </row>
    <row r="87" spans="1:8">
      <c r="A87" t="s">
        <v>10</v>
      </c>
    </row>
    <row r="88" spans="1:8">
      <c r="A88" t="s">
        <v>11</v>
      </c>
    </row>
    <row r="89" spans="1:8">
      <c r="A89" t="s">
        <v>12</v>
      </c>
    </row>
    <row r="90" spans="1:8">
      <c r="A90" t="s">
        <v>13</v>
      </c>
      <c r="B90">
        <f>(SUM(B85:B89) -MAX(B85:B89) -MIN(B85:B89))/((COUNT(B85:B89)-2)*1000)</f>
        <v>0</v>
      </c>
      <c r="C90">
        <f t="shared" ref="C90:H90" si="31">(SUM(C85:C89) -MAX(C85:C89) -MIN(C85:C89))/((COUNT(C85:C89)-2)*1000)</f>
        <v>0</v>
      </c>
      <c r="D90">
        <f t="shared" si="31"/>
        <v>0</v>
      </c>
      <c r="E90">
        <f t="shared" si="31"/>
        <v>0</v>
      </c>
      <c r="F90">
        <f t="shared" si="31"/>
        <v>0</v>
      </c>
      <c r="G90">
        <f t="shared" si="31"/>
        <v>0</v>
      </c>
      <c r="H90">
        <f t="shared" si="31"/>
        <v>0</v>
      </c>
    </row>
    <row r="91" spans="1:8">
      <c r="A91" t="s">
        <v>15</v>
      </c>
      <c r="B91" t="e">
        <f>STDEV(B85:B89)/1000</f>
        <v>#DIV/0!</v>
      </c>
      <c r="C91" t="e">
        <f t="shared" ref="C91:H91" si="32">STDEV(C85:C89)/1000</f>
        <v>#DIV/0!</v>
      </c>
      <c r="D91" t="e">
        <f t="shared" si="32"/>
        <v>#DIV/0!</v>
      </c>
      <c r="E91" t="e">
        <f t="shared" si="32"/>
        <v>#DIV/0!</v>
      </c>
      <c r="F91" t="e">
        <f t="shared" si="32"/>
        <v>#DIV/0!</v>
      </c>
      <c r="G91" t="e">
        <f t="shared" si="32"/>
        <v>#DIV/0!</v>
      </c>
      <c r="H91" t="e">
        <f t="shared" si="32"/>
        <v>#DIV/0!</v>
      </c>
    </row>
    <row r="92" spans="1:8">
      <c r="A92" t="s">
        <v>16</v>
      </c>
      <c r="B92" t="e">
        <f>CONFIDENCE(0.05,B91,5)</f>
        <v>#DIV/0!</v>
      </c>
      <c r="C92" t="e">
        <f t="shared" ref="C92:H92" si="33">CONFIDENCE(0.05,C91,5)</f>
        <v>#DIV/0!</v>
      </c>
      <c r="D92" t="e">
        <f t="shared" si="33"/>
        <v>#DIV/0!</v>
      </c>
      <c r="E92" t="e">
        <f t="shared" si="33"/>
        <v>#DIV/0!</v>
      </c>
      <c r="F92" t="e">
        <f t="shared" si="33"/>
        <v>#DIV/0!</v>
      </c>
      <c r="G92" t="e">
        <f t="shared" si="33"/>
        <v>#DIV/0!</v>
      </c>
      <c r="H92" t="e">
        <f t="shared" si="33"/>
        <v>#DIV/0!</v>
      </c>
    </row>
    <row r="94" spans="1:8">
      <c r="A94" t="s">
        <v>29</v>
      </c>
    </row>
    <row r="95" spans="1:8">
      <c r="A95" t="s">
        <v>8</v>
      </c>
    </row>
    <row r="96" spans="1:8">
      <c r="A96" t="s">
        <v>9</v>
      </c>
    </row>
    <row r="97" spans="1:8">
      <c r="A97" t="s">
        <v>10</v>
      </c>
    </row>
    <row r="98" spans="1:8">
      <c r="A98" t="s">
        <v>11</v>
      </c>
    </row>
    <row r="99" spans="1:8">
      <c r="A99" t="s">
        <v>12</v>
      </c>
    </row>
    <row r="100" spans="1:8">
      <c r="A100" t="s">
        <v>13</v>
      </c>
      <c r="B100">
        <f t="shared" ref="B100:H100" si="34">(SUM(B95:B99) -MAX(B95:B99) -MIN(B95:B99))/((COUNT(B95:B99)-2)*1000)</f>
        <v>0</v>
      </c>
      <c r="C100">
        <f t="shared" si="34"/>
        <v>0</v>
      </c>
      <c r="D100">
        <f t="shared" si="34"/>
        <v>0</v>
      </c>
      <c r="E100">
        <f t="shared" si="34"/>
        <v>0</v>
      </c>
      <c r="F100">
        <f t="shared" si="34"/>
        <v>0</v>
      </c>
      <c r="G100">
        <f t="shared" si="34"/>
        <v>0</v>
      </c>
      <c r="H100">
        <f t="shared" si="34"/>
        <v>0</v>
      </c>
    </row>
    <row r="101" spans="1:8">
      <c r="A101" t="s">
        <v>15</v>
      </c>
      <c r="B101" t="e">
        <f>STDEV(B95:B99)/1000</f>
        <v>#DIV/0!</v>
      </c>
      <c r="C101" t="e">
        <f t="shared" ref="C101:H101" si="35">STDEV(C95:C99)/1000</f>
        <v>#DIV/0!</v>
      </c>
      <c r="D101" t="e">
        <f t="shared" si="35"/>
        <v>#DIV/0!</v>
      </c>
      <c r="E101" t="e">
        <f t="shared" si="35"/>
        <v>#DIV/0!</v>
      </c>
      <c r="F101" t="e">
        <f t="shared" si="35"/>
        <v>#DIV/0!</v>
      </c>
      <c r="G101" t="e">
        <f t="shared" si="35"/>
        <v>#DIV/0!</v>
      </c>
      <c r="H101" t="e">
        <f t="shared" si="35"/>
        <v>#DIV/0!</v>
      </c>
    </row>
    <row r="102" spans="1:8">
      <c r="A102" t="s">
        <v>16</v>
      </c>
      <c r="B102" t="e">
        <f>CONFIDENCE(0.05,B101,5)</f>
        <v>#DIV/0!</v>
      </c>
      <c r="C102" t="e">
        <f t="shared" ref="C102:H102" si="36">CONFIDENCE(0.05,C101,5)</f>
        <v>#DIV/0!</v>
      </c>
      <c r="D102" t="e">
        <f t="shared" si="36"/>
        <v>#DIV/0!</v>
      </c>
      <c r="E102" t="e">
        <f t="shared" si="36"/>
        <v>#DIV/0!</v>
      </c>
      <c r="F102" t="e">
        <f t="shared" si="36"/>
        <v>#DIV/0!</v>
      </c>
      <c r="G102" t="e">
        <f t="shared" si="36"/>
        <v>#DIV/0!</v>
      </c>
      <c r="H102" t="e">
        <f t="shared" si="36"/>
        <v>#DIV/0!</v>
      </c>
    </row>
    <row r="104" spans="1:8">
      <c r="A104" t="s">
        <v>30</v>
      </c>
    </row>
    <row r="105" spans="1:8">
      <c r="A105" t="s">
        <v>8</v>
      </c>
    </row>
    <row r="106" spans="1:8">
      <c r="A106" t="s">
        <v>9</v>
      </c>
    </row>
    <row r="107" spans="1:8">
      <c r="A107" t="s">
        <v>10</v>
      </c>
    </row>
    <row r="108" spans="1:8">
      <c r="A108" t="s">
        <v>11</v>
      </c>
    </row>
    <row r="109" spans="1:8">
      <c r="A109" t="s">
        <v>12</v>
      </c>
    </row>
    <row r="110" spans="1:8">
      <c r="A110" t="s">
        <v>13</v>
      </c>
      <c r="B110">
        <f t="shared" ref="B110:H110" si="37">(SUM(B105:B109) -MAX(B105:B109) -MIN(B105:B109))/((COUNT(B105:B109)-2)*1000)</f>
        <v>0</v>
      </c>
      <c r="C110">
        <f t="shared" si="37"/>
        <v>0</v>
      </c>
      <c r="D110">
        <f t="shared" si="37"/>
        <v>0</v>
      </c>
      <c r="E110">
        <f t="shared" si="37"/>
        <v>0</v>
      </c>
      <c r="F110">
        <f t="shared" si="37"/>
        <v>0</v>
      </c>
      <c r="G110">
        <f t="shared" si="37"/>
        <v>0</v>
      </c>
      <c r="H110">
        <f t="shared" si="37"/>
        <v>0</v>
      </c>
    </row>
    <row r="111" spans="1:8">
      <c r="A111" t="s">
        <v>15</v>
      </c>
      <c r="B111" t="e">
        <f>STDEV(B105:B109)/1000</f>
        <v>#DIV/0!</v>
      </c>
      <c r="C111" t="e">
        <f t="shared" ref="C111:H111" si="38">STDEV(C105:C109)/1000</f>
        <v>#DIV/0!</v>
      </c>
      <c r="D111" t="e">
        <f t="shared" si="38"/>
        <v>#DIV/0!</v>
      </c>
      <c r="E111" t="e">
        <f t="shared" si="38"/>
        <v>#DIV/0!</v>
      </c>
      <c r="F111" t="e">
        <f t="shared" si="38"/>
        <v>#DIV/0!</v>
      </c>
      <c r="G111" t="e">
        <f t="shared" si="38"/>
        <v>#DIV/0!</v>
      </c>
      <c r="H111" t="e">
        <f t="shared" si="38"/>
        <v>#DIV/0!</v>
      </c>
    </row>
    <row r="112" spans="1:8">
      <c r="A112" t="s">
        <v>16</v>
      </c>
      <c r="B112" t="e">
        <f>CONFIDENCE(0.05,B111,5)</f>
        <v>#DIV/0!</v>
      </c>
      <c r="C112" t="e">
        <f t="shared" ref="C112:H112" si="39">CONFIDENCE(0.05,C111,5)</f>
        <v>#DIV/0!</v>
      </c>
      <c r="D112" t="e">
        <f t="shared" si="39"/>
        <v>#DIV/0!</v>
      </c>
      <c r="E112" t="e">
        <f t="shared" si="39"/>
        <v>#DIV/0!</v>
      </c>
      <c r="F112" t="e">
        <f t="shared" si="39"/>
        <v>#DIV/0!</v>
      </c>
      <c r="G112" t="e">
        <f t="shared" si="39"/>
        <v>#DIV/0!</v>
      </c>
      <c r="H112" t="e">
        <f t="shared" si="39"/>
        <v>#DIV/0!</v>
      </c>
    </row>
    <row r="114" spans="1:8">
      <c r="A114" t="s">
        <v>31</v>
      </c>
    </row>
    <row r="115" spans="1:8">
      <c r="A115" t="s">
        <v>8</v>
      </c>
    </row>
    <row r="116" spans="1:8">
      <c r="A116" t="s">
        <v>9</v>
      </c>
    </row>
    <row r="117" spans="1:8">
      <c r="A117" t="s">
        <v>10</v>
      </c>
    </row>
    <row r="118" spans="1:8">
      <c r="A118" t="s">
        <v>11</v>
      </c>
    </row>
    <row r="119" spans="1:8">
      <c r="A119" t="s">
        <v>12</v>
      </c>
    </row>
    <row r="120" spans="1:8">
      <c r="A120" t="s">
        <v>13</v>
      </c>
      <c r="B120">
        <f t="shared" ref="B120:H120" si="40">(SUM(B115:B119) -MAX(B115:B119) -MIN(B115:B119))/((COUNT(B115:B119)-2)*1000)</f>
        <v>0</v>
      </c>
      <c r="C120">
        <f t="shared" si="40"/>
        <v>0</v>
      </c>
      <c r="D120">
        <f t="shared" si="40"/>
        <v>0</v>
      </c>
      <c r="E120">
        <f t="shared" si="40"/>
        <v>0</v>
      </c>
      <c r="F120">
        <f t="shared" si="40"/>
        <v>0</v>
      </c>
      <c r="G120">
        <f t="shared" si="40"/>
        <v>0</v>
      </c>
      <c r="H120">
        <f t="shared" si="40"/>
        <v>0</v>
      </c>
    </row>
    <row r="121" spans="1:8">
      <c r="A121" t="s">
        <v>15</v>
      </c>
      <c r="B121" t="e">
        <f>STDEV(B115:B119)/1000</f>
        <v>#DIV/0!</v>
      </c>
      <c r="C121" t="e">
        <f t="shared" ref="C121:H121" si="41">STDEV(C115:C119)/1000</f>
        <v>#DIV/0!</v>
      </c>
      <c r="D121" t="e">
        <f t="shared" si="41"/>
        <v>#DIV/0!</v>
      </c>
      <c r="E121" t="e">
        <f t="shared" si="41"/>
        <v>#DIV/0!</v>
      </c>
      <c r="F121" t="e">
        <f t="shared" si="41"/>
        <v>#DIV/0!</v>
      </c>
      <c r="G121" t="e">
        <f t="shared" si="41"/>
        <v>#DIV/0!</v>
      </c>
      <c r="H121" t="e">
        <f t="shared" si="41"/>
        <v>#DIV/0!</v>
      </c>
    </row>
    <row r="122" spans="1:8">
      <c r="A122" t="s">
        <v>16</v>
      </c>
      <c r="B122" t="e">
        <f>CONFIDENCE(0.05,B121,5)</f>
        <v>#DIV/0!</v>
      </c>
      <c r="C122" t="e">
        <f t="shared" ref="C122:H122" si="42">CONFIDENCE(0.05,C121,5)</f>
        <v>#DIV/0!</v>
      </c>
      <c r="D122" t="e">
        <f t="shared" si="42"/>
        <v>#DIV/0!</v>
      </c>
      <c r="E122" t="e">
        <f t="shared" si="42"/>
        <v>#DIV/0!</v>
      </c>
      <c r="F122" t="e">
        <f t="shared" si="42"/>
        <v>#DIV/0!</v>
      </c>
      <c r="G122" t="e">
        <f t="shared" si="42"/>
        <v>#DIV/0!</v>
      </c>
      <c r="H122" t="e">
        <f t="shared" si="42"/>
        <v>#DIV/0!</v>
      </c>
    </row>
    <row r="124" spans="1:8">
      <c r="A124" t="s">
        <v>32</v>
      </c>
    </row>
    <row r="125" spans="1:8">
      <c r="A125" t="s">
        <v>8</v>
      </c>
    </row>
    <row r="126" spans="1:8">
      <c r="A126" t="s">
        <v>9</v>
      </c>
    </row>
    <row r="127" spans="1:8">
      <c r="A127" t="s">
        <v>10</v>
      </c>
    </row>
    <row r="128" spans="1:8">
      <c r="A128" t="s">
        <v>11</v>
      </c>
    </row>
    <row r="129" spans="1:8">
      <c r="A129" t="s">
        <v>12</v>
      </c>
    </row>
    <row r="130" spans="1:8">
      <c r="A130" t="s">
        <v>13</v>
      </c>
      <c r="B130">
        <f t="shared" ref="B130:H130" si="43">(SUM(B125:B129) -MAX(B125:B129) -MIN(B125:B129))/((COUNT(B125:B129)-2)*1000)</f>
        <v>0</v>
      </c>
      <c r="C130">
        <f t="shared" si="43"/>
        <v>0</v>
      </c>
      <c r="D130">
        <f t="shared" si="43"/>
        <v>0</v>
      </c>
      <c r="E130">
        <f t="shared" si="43"/>
        <v>0</v>
      </c>
      <c r="F130">
        <f t="shared" si="43"/>
        <v>0</v>
      </c>
      <c r="G130">
        <f t="shared" si="43"/>
        <v>0</v>
      </c>
      <c r="H130">
        <f t="shared" si="43"/>
        <v>0</v>
      </c>
    </row>
    <row r="131" spans="1:8">
      <c r="A131" t="s">
        <v>15</v>
      </c>
      <c r="B131" t="e">
        <f>STDEV(B125:B129)/1000</f>
        <v>#DIV/0!</v>
      </c>
      <c r="C131" t="e">
        <f t="shared" ref="C131:H131" si="44">STDEV(C125:C129)/1000</f>
        <v>#DIV/0!</v>
      </c>
      <c r="D131" t="e">
        <f t="shared" si="44"/>
        <v>#DIV/0!</v>
      </c>
      <c r="E131" t="e">
        <f t="shared" si="44"/>
        <v>#DIV/0!</v>
      </c>
      <c r="F131" t="e">
        <f t="shared" si="44"/>
        <v>#DIV/0!</v>
      </c>
      <c r="G131" t="e">
        <f t="shared" si="44"/>
        <v>#DIV/0!</v>
      </c>
      <c r="H131" t="e">
        <f t="shared" si="44"/>
        <v>#DIV/0!</v>
      </c>
    </row>
    <row r="132" spans="1:8">
      <c r="A132" t="s">
        <v>16</v>
      </c>
      <c r="B132" t="e">
        <f>CONFIDENCE(0.05,B131,5)</f>
        <v>#DIV/0!</v>
      </c>
      <c r="C132" t="e">
        <f t="shared" ref="C132:H132" si="45">CONFIDENCE(0.05,C131,5)</f>
        <v>#DIV/0!</v>
      </c>
      <c r="D132" t="e">
        <f t="shared" si="45"/>
        <v>#DIV/0!</v>
      </c>
      <c r="E132" t="e">
        <f t="shared" si="45"/>
        <v>#DIV/0!</v>
      </c>
      <c r="F132" t="e">
        <f t="shared" si="45"/>
        <v>#DIV/0!</v>
      </c>
      <c r="G132" t="e">
        <f t="shared" si="45"/>
        <v>#DIV/0!</v>
      </c>
      <c r="H132" t="e">
        <f t="shared" si="45"/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2"/>
  <sheetViews>
    <sheetView topLeftCell="A70" workbookViewId="0">
      <selection activeCell="A73" sqref="A73:XFD73"/>
    </sheetView>
  </sheetViews>
  <sheetFormatPr defaultRowHeight="14.4"/>
  <cols>
    <col min="1" max="1" width="24.109375" customWidth="1"/>
    <col min="2" max="8" width="12.6640625" customWidth="1"/>
    <col min="9" max="9" width="10.6640625" customWidth="1"/>
    <col min="10" max="10" width="18.5546875" bestFit="1" customWidth="1"/>
  </cols>
  <sheetData>
    <row r="1" spans="1:9">
      <c r="A1" t="s">
        <v>18</v>
      </c>
      <c r="B1" t="s">
        <v>26</v>
      </c>
    </row>
    <row r="2" spans="1:9">
      <c r="A2" t="s">
        <v>14</v>
      </c>
      <c r="B2">
        <v>2</v>
      </c>
      <c r="C2">
        <v>4</v>
      </c>
      <c r="D2">
        <v>6</v>
      </c>
      <c r="E2">
        <v>8</v>
      </c>
      <c r="F2">
        <v>10</v>
      </c>
      <c r="G2">
        <v>12</v>
      </c>
      <c r="H2">
        <v>14</v>
      </c>
    </row>
    <row r="3" spans="1:9">
      <c r="A3" t="s">
        <v>7</v>
      </c>
    </row>
    <row r="4" spans="1:9">
      <c r="A4" t="s">
        <v>8</v>
      </c>
      <c r="B4">
        <v>2231</v>
      </c>
      <c r="C4">
        <v>7098</v>
      </c>
      <c r="D4">
        <v>15241</v>
      </c>
      <c r="E4">
        <v>28392</v>
      </c>
      <c r="F4">
        <v>27082</v>
      </c>
      <c r="G4">
        <v>57518</v>
      </c>
      <c r="H4">
        <v>70965</v>
      </c>
    </row>
    <row r="5" spans="1:9">
      <c r="A5" t="s">
        <v>9</v>
      </c>
      <c r="B5">
        <v>2231</v>
      </c>
      <c r="C5">
        <v>7301</v>
      </c>
      <c r="D5">
        <v>15927</v>
      </c>
      <c r="E5">
        <v>29921</v>
      </c>
      <c r="F5">
        <v>28407</v>
      </c>
      <c r="G5">
        <v>60762</v>
      </c>
      <c r="H5">
        <v>80934</v>
      </c>
    </row>
    <row r="6" spans="1:9">
      <c r="A6" t="s">
        <v>10</v>
      </c>
      <c r="B6">
        <v>2246</v>
      </c>
      <c r="C6">
        <v>7269</v>
      </c>
      <c r="D6">
        <v>15897</v>
      </c>
      <c r="E6">
        <v>29968</v>
      </c>
      <c r="F6">
        <v>28470</v>
      </c>
      <c r="G6">
        <v>60825</v>
      </c>
      <c r="H6">
        <v>83273</v>
      </c>
    </row>
    <row r="7" spans="1:9">
      <c r="A7" t="s">
        <v>11</v>
      </c>
      <c r="B7">
        <v>2262</v>
      </c>
      <c r="C7">
        <v>7285</v>
      </c>
      <c r="D7">
        <v>15897</v>
      </c>
      <c r="E7">
        <v>29859</v>
      </c>
      <c r="F7">
        <v>28485</v>
      </c>
      <c r="G7">
        <v>60903</v>
      </c>
      <c r="H7">
        <v>80871</v>
      </c>
    </row>
    <row r="8" spans="1:9">
      <c r="A8" t="s">
        <v>12</v>
      </c>
      <c r="B8">
        <v>2247</v>
      </c>
      <c r="C8">
        <v>7270</v>
      </c>
      <c r="D8">
        <v>15912</v>
      </c>
      <c r="E8">
        <v>29984</v>
      </c>
      <c r="F8">
        <v>28455</v>
      </c>
      <c r="G8">
        <v>60934</v>
      </c>
      <c r="H8">
        <v>80091</v>
      </c>
    </row>
    <row r="9" spans="1:9">
      <c r="A9" t="s">
        <v>13</v>
      </c>
      <c r="B9">
        <f>(SUM(B4:B8) -MAX(B4:B8) -MIN(B4:B8))/((COUNT(B4:B8)-2)*1000)</f>
        <v>2.2413333333333334</v>
      </c>
      <c r="C9">
        <f t="shared" ref="C9:H9" si="0">(SUM(C4:C8) -MAX(C4:C8) -MIN(C4:C8))/((COUNT(C4:C8)-2)*1000)</f>
        <v>7.2746666666666666</v>
      </c>
      <c r="D9">
        <f t="shared" si="0"/>
        <v>15.901999999999999</v>
      </c>
      <c r="E9">
        <f t="shared" si="0"/>
        <v>29.916</v>
      </c>
      <c r="F9">
        <f t="shared" si="0"/>
        <v>28.443999999999999</v>
      </c>
      <c r="G9">
        <f t="shared" si="0"/>
        <v>60.83</v>
      </c>
      <c r="H9">
        <f t="shared" si="0"/>
        <v>80.632000000000005</v>
      </c>
      <c r="I9" t="s">
        <v>17</v>
      </c>
    </row>
    <row r="10" spans="1:9">
      <c r="A10" t="s">
        <v>15</v>
      </c>
      <c r="B10">
        <f>STDEV(B4:B8)/1000</f>
        <v>1.2973048986256612E-2</v>
      </c>
      <c r="C10">
        <f t="shared" ref="C10:G10" si="1">STDEV(C4:C8)/1000</f>
        <v>8.2983733345740829E-2</v>
      </c>
      <c r="D10">
        <f t="shared" si="1"/>
        <v>0.29866235115927831</v>
      </c>
      <c r="E10">
        <f t="shared" si="1"/>
        <v>0.69086735340443439</v>
      </c>
      <c r="F10">
        <f t="shared" si="1"/>
        <v>0.61438644190773584</v>
      </c>
      <c r="G10">
        <f t="shared" si="1"/>
        <v>1.4943129859571556</v>
      </c>
      <c r="H10">
        <f>STDEV(H4:H8)/1000</f>
        <v>4.7695345894541754</v>
      </c>
    </row>
    <row r="11" spans="1:9">
      <c r="A11" t="s">
        <v>16</v>
      </c>
      <c r="B11">
        <f>CONFIDENCE(0.05,B10,5)</f>
        <v>1.1371169856458091E-2</v>
      </c>
      <c r="C11">
        <f t="shared" ref="C11:G11" si="2">CONFIDENCE(0.05,C10,5)</f>
        <v>7.2737112778738344E-2</v>
      </c>
      <c r="D11">
        <f t="shared" si="2"/>
        <v>0.26178428281270577</v>
      </c>
      <c r="E11">
        <f t="shared" si="2"/>
        <v>0.60556080780747379</v>
      </c>
      <c r="F11">
        <f t="shared" si="2"/>
        <v>0.53852356495677489</v>
      </c>
      <c r="G11">
        <f t="shared" si="2"/>
        <v>1.3097990148677436</v>
      </c>
      <c r="H11">
        <f>CONFIDENCE(0.05,H10,5)</f>
        <v>4.1806045757162567</v>
      </c>
    </row>
    <row r="13" spans="1:9">
      <c r="A13" t="s">
        <v>1</v>
      </c>
    </row>
    <row r="14" spans="1:9">
      <c r="A14" t="s">
        <v>8</v>
      </c>
      <c r="B14">
        <v>687</v>
      </c>
      <c r="C14">
        <v>2153</v>
      </c>
      <c r="D14">
        <v>4212</v>
      </c>
      <c r="E14">
        <v>6412</v>
      </c>
      <c r="F14">
        <v>8440</v>
      </c>
      <c r="G14">
        <v>11825</v>
      </c>
      <c r="H14">
        <v>13229</v>
      </c>
    </row>
    <row r="15" spans="1:9">
      <c r="A15" t="s">
        <v>9</v>
      </c>
      <c r="B15">
        <v>156</v>
      </c>
      <c r="C15">
        <v>390</v>
      </c>
      <c r="D15">
        <v>749</v>
      </c>
      <c r="E15">
        <v>1029</v>
      </c>
      <c r="F15">
        <v>1669</v>
      </c>
      <c r="G15">
        <v>1747</v>
      </c>
      <c r="H15">
        <v>2138</v>
      </c>
    </row>
    <row r="16" spans="1:9">
      <c r="A16" t="s">
        <v>10</v>
      </c>
      <c r="B16">
        <v>156</v>
      </c>
      <c r="C16">
        <v>390</v>
      </c>
      <c r="D16">
        <v>733</v>
      </c>
      <c r="E16">
        <v>1014</v>
      </c>
      <c r="F16">
        <v>1638</v>
      </c>
      <c r="G16">
        <v>1669</v>
      </c>
      <c r="H16">
        <v>2028</v>
      </c>
    </row>
    <row r="17" spans="1:9">
      <c r="A17" t="s">
        <v>11</v>
      </c>
      <c r="B17">
        <v>156</v>
      </c>
      <c r="C17">
        <v>390</v>
      </c>
      <c r="D17">
        <v>749</v>
      </c>
      <c r="E17">
        <v>1029</v>
      </c>
      <c r="F17">
        <v>1654</v>
      </c>
      <c r="G17">
        <v>1669</v>
      </c>
      <c r="H17">
        <v>2028</v>
      </c>
    </row>
    <row r="18" spans="1:9">
      <c r="A18" t="s">
        <v>12</v>
      </c>
      <c r="B18">
        <v>156</v>
      </c>
      <c r="C18">
        <v>390</v>
      </c>
      <c r="D18">
        <v>733</v>
      </c>
      <c r="E18">
        <v>1014</v>
      </c>
      <c r="F18">
        <v>1622</v>
      </c>
      <c r="G18">
        <v>1685</v>
      </c>
      <c r="H18">
        <v>2012</v>
      </c>
    </row>
    <row r="19" spans="1:9">
      <c r="A19" t="s">
        <v>13</v>
      </c>
      <c r="B19">
        <f t="shared" ref="B19:H19" si="3">(SUM(B14:B18) -MAX(B14:B18) -MIN(B14:B18))/((COUNT(B14:B18)-2)*1000)</f>
        <v>0.156</v>
      </c>
      <c r="C19">
        <f t="shared" si="3"/>
        <v>0.39</v>
      </c>
      <c r="D19">
        <f t="shared" si="3"/>
        <v>0.7436666666666667</v>
      </c>
      <c r="E19">
        <f t="shared" si="3"/>
        <v>1.024</v>
      </c>
      <c r="F19">
        <f t="shared" si="3"/>
        <v>1.6536666666666666</v>
      </c>
      <c r="G19">
        <f t="shared" si="3"/>
        <v>1.7003333333333333</v>
      </c>
      <c r="H19">
        <f t="shared" si="3"/>
        <v>2.0646666666666667</v>
      </c>
      <c r="I19" t="s">
        <v>17</v>
      </c>
    </row>
    <row r="20" spans="1:9">
      <c r="A20" t="s">
        <v>15</v>
      </c>
      <c r="B20">
        <f>STDEV(B14:B18)/1000</f>
        <v>0.23747041921047768</v>
      </c>
      <c r="C20">
        <f t="shared" ref="C20:G20" si="4">STDEV(C14:C18)/1000</f>
        <v>0.78843756886642591</v>
      </c>
      <c r="D20">
        <f t="shared" si="4"/>
        <v>1.5522990047023801</v>
      </c>
      <c r="E20">
        <f t="shared" si="4"/>
        <v>2.4107165532264467</v>
      </c>
      <c r="F20">
        <f t="shared" si="4"/>
        <v>3.0385316848767596</v>
      </c>
      <c r="G20">
        <f t="shared" si="4"/>
        <v>4.5315057100261935</v>
      </c>
      <c r="H20">
        <f>STDEV(H14:H18)/1000</f>
        <v>4.998983696712763</v>
      </c>
    </row>
    <row r="21" spans="1:9">
      <c r="A21" t="s">
        <v>16</v>
      </c>
      <c r="B21">
        <f>CONFIDENCE(0.05,B20,5)</f>
        <v>0.20814817515815376</v>
      </c>
      <c r="C21">
        <f t="shared" ref="C21:G21" si="5">CONFIDENCE(0.05,C20,5)</f>
        <v>0.69108330094882309</v>
      </c>
      <c r="D21">
        <f t="shared" si="5"/>
        <v>1.360625067336229</v>
      </c>
      <c r="E21">
        <f t="shared" si="5"/>
        <v>2.1130473978440647</v>
      </c>
      <c r="F21">
        <f t="shared" si="5"/>
        <v>2.6633415120506179</v>
      </c>
      <c r="G21">
        <f t="shared" si="5"/>
        <v>3.9719668975894447</v>
      </c>
      <c r="H21">
        <f>CONFIDENCE(0.05,H20,5)</f>
        <v>4.3817218901435817</v>
      </c>
    </row>
    <row r="23" spans="1:9">
      <c r="A23" t="s">
        <v>2</v>
      </c>
    </row>
    <row r="24" spans="1:9">
      <c r="A24" t="s">
        <v>8</v>
      </c>
      <c r="B24">
        <v>187</v>
      </c>
      <c r="C24">
        <v>562</v>
      </c>
      <c r="D24">
        <v>1311</v>
      </c>
      <c r="E24">
        <v>1653</v>
      </c>
      <c r="F24">
        <v>3027</v>
      </c>
      <c r="G24">
        <v>2823</v>
      </c>
      <c r="H24">
        <v>2745</v>
      </c>
    </row>
    <row r="25" spans="1:9">
      <c r="A25" t="s">
        <v>9</v>
      </c>
      <c r="B25">
        <v>187</v>
      </c>
      <c r="C25">
        <v>593</v>
      </c>
      <c r="D25">
        <v>1388</v>
      </c>
      <c r="E25">
        <v>1747</v>
      </c>
      <c r="F25">
        <v>3213</v>
      </c>
      <c r="G25">
        <v>3042</v>
      </c>
      <c r="H25">
        <v>3026</v>
      </c>
    </row>
    <row r="26" spans="1:9">
      <c r="A26" t="s">
        <v>10</v>
      </c>
      <c r="B26">
        <v>187</v>
      </c>
      <c r="C26">
        <v>609</v>
      </c>
      <c r="D26">
        <v>1388</v>
      </c>
      <c r="E26">
        <v>1747</v>
      </c>
      <c r="F26">
        <v>3151</v>
      </c>
      <c r="G26">
        <v>2824</v>
      </c>
      <c r="H26">
        <v>2808</v>
      </c>
    </row>
    <row r="27" spans="1:9">
      <c r="A27" t="s">
        <v>11</v>
      </c>
      <c r="B27">
        <v>203</v>
      </c>
      <c r="C27">
        <v>608</v>
      </c>
      <c r="D27">
        <v>1389</v>
      </c>
      <c r="E27">
        <v>1716</v>
      </c>
      <c r="F27">
        <v>3151</v>
      </c>
      <c r="G27">
        <v>2761</v>
      </c>
      <c r="H27">
        <v>2886</v>
      </c>
    </row>
    <row r="28" spans="1:9">
      <c r="A28" t="s">
        <v>12</v>
      </c>
      <c r="B28">
        <v>203</v>
      </c>
      <c r="C28">
        <v>608</v>
      </c>
      <c r="D28">
        <v>1388</v>
      </c>
      <c r="E28">
        <v>1732</v>
      </c>
      <c r="F28">
        <v>3135</v>
      </c>
      <c r="G28">
        <v>2777</v>
      </c>
      <c r="H28">
        <v>3042</v>
      </c>
    </row>
    <row r="29" spans="1:9">
      <c r="A29" t="s">
        <v>13</v>
      </c>
      <c r="B29">
        <f t="shared" ref="B29:H29" si="6">(SUM(B24:B28) -MAX(B24:B28) -MIN(B24:B28))/((COUNT(B24:B28)-2)*1000)</f>
        <v>0.19233333333333333</v>
      </c>
      <c r="C29">
        <f t="shared" si="6"/>
        <v>0.60299999999999998</v>
      </c>
      <c r="D29">
        <f t="shared" si="6"/>
        <v>1.3879999999999999</v>
      </c>
      <c r="E29">
        <f t="shared" si="6"/>
        <v>1.7316666666666667</v>
      </c>
      <c r="F29">
        <f t="shared" si="6"/>
        <v>3.1456666666666666</v>
      </c>
      <c r="G29">
        <f t="shared" si="6"/>
        <v>2.8079999999999998</v>
      </c>
      <c r="H29">
        <f t="shared" si="6"/>
        <v>2.9066666666666667</v>
      </c>
      <c r="I29" t="s">
        <v>17</v>
      </c>
    </row>
    <row r="30" spans="1:9">
      <c r="A30" t="s">
        <v>15</v>
      </c>
      <c r="B30">
        <f>STDEV(B24:B28)/1000</f>
        <v>8.7635609200828243E-3</v>
      </c>
      <c r="C30">
        <f t="shared" ref="C30:G30" si="7">STDEV(C24:C28)/1000</f>
        <v>2.0137030565602267E-2</v>
      </c>
      <c r="D30">
        <f t="shared" si="7"/>
        <v>3.4549963820533686E-2</v>
      </c>
      <c r="E30">
        <f t="shared" si="7"/>
        <v>3.9057649698874611E-2</v>
      </c>
      <c r="F30">
        <f t="shared" si="7"/>
        <v>6.7563303649249909E-2</v>
      </c>
      <c r="G30">
        <f t="shared" si="7"/>
        <v>0.11337239522917714</v>
      </c>
      <c r="H30">
        <f>STDEV(H24:H28)/1000</f>
        <v>0.13106792132326181</v>
      </c>
    </row>
    <row r="31" spans="1:9">
      <c r="A31" t="s">
        <v>16</v>
      </c>
      <c r="B31">
        <f>CONFIDENCE(0.05,B30,5)</f>
        <v>7.6814586821686414E-3</v>
      </c>
      <c r="C31">
        <f t="shared" ref="C31:G31" si="8">CONFIDENCE(0.05,C30,5)</f>
        <v>1.7650561191029975E-2</v>
      </c>
      <c r="D31">
        <f t="shared" si="8"/>
        <v>3.0283822064803161E-2</v>
      </c>
      <c r="E31">
        <f t="shared" si="8"/>
        <v>3.4234910343007727E-2</v>
      </c>
      <c r="F31">
        <f t="shared" si="8"/>
        <v>5.9220758564387549E-2</v>
      </c>
      <c r="G31">
        <f t="shared" si="8"/>
        <v>9.9373459897530644E-2</v>
      </c>
      <c r="H31">
        <f>CONFIDENCE(0.05,H30,5)</f>
        <v>0.11488398738635694</v>
      </c>
    </row>
    <row r="33" spans="1:9">
      <c r="A33" t="s">
        <v>3</v>
      </c>
    </row>
    <row r="34" spans="1:9">
      <c r="A34" t="s">
        <v>8</v>
      </c>
      <c r="B34">
        <v>437</v>
      </c>
      <c r="C34">
        <v>1622</v>
      </c>
      <c r="D34">
        <v>4166</v>
      </c>
      <c r="E34">
        <v>4914</v>
      </c>
      <c r="F34">
        <v>9079</v>
      </c>
      <c r="G34">
        <v>7878</v>
      </c>
      <c r="H34">
        <v>6552</v>
      </c>
    </row>
    <row r="35" spans="1:9">
      <c r="A35" t="s">
        <v>9</v>
      </c>
      <c r="B35">
        <v>468</v>
      </c>
      <c r="C35">
        <v>1747</v>
      </c>
      <c r="D35">
        <v>4804</v>
      </c>
      <c r="E35">
        <v>5320</v>
      </c>
      <c r="F35">
        <v>9656</v>
      </c>
      <c r="G35">
        <v>9063</v>
      </c>
      <c r="H35">
        <v>9298</v>
      </c>
    </row>
    <row r="36" spans="1:9">
      <c r="A36" t="s">
        <v>10</v>
      </c>
      <c r="B36">
        <v>484</v>
      </c>
      <c r="C36">
        <v>1748</v>
      </c>
      <c r="D36">
        <v>4680</v>
      </c>
      <c r="E36">
        <v>5288</v>
      </c>
      <c r="F36">
        <v>9656</v>
      </c>
      <c r="G36">
        <v>8705</v>
      </c>
      <c r="H36">
        <v>8393</v>
      </c>
    </row>
    <row r="37" spans="1:9">
      <c r="A37" t="s">
        <v>11</v>
      </c>
      <c r="B37">
        <v>483</v>
      </c>
      <c r="C37">
        <v>1748</v>
      </c>
      <c r="D37">
        <v>4617</v>
      </c>
      <c r="E37">
        <v>5273</v>
      </c>
      <c r="F37">
        <v>9688</v>
      </c>
      <c r="G37">
        <v>8393</v>
      </c>
      <c r="H37">
        <v>7083</v>
      </c>
    </row>
    <row r="38" spans="1:9">
      <c r="A38" t="s">
        <v>12</v>
      </c>
      <c r="B38">
        <v>483</v>
      </c>
      <c r="C38">
        <v>1747</v>
      </c>
      <c r="D38">
        <v>4586</v>
      </c>
      <c r="E38">
        <v>5288</v>
      </c>
      <c r="F38">
        <v>9687</v>
      </c>
      <c r="G38">
        <v>8704</v>
      </c>
      <c r="H38">
        <v>6833</v>
      </c>
    </row>
    <row r="39" spans="1:9">
      <c r="A39" t="s">
        <v>13</v>
      </c>
      <c r="B39">
        <f t="shared" ref="B39:H39" si="9">(SUM(B34:B38) -MAX(B34:B38) -MIN(B34:B38))/((COUNT(B34:B38)-2)*1000)</f>
        <v>0.47799999999999998</v>
      </c>
      <c r="C39">
        <f t="shared" si="9"/>
        <v>1.7473333333333334</v>
      </c>
      <c r="D39">
        <f t="shared" si="9"/>
        <v>4.6276666666666664</v>
      </c>
      <c r="E39">
        <f t="shared" si="9"/>
        <v>5.2830000000000004</v>
      </c>
      <c r="F39">
        <f t="shared" si="9"/>
        <v>9.6663333333333341</v>
      </c>
      <c r="G39">
        <f t="shared" si="9"/>
        <v>8.6006666666666671</v>
      </c>
      <c r="H39">
        <f t="shared" si="9"/>
        <v>7.4363333333333337</v>
      </c>
      <c r="I39" t="s">
        <v>17</v>
      </c>
    </row>
    <row r="40" spans="1:9">
      <c r="A40" t="s">
        <v>15</v>
      </c>
      <c r="B40">
        <f>STDEV(B34:B38)/1000</f>
        <v>2.0137030565602267E-2</v>
      </c>
      <c r="C40">
        <f t="shared" ref="C40:G40" si="10">STDEV(C34:C38)/1000</f>
        <v>5.6127533350395983E-2</v>
      </c>
      <c r="D40">
        <f t="shared" si="10"/>
        <v>0.24110951868393904</v>
      </c>
      <c r="E40">
        <f t="shared" si="10"/>
        <v>0.17002588038294938</v>
      </c>
      <c r="F40">
        <f t="shared" si="10"/>
        <v>0.26555357274946045</v>
      </c>
      <c r="G40">
        <f t="shared" si="10"/>
        <v>0.44360263750342716</v>
      </c>
      <c r="H40">
        <f>STDEV(H34:H38)/1000</f>
        <v>1.1684261636919993</v>
      </c>
    </row>
    <row r="41" spans="1:9">
      <c r="A41" t="s">
        <v>16</v>
      </c>
      <c r="B41">
        <f>CONFIDENCE(0.05,B40,5)</f>
        <v>1.7650561191029975E-2</v>
      </c>
      <c r="C41">
        <f t="shared" ref="C41:G41" si="11">CONFIDENCE(0.05,C40,5)</f>
        <v>4.9197048128585892E-2</v>
      </c>
      <c r="D41">
        <f t="shared" si="11"/>
        <v>0.21133792787404299</v>
      </c>
      <c r="E41">
        <f t="shared" si="11"/>
        <v>0.14903151663703276</v>
      </c>
      <c r="F41">
        <f t="shared" si="11"/>
        <v>0.23276369224554513</v>
      </c>
      <c r="G41">
        <f t="shared" si="11"/>
        <v>0.38882771083097628</v>
      </c>
      <c r="H41">
        <f>CONFIDENCE(0.05,H40,5)</f>
        <v>1.0241518694754599</v>
      </c>
    </row>
    <row r="43" spans="1:9">
      <c r="A43" t="s">
        <v>4</v>
      </c>
    </row>
    <row r="44" spans="1:9">
      <c r="A44" t="s">
        <v>8</v>
      </c>
      <c r="B44">
        <v>359</v>
      </c>
      <c r="C44">
        <v>1092</v>
      </c>
      <c r="D44">
        <v>3182</v>
      </c>
      <c r="E44">
        <v>5210</v>
      </c>
      <c r="F44">
        <v>14524</v>
      </c>
      <c r="G44">
        <v>14711</v>
      </c>
      <c r="H44">
        <v>27456</v>
      </c>
    </row>
    <row r="45" spans="1:9">
      <c r="A45" t="s">
        <v>9</v>
      </c>
      <c r="B45">
        <v>343</v>
      </c>
      <c r="C45">
        <v>1092</v>
      </c>
      <c r="D45">
        <v>3199</v>
      </c>
      <c r="E45">
        <v>5133</v>
      </c>
      <c r="F45">
        <v>12449</v>
      </c>
      <c r="G45">
        <v>13463</v>
      </c>
      <c r="H45">
        <v>21185</v>
      </c>
    </row>
    <row r="46" spans="1:9">
      <c r="A46" t="s">
        <v>10</v>
      </c>
      <c r="B46">
        <v>343</v>
      </c>
      <c r="C46">
        <v>1123</v>
      </c>
      <c r="D46">
        <v>3104</v>
      </c>
      <c r="E46">
        <v>5023</v>
      </c>
      <c r="F46">
        <v>12168</v>
      </c>
      <c r="G46">
        <v>13353</v>
      </c>
      <c r="H46">
        <v>17914</v>
      </c>
    </row>
    <row r="47" spans="1:9">
      <c r="A47" t="s">
        <v>11</v>
      </c>
      <c r="B47">
        <v>359</v>
      </c>
      <c r="C47">
        <v>1124</v>
      </c>
      <c r="D47">
        <v>3104</v>
      </c>
      <c r="E47">
        <v>4992</v>
      </c>
      <c r="F47">
        <v>12075</v>
      </c>
      <c r="G47">
        <v>13541</v>
      </c>
      <c r="H47">
        <v>16863</v>
      </c>
    </row>
    <row r="48" spans="1:9">
      <c r="A48" t="s">
        <v>12</v>
      </c>
      <c r="B48">
        <v>343</v>
      </c>
      <c r="C48">
        <v>1092</v>
      </c>
      <c r="D48">
        <v>3105</v>
      </c>
      <c r="E48">
        <v>4914</v>
      </c>
      <c r="F48">
        <v>12075</v>
      </c>
      <c r="G48">
        <v>13322</v>
      </c>
      <c r="H48">
        <v>17862</v>
      </c>
    </row>
    <row r="49" spans="1:9">
      <c r="A49" t="s">
        <v>13</v>
      </c>
      <c r="B49">
        <f t="shared" ref="B49:H49" si="12">(SUM(B44:B48) -MAX(B44:B48) -MIN(B44:B48))/((COUNT(B44:B48)-2)*1000)</f>
        <v>0.34833333333333333</v>
      </c>
      <c r="C49">
        <f t="shared" si="12"/>
        <v>1.1023333333333334</v>
      </c>
      <c r="D49">
        <f t="shared" si="12"/>
        <v>3.1303333333333332</v>
      </c>
      <c r="E49">
        <f t="shared" si="12"/>
        <v>5.0493333333333332</v>
      </c>
      <c r="F49">
        <f t="shared" si="12"/>
        <v>12.230666666666666</v>
      </c>
      <c r="G49">
        <f t="shared" si="12"/>
        <v>13.452333333333334</v>
      </c>
      <c r="H49">
        <f t="shared" si="12"/>
        <v>18.986999999999998</v>
      </c>
      <c r="I49" t="s">
        <v>17</v>
      </c>
    </row>
    <row r="50" spans="1:9">
      <c r="A50" t="s">
        <v>15</v>
      </c>
      <c r="B50">
        <f>STDEV(B44:B48)/1000</f>
        <v>8.7635609200819933E-3</v>
      </c>
      <c r="C50">
        <f t="shared" ref="C50:G50" si="13">STDEV(C44:C48)/1000</f>
        <v>1.7256882684889719E-2</v>
      </c>
      <c r="D50">
        <f t="shared" si="13"/>
        <v>4.7578356423895678E-2</v>
      </c>
      <c r="E50">
        <f t="shared" si="13"/>
        <v>0.11724035141537553</v>
      </c>
      <c r="F50">
        <f t="shared" si="13"/>
        <v>1.0542194743031397</v>
      </c>
      <c r="G50">
        <f t="shared" si="13"/>
        <v>0.58404708714280895</v>
      </c>
      <c r="H50">
        <f>STDEV(H44:H48)/1000</f>
        <v>4.3425709550910039</v>
      </c>
    </row>
    <row r="51" spans="1:9">
      <c r="A51" t="s">
        <v>16</v>
      </c>
      <c r="B51">
        <f>CONFIDENCE(0.05,B50,5)</f>
        <v>7.6814586821679137E-3</v>
      </c>
      <c r="C51">
        <f t="shared" ref="C51:G51" si="14">CONFIDENCE(0.05,C50,5)</f>
        <v>1.5126046653391557E-2</v>
      </c>
      <c r="D51">
        <f t="shared" si="14"/>
        <v>4.1703501849131158E-2</v>
      </c>
      <c r="E51">
        <f t="shared" si="14"/>
        <v>0.10276381068069618</v>
      </c>
      <c r="F51">
        <f t="shared" si="14"/>
        <v>0.92404713194149624</v>
      </c>
      <c r="G51">
        <f t="shared" si="14"/>
        <v>0.51193043663876703</v>
      </c>
      <c r="H51">
        <f>CONFIDENCE(0.05,H50,5)</f>
        <v>3.8063613261904385</v>
      </c>
    </row>
    <row r="53" spans="1:9">
      <c r="A53" t="s">
        <v>5</v>
      </c>
    </row>
    <row r="54" spans="1:9">
      <c r="A54" t="s">
        <v>8</v>
      </c>
      <c r="B54">
        <v>484</v>
      </c>
      <c r="C54">
        <v>1591</v>
      </c>
      <c r="D54">
        <v>4415</v>
      </c>
      <c r="E54">
        <v>7348</v>
      </c>
      <c r="F54">
        <v>15429</v>
      </c>
      <c r="G54">
        <v>19297</v>
      </c>
      <c r="H54">
        <v>42993</v>
      </c>
    </row>
    <row r="55" spans="1:9">
      <c r="A55" t="s">
        <v>9</v>
      </c>
      <c r="B55">
        <v>484</v>
      </c>
      <c r="C55">
        <v>1622</v>
      </c>
      <c r="D55">
        <v>4384</v>
      </c>
      <c r="E55">
        <v>7176</v>
      </c>
      <c r="F55">
        <v>14789</v>
      </c>
      <c r="G55">
        <v>18081</v>
      </c>
      <c r="H55">
        <v>37714</v>
      </c>
    </row>
    <row r="56" spans="1:9">
      <c r="A56" t="s">
        <v>10</v>
      </c>
      <c r="B56">
        <v>499</v>
      </c>
      <c r="C56">
        <v>1622</v>
      </c>
      <c r="D56">
        <v>4539</v>
      </c>
      <c r="E56">
        <v>7348</v>
      </c>
      <c r="F56">
        <v>14305</v>
      </c>
      <c r="G56">
        <v>17830</v>
      </c>
      <c r="H56">
        <v>34358</v>
      </c>
    </row>
    <row r="57" spans="1:9">
      <c r="A57" t="s">
        <v>11</v>
      </c>
      <c r="B57">
        <v>483</v>
      </c>
      <c r="C57">
        <v>1638</v>
      </c>
      <c r="D57">
        <v>4368</v>
      </c>
      <c r="E57">
        <v>7348</v>
      </c>
      <c r="F57">
        <v>13588</v>
      </c>
      <c r="G57">
        <v>17987</v>
      </c>
      <c r="H57">
        <v>27474</v>
      </c>
    </row>
    <row r="58" spans="1:9">
      <c r="A58" t="s">
        <v>12</v>
      </c>
      <c r="B58">
        <v>484</v>
      </c>
      <c r="C58">
        <v>1654</v>
      </c>
      <c r="D58">
        <v>4321</v>
      </c>
      <c r="E58">
        <v>7379</v>
      </c>
      <c r="F58">
        <v>14492</v>
      </c>
      <c r="G58">
        <v>18159</v>
      </c>
      <c r="H58">
        <v>23890</v>
      </c>
    </row>
    <row r="59" spans="1:9">
      <c r="A59" t="s">
        <v>13</v>
      </c>
      <c r="B59">
        <f t="shared" ref="B59:H59" si="15">(SUM(B54:B58) -MAX(B54:B58) -MIN(B54:B58))/((COUNT(B54:B58)-2)*1000)</f>
        <v>0.48399999999999999</v>
      </c>
      <c r="C59">
        <f t="shared" si="15"/>
        <v>1.6273333333333333</v>
      </c>
      <c r="D59">
        <f t="shared" si="15"/>
        <v>4.3890000000000002</v>
      </c>
      <c r="E59">
        <f t="shared" si="15"/>
        <v>7.3479999999999999</v>
      </c>
      <c r="F59">
        <f t="shared" si="15"/>
        <v>14.528666666666666</v>
      </c>
      <c r="G59">
        <f t="shared" si="15"/>
        <v>18.075666666666667</v>
      </c>
      <c r="H59">
        <f t="shared" si="15"/>
        <v>33.182000000000002</v>
      </c>
      <c r="I59" t="s">
        <v>17</v>
      </c>
    </row>
    <row r="60" spans="1:9">
      <c r="A60" t="s">
        <v>15</v>
      </c>
      <c r="B60">
        <f>STDEV(B54:B58)/1000</f>
        <v>6.8337398253088067E-3</v>
      </c>
      <c r="C60">
        <f t="shared" ref="C60:G60" si="16">STDEV(C54:C58)/1000</f>
        <v>2.3362362894189744E-2</v>
      </c>
      <c r="D60">
        <f t="shared" si="16"/>
        <v>8.2038405640289871E-2</v>
      </c>
      <c r="E60">
        <f t="shared" si="16"/>
        <v>8.1499693250974753E-2</v>
      </c>
      <c r="F60">
        <f t="shared" si="16"/>
        <v>0.67347479537100119</v>
      </c>
      <c r="G60">
        <f t="shared" si="16"/>
        <v>0.5866124785580239</v>
      </c>
      <c r="H60">
        <f>STDEV(H54:H58)/1000</f>
        <v>7.6981552465509582</v>
      </c>
    </row>
    <row r="61" spans="1:9">
      <c r="A61" t="s">
        <v>16</v>
      </c>
      <c r="B61">
        <f>CONFIDENCE(0.05,B60,5)</f>
        <v>5.9899269933190395E-3</v>
      </c>
      <c r="C61">
        <f t="shared" ref="C61:G61" si="17">CONFIDENCE(0.05,C60,5)</f>
        <v>2.0477637677887253E-2</v>
      </c>
      <c r="D61">
        <f t="shared" si="17"/>
        <v>7.1908511736679032E-2</v>
      </c>
      <c r="E61">
        <f t="shared" si="17"/>
        <v>7.1436318184556466E-2</v>
      </c>
      <c r="F61">
        <f t="shared" si="17"/>
        <v>0.5903158386528834</v>
      </c>
      <c r="G61">
        <f t="shared" si="17"/>
        <v>0.51417906003960456</v>
      </c>
      <c r="H61">
        <f>CONFIDENCE(0.05,H60,5)</f>
        <v>6.7476065944597865</v>
      </c>
    </row>
    <row r="63" spans="1:9">
      <c r="A63" t="s">
        <v>6</v>
      </c>
    </row>
    <row r="64" spans="1:9">
      <c r="A64" t="s">
        <v>8</v>
      </c>
      <c r="B64">
        <v>1092</v>
      </c>
      <c r="C64">
        <v>3853</v>
      </c>
      <c r="D64">
        <v>10171</v>
      </c>
      <c r="E64">
        <v>17363</v>
      </c>
      <c r="F64">
        <v>24726</v>
      </c>
      <c r="G64">
        <v>39562</v>
      </c>
      <c r="H64">
        <v>80608</v>
      </c>
    </row>
    <row r="65" spans="1:9">
      <c r="A65" t="s">
        <v>9</v>
      </c>
      <c r="B65">
        <v>1170</v>
      </c>
      <c r="C65">
        <v>3993</v>
      </c>
      <c r="D65">
        <v>10717</v>
      </c>
      <c r="E65">
        <v>18003</v>
      </c>
      <c r="F65">
        <v>24118</v>
      </c>
      <c r="G65">
        <v>39640</v>
      </c>
      <c r="H65">
        <v>75609</v>
      </c>
    </row>
    <row r="66" spans="1:9">
      <c r="A66" t="s">
        <v>10</v>
      </c>
      <c r="B66">
        <v>1170</v>
      </c>
      <c r="C66">
        <v>3993</v>
      </c>
      <c r="D66">
        <v>10484</v>
      </c>
      <c r="E66">
        <v>17971</v>
      </c>
      <c r="F66">
        <v>20312</v>
      </c>
      <c r="G66">
        <v>39515</v>
      </c>
      <c r="H66">
        <v>67600</v>
      </c>
    </row>
    <row r="67" spans="1:9">
      <c r="A67" t="s">
        <v>11</v>
      </c>
      <c r="B67">
        <v>1170</v>
      </c>
      <c r="C67">
        <v>3993</v>
      </c>
      <c r="D67">
        <v>10405</v>
      </c>
      <c r="E67">
        <v>18080</v>
      </c>
      <c r="F67">
        <v>15132</v>
      </c>
      <c r="G67">
        <v>39406</v>
      </c>
      <c r="H67">
        <v>68377</v>
      </c>
    </row>
    <row r="68" spans="1:9">
      <c r="A68" t="s">
        <v>12</v>
      </c>
      <c r="B68">
        <v>1155</v>
      </c>
      <c r="C68">
        <v>3978</v>
      </c>
      <c r="D68">
        <v>10436</v>
      </c>
      <c r="E68">
        <v>17971</v>
      </c>
      <c r="F68">
        <v>14789</v>
      </c>
      <c r="G68">
        <v>39952</v>
      </c>
      <c r="H68">
        <v>71450</v>
      </c>
    </row>
    <row r="69" spans="1:9">
      <c r="A69" t="s">
        <v>13</v>
      </c>
      <c r="B69">
        <f t="shared" ref="B69:H69" si="18">(SUM(B64:B68) -MAX(B64:B68) -MIN(B64:B68))/((COUNT(B64:B68)-2)*1000)</f>
        <v>1.165</v>
      </c>
      <c r="C69">
        <f t="shared" si="18"/>
        <v>3.988</v>
      </c>
      <c r="D69">
        <f t="shared" si="18"/>
        <v>10.441666666666666</v>
      </c>
      <c r="E69">
        <f t="shared" si="18"/>
        <v>17.981666666666666</v>
      </c>
      <c r="F69">
        <f t="shared" si="18"/>
        <v>19.853999999999999</v>
      </c>
      <c r="G69">
        <f t="shared" si="18"/>
        <v>39.572333333333333</v>
      </c>
      <c r="H69">
        <f t="shared" si="18"/>
        <v>71.811999999999998</v>
      </c>
      <c r="I69" t="s">
        <v>17</v>
      </c>
    </row>
    <row r="70" spans="1:9">
      <c r="A70" t="s">
        <v>15</v>
      </c>
      <c r="B70">
        <f>STDEV(B64:B68)/1000</f>
        <v>3.3834893231692732E-2</v>
      </c>
      <c r="C70">
        <f t="shared" ref="C70:G70" si="19">STDEV(C64:C68)/1000</f>
        <v>6.1278054799414124E-2</v>
      </c>
      <c r="D70">
        <f t="shared" si="19"/>
        <v>0.1950853659299229</v>
      </c>
      <c r="E70">
        <f t="shared" si="19"/>
        <v>0.29109757814178377</v>
      </c>
      <c r="F70">
        <f t="shared" si="19"/>
        <v>4.7453109276421506</v>
      </c>
      <c r="G70">
        <f t="shared" si="19"/>
        <v>0.20656960086130774</v>
      </c>
      <c r="H70">
        <f>STDEV(H64:H68)/1000</f>
        <v>5.4142272486477525</v>
      </c>
    </row>
    <row r="71" spans="1:9">
      <c r="A71" t="s">
        <v>16</v>
      </c>
      <c r="B71">
        <f>CONFIDENCE(0.05,B70,5)</f>
        <v>2.9657046575580694E-2</v>
      </c>
      <c r="C71">
        <f t="shared" ref="C71:G71" si="20">CONFIDENCE(0.05,C70,5)</f>
        <v>5.3711596274373448E-2</v>
      </c>
      <c r="D71">
        <f t="shared" si="20"/>
        <v>0.17099672057420809</v>
      </c>
      <c r="E71">
        <f t="shared" si="20"/>
        <v>0.25515358874852628</v>
      </c>
      <c r="F71">
        <f t="shared" si="20"/>
        <v>4.159371990122712</v>
      </c>
      <c r="G71">
        <f t="shared" si="20"/>
        <v>0.18106291135284386</v>
      </c>
      <c r="H71">
        <f>CONFIDENCE(0.05,H70,5)</f>
        <v>4.7456922232436831</v>
      </c>
    </row>
    <row r="73" spans="1:9">
      <c r="A73" s="1" t="s">
        <v>33</v>
      </c>
    </row>
    <row r="74" spans="1:9">
      <c r="A74" t="s">
        <v>27</v>
      </c>
    </row>
    <row r="75" spans="1:9">
      <c r="A75" t="s">
        <v>8</v>
      </c>
    </row>
    <row r="76" spans="1:9">
      <c r="A76" t="s">
        <v>9</v>
      </c>
    </row>
    <row r="77" spans="1:9">
      <c r="A77" t="s">
        <v>10</v>
      </c>
    </row>
    <row r="78" spans="1:9">
      <c r="A78" t="s">
        <v>11</v>
      </c>
    </row>
    <row r="79" spans="1:9">
      <c r="A79" t="s">
        <v>12</v>
      </c>
    </row>
    <row r="80" spans="1:9">
      <c r="A80" t="s">
        <v>13</v>
      </c>
      <c r="B80">
        <f t="shared" ref="B80:H80" si="21">(SUM(B75:B79) -MAX(B75:B79) -MIN(B75:B79))/((COUNT(B75:B79)-2)*1000)</f>
        <v>0</v>
      </c>
      <c r="C80">
        <f t="shared" si="21"/>
        <v>0</v>
      </c>
      <c r="D80">
        <f t="shared" si="21"/>
        <v>0</v>
      </c>
      <c r="E80">
        <f t="shared" si="21"/>
        <v>0</v>
      </c>
      <c r="F80">
        <f t="shared" si="21"/>
        <v>0</v>
      </c>
      <c r="G80">
        <f t="shared" si="21"/>
        <v>0</v>
      </c>
      <c r="H80">
        <f t="shared" si="21"/>
        <v>0</v>
      </c>
    </row>
    <row r="81" spans="1:8">
      <c r="A81" t="s">
        <v>15</v>
      </c>
      <c r="B81" t="e">
        <f>STDEV(B75:B79)/1000</f>
        <v>#DIV/0!</v>
      </c>
      <c r="C81" t="e">
        <f t="shared" ref="C81:H81" si="22">STDEV(C75:C79)/1000</f>
        <v>#DIV/0!</v>
      </c>
      <c r="D81" t="e">
        <f t="shared" si="22"/>
        <v>#DIV/0!</v>
      </c>
      <c r="E81" t="e">
        <f t="shared" si="22"/>
        <v>#DIV/0!</v>
      </c>
      <c r="F81" t="e">
        <f t="shared" si="22"/>
        <v>#DIV/0!</v>
      </c>
      <c r="G81" t="e">
        <f t="shared" si="22"/>
        <v>#DIV/0!</v>
      </c>
      <c r="H81" t="e">
        <f t="shared" si="22"/>
        <v>#DIV/0!</v>
      </c>
    </row>
    <row r="82" spans="1:8">
      <c r="A82" t="s">
        <v>16</v>
      </c>
      <c r="B82" t="e">
        <f>CONFIDENCE(0.05,B81,5)</f>
        <v>#DIV/0!</v>
      </c>
      <c r="C82" t="e">
        <f t="shared" ref="C82:H82" si="23">CONFIDENCE(0.05,C81,5)</f>
        <v>#DIV/0!</v>
      </c>
      <c r="D82" t="e">
        <f t="shared" si="23"/>
        <v>#DIV/0!</v>
      </c>
      <c r="E82" t="e">
        <f t="shared" si="23"/>
        <v>#DIV/0!</v>
      </c>
      <c r="F82" t="e">
        <f t="shared" si="23"/>
        <v>#DIV/0!</v>
      </c>
      <c r="G82" t="e">
        <f t="shared" si="23"/>
        <v>#DIV/0!</v>
      </c>
      <c r="H82" t="e">
        <f t="shared" si="23"/>
        <v>#DIV/0!</v>
      </c>
    </row>
    <row r="84" spans="1:8">
      <c r="A84" t="s">
        <v>28</v>
      </c>
    </row>
    <row r="85" spans="1:8">
      <c r="A85" t="s">
        <v>8</v>
      </c>
    </row>
    <row r="86" spans="1:8">
      <c r="A86" t="s">
        <v>9</v>
      </c>
    </row>
    <row r="87" spans="1:8">
      <c r="A87" t="s">
        <v>10</v>
      </c>
    </row>
    <row r="88" spans="1:8">
      <c r="A88" t="s">
        <v>11</v>
      </c>
    </row>
    <row r="89" spans="1:8">
      <c r="A89" t="s">
        <v>12</v>
      </c>
    </row>
    <row r="90" spans="1:8">
      <c r="A90" t="s">
        <v>13</v>
      </c>
      <c r="B90">
        <f>(SUM(B85:B89) -MAX(B85:B89) -MIN(B85:B89))/((COUNT(B85:B89)-2)*1000)</f>
        <v>0</v>
      </c>
      <c r="C90">
        <f t="shared" ref="C90:H90" si="24">(SUM(C85:C89) -MAX(C85:C89) -MIN(C85:C89))/((COUNT(C85:C89)-2)*1000)</f>
        <v>0</v>
      </c>
      <c r="D90">
        <f t="shared" si="24"/>
        <v>0</v>
      </c>
      <c r="E90">
        <f t="shared" si="24"/>
        <v>0</v>
      </c>
      <c r="F90">
        <f t="shared" si="24"/>
        <v>0</v>
      </c>
      <c r="G90">
        <f t="shared" si="24"/>
        <v>0</v>
      </c>
      <c r="H90">
        <f t="shared" si="24"/>
        <v>0</v>
      </c>
    </row>
    <row r="91" spans="1:8">
      <c r="A91" t="s">
        <v>15</v>
      </c>
      <c r="B91" t="e">
        <f>STDEV(B85:B89)/1000</f>
        <v>#DIV/0!</v>
      </c>
      <c r="C91" t="e">
        <f t="shared" ref="C91:H91" si="25">STDEV(C85:C89)/1000</f>
        <v>#DIV/0!</v>
      </c>
      <c r="D91" t="e">
        <f t="shared" si="25"/>
        <v>#DIV/0!</v>
      </c>
      <c r="E91" t="e">
        <f t="shared" si="25"/>
        <v>#DIV/0!</v>
      </c>
      <c r="F91" t="e">
        <f t="shared" si="25"/>
        <v>#DIV/0!</v>
      </c>
      <c r="G91" t="e">
        <f t="shared" si="25"/>
        <v>#DIV/0!</v>
      </c>
      <c r="H91" t="e">
        <f t="shared" si="25"/>
        <v>#DIV/0!</v>
      </c>
    </row>
    <row r="92" spans="1:8">
      <c r="A92" t="s">
        <v>16</v>
      </c>
      <c r="B92" t="e">
        <f>CONFIDENCE(0.05,B91,5)</f>
        <v>#DIV/0!</v>
      </c>
      <c r="C92" t="e">
        <f t="shared" ref="C92:H92" si="26">CONFIDENCE(0.05,C91,5)</f>
        <v>#DIV/0!</v>
      </c>
      <c r="D92" t="e">
        <f t="shared" si="26"/>
        <v>#DIV/0!</v>
      </c>
      <c r="E92" t="e">
        <f t="shared" si="26"/>
        <v>#DIV/0!</v>
      </c>
      <c r="F92" t="e">
        <f t="shared" si="26"/>
        <v>#DIV/0!</v>
      </c>
      <c r="G92" t="e">
        <f t="shared" si="26"/>
        <v>#DIV/0!</v>
      </c>
      <c r="H92" t="e">
        <f t="shared" si="26"/>
        <v>#DIV/0!</v>
      </c>
    </row>
    <row r="94" spans="1:8">
      <c r="A94" t="s">
        <v>29</v>
      </c>
    </row>
    <row r="95" spans="1:8">
      <c r="A95" t="s">
        <v>8</v>
      </c>
    </row>
    <row r="96" spans="1:8">
      <c r="A96" t="s">
        <v>9</v>
      </c>
    </row>
    <row r="97" spans="1:8">
      <c r="A97" t="s">
        <v>10</v>
      </c>
    </row>
    <row r="98" spans="1:8">
      <c r="A98" t="s">
        <v>11</v>
      </c>
    </row>
    <row r="99" spans="1:8">
      <c r="A99" t="s">
        <v>12</v>
      </c>
    </row>
    <row r="100" spans="1:8">
      <c r="A100" t="s">
        <v>13</v>
      </c>
      <c r="B100">
        <f t="shared" ref="B100:H100" si="27">(SUM(B95:B99) -MAX(B95:B99) -MIN(B95:B99))/((COUNT(B95:B99)-2)*1000)</f>
        <v>0</v>
      </c>
      <c r="C100">
        <f t="shared" si="27"/>
        <v>0</v>
      </c>
      <c r="D100">
        <f t="shared" si="27"/>
        <v>0</v>
      </c>
      <c r="E100">
        <f t="shared" si="27"/>
        <v>0</v>
      </c>
      <c r="F100">
        <f t="shared" si="27"/>
        <v>0</v>
      </c>
      <c r="G100">
        <f t="shared" si="27"/>
        <v>0</v>
      </c>
      <c r="H100">
        <f t="shared" si="27"/>
        <v>0</v>
      </c>
    </row>
    <row r="101" spans="1:8">
      <c r="A101" t="s">
        <v>15</v>
      </c>
      <c r="B101" t="e">
        <f>STDEV(B95:B99)/1000</f>
        <v>#DIV/0!</v>
      </c>
      <c r="C101" t="e">
        <f t="shared" ref="C101:H101" si="28">STDEV(C95:C99)/1000</f>
        <v>#DIV/0!</v>
      </c>
      <c r="D101" t="e">
        <f t="shared" si="28"/>
        <v>#DIV/0!</v>
      </c>
      <c r="E101" t="e">
        <f t="shared" si="28"/>
        <v>#DIV/0!</v>
      </c>
      <c r="F101" t="e">
        <f t="shared" si="28"/>
        <v>#DIV/0!</v>
      </c>
      <c r="G101" t="e">
        <f t="shared" si="28"/>
        <v>#DIV/0!</v>
      </c>
      <c r="H101" t="e">
        <f t="shared" si="28"/>
        <v>#DIV/0!</v>
      </c>
    </row>
    <row r="102" spans="1:8">
      <c r="A102" t="s">
        <v>16</v>
      </c>
      <c r="B102" t="e">
        <f>CONFIDENCE(0.05,B101,5)</f>
        <v>#DIV/0!</v>
      </c>
      <c r="C102" t="e">
        <f t="shared" ref="C102:H102" si="29">CONFIDENCE(0.05,C101,5)</f>
        <v>#DIV/0!</v>
      </c>
      <c r="D102" t="e">
        <f t="shared" si="29"/>
        <v>#DIV/0!</v>
      </c>
      <c r="E102" t="e">
        <f t="shared" si="29"/>
        <v>#DIV/0!</v>
      </c>
      <c r="F102" t="e">
        <f t="shared" si="29"/>
        <v>#DIV/0!</v>
      </c>
      <c r="G102" t="e">
        <f t="shared" si="29"/>
        <v>#DIV/0!</v>
      </c>
      <c r="H102" t="e">
        <f t="shared" si="29"/>
        <v>#DIV/0!</v>
      </c>
    </row>
    <row r="104" spans="1:8">
      <c r="A104" t="s">
        <v>30</v>
      </c>
    </row>
    <row r="105" spans="1:8">
      <c r="A105" t="s">
        <v>8</v>
      </c>
    </row>
    <row r="106" spans="1:8">
      <c r="A106" t="s">
        <v>9</v>
      </c>
    </row>
    <row r="107" spans="1:8">
      <c r="A107" t="s">
        <v>10</v>
      </c>
    </row>
    <row r="108" spans="1:8">
      <c r="A108" t="s">
        <v>11</v>
      </c>
    </row>
    <row r="109" spans="1:8">
      <c r="A109" t="s">
        <v>12</v>
      </c>
    </row>
    <row r="110" spans="1:8">
      <c r="A110" t="s">
        <v>13</v>
      </c>
      <c r="B110">
        <f t="shared" ref="B110:H110" si="30">(SUM(B105:B109) -MAX(B105:B109) -MIN(B105:B109))/((COUNT(B105:B109)-2)*1000)</f>
        <v>0</v>
      </c>
      <c r="C110">
        <f t="shared" si="30"/>
        <v>0</v>
      </c>
      <c r="D110">
        <f t="shared" si="30"/>
        <v>0</v>
      </c>
      <c r="E110">
        <f t="shared" si="30"/>
        <v>0</v>
      </c>
      <c r="F110">
        <f t="shared" si="30"/>
        <v>0</v>
      </c>
      <c r="G110">
        <f t="shared" si="30"/>
        <v>0</v>
      </c>
      <c r="H110">
        <f t="shared" si="30"/>
        <v>0</v>
      </c>
    </row>
    <row r="111" spans="1:8">
      <c r="A111" t="s">
        <v>15</v>
      </c>
      <c r="B111" t="e">
        <f>STDEV(B105:B109)/1000</f>
        <v>#DIV/0!</v>
      </c>
      <c r="C111" t="e">
        <f t="shared" ref="C111:H111" si="31">STDEV(C105:C109)/1000</f>
        <v>#DIV/0!</v>
      </c>
      <c r="D111" t="e">
        <f t="shared" si="31"/>
        <v>#DIV/0!</v>
      </c>
      <c r="E111" t="e">
        <f t="shared" si="31"/>
        <v>#DIV/0!</v>
      </c>
      <c r="F111" t="e">
        <f t="shared" si="31"/>
        <v>#DIV/0!</v>
      </c>
      <c r="G111" t="e">
        <f t="shared" si="31"/>
        <v>#DIV/0!</v>
      </c>
      <c r="H111" t="e">
        <f t="shared" si="31"/>
        <v>#DIV/0!</v>
      </c>
    </row>
    <row r="112" spans="1:8">
      <c r="A112" t="s">
        <v>16</v>
      </c>
      <c r="B112" t="e">
        <f>CONFIDENCE(0.05,B111,5)</f>
        <v>#DIV/0!</v>
      </c>
      <c r="C112" t="e">
        <f t="shared" ref="C112:H112" si="32">CONFIDENCE(0.05,C111,5)</f>
        <v>#DIV/0!</v>
      </c>
      <c r="D112" t="e">
        <f t="shared" si="32"/>
        <v>#DIV/0!</v>
      </c>
      <c r="E112" t="e">
        <f t="shared" si="32"/>
        <v>#DIV/0!</v>
      </c>
      <c r="F112" t="e">
        <f t="shared" si="32"/>
        <v>#DIV/0!</v>
      </c>
      <c r="G112" t="e">
        <f t="shared" si="32"/>
        <v>#DIV/0!</v>
      </c>
      <c r="H112" t="e">
        <f t="shared" si="32"/>
        <v>#DIV/0!</v>
      </c>
    </row>
    <row r="114" spans="1:8">
      <c r="A114" t="s">
        <v>31</v>
      </c>
    </row>
    <row r="115" spans="1:8">
      <c r="A115" t="s">
        <v>8</v>
      </c>
    </row>
    <row r="116" spans="1:8">
      <c r="A116" t="s">
        <v>9</v>
      </c>
    </row>
    <row r="117" spans="1:8">
      <c r="A117" t="s">
        <v>10</v>
      </c>
    </row>
    <row r="118" spans="1:8">
      <c r="A118" t="s">
        <v>11</v>
      </c>
    </row>
    <row r="119" spans="1:8">
      <c r="A119" t="s">
        <v>12</v>
      </c>
    </row>
    <row r="120" spans="1:8">
      <c r="A120" t="s">
        <v>13</v>
      </c>
      <c r="B120">
        <f t="shared" ref="B120:H120" si="33">(SUM(B115:B119) -MAX(B115:B119) -MIN(B115:B119))/((COUNT(B115:B119)-2)*1000)</f>
        <v>0</v>
      </c>
      <c r="C120">
        <f t="shared" si="33"/>
        <v>0</v>
      </c>
      <c r="D120">
        <f t="shared" si="33"/>
        <v>0</v>
      </c>
      <c r="E120">
        <f t="shared" si="33"/>
        <v>0</v>
      </c>
      <c r="F120">
        <f t="shared" si="33"/>
        <v>0</v>
      </c>
      <c r="G120">
        <f t="shared" si="33"/>
        <v>0</v>
      </c>
      <c r="H120">
        <f t="shared" si="33"/>
        <v>0</v>
      </c>
    </row>
    <row r="121" spans="1:8">
      <c r="A121" t="s">
        <v>15</v>
      </c>
      <c r="B121" t="e">
        <f>STDEV(B115:B119)/1000</f>
        <v>#DIV/0!</v>
      </c>
      <c r="C121" t="e">
        <f t="shared" ref="C121:H121" si="34">STDEV(C115:C119)/1000</f>
        <v>#DIV/0!</v>
      </c>
      <c r="D121" t="e">
        <f t="shared" si="34"/>
        <v>#DIV/0!</v>
      </c>
      <c r="E121" t="e">
        <f t="shared" si="34"/>
        <v>#DIV/0!</v>
      </c>
      <c r="F121" t="e">
        <f t="shared" si="34"/>
        <v>#DIV/0!</v>
      </c>
      <c r="G121" t="e">
        <f t="shared" si="34"/>
        <v>#DIV/0!</v>
      </c>
      <c r="H121" t="e">
        <f t="shared" si="34"/>
        <v>#DIV/0!</v>
      </c>
    </row>
    <row r="122" spans="1:8">
      <c r="A122" t="s">
        <v>16</v>
      </c>
      <c r="B122" t="e">
        <f>CONFIDENCE(0.05,B121,5)</f>
        <v>#DIV/0!</v>
      </c>
      <c r="C122" t="e">
        <f t="shared" ref="C122:H122" si="35">CONFIDENCE(0.05,C121,5)</f>
        <v>#DIV/0!</v>
      </c>
      <c r="D122" t="e">
        <f t="shared" si="35"/>
        <v>#DIV/0!</v>
      </c>
      <c r="E122" t="e">
        <f t="shared" si="35"/>
        <v>#DIV/0!</v>
      </c>
      <c r="F122" t="e">
        <f t="shared" si="35"/>
        <v>#DIV/0!</v>
      </c>
      <c r="G122" t="e">
        <f t="shared" si="35"/>
        <v>#DIV/0!</v>
      </c>
      <c r="H122" t="e">
        <f t="shared" si="35"/>
        <v>#DIV/0!</v>
      </c>
    </row>
    <row r="124" spans="1:8">
      <c r="A124" t="s">
        <v>32</v>
      </c>
    </row>
    <row r="125" spans="1:8">
      <c r="A125" t="s">
        <v>8</v>
      </c>
    </row>
    <row r="126" spans="1:8">
      <c r="A126" t="s">
        <v>9</v>
      </c>
    </row>
    <row r="127" spans="1:8">
      <c r="A127" t="s">
        <v>10</v>
      </c>
    </row>
    <row r="128" spans="1:8">
      <c r="A128" t="s">
        <v>11</v>
      </c>
    </row>
    <row r="129" spans="1:8">
      <c r="A129" t="s">
        <v>12</v>
      </c>
    </row>
    <row r="130" spans="1:8">
      <c r="A130" t="s">
        <v>13</v>
      </c>
      <c r="B130">
        <f t="shared" ref="B130:H130" si="36">(SUM(B125:B129) -MAX(B125:B129) -MIN(B125:B129))/((COUNT(B125:B129)-2)*1000)</f>
        <v>0</v>
      </c>
      <c r="C130">
        <f t="shared" si="36"/>
        <v>0</v>
      </c>
      <c r="D130">
        <f t="shared" si="36"/>
        <v>0</v>
      </c>
      <c r="E130">
        <f t="shared" si="36"/>
        <v>0</v>
      </c>
      <c r="F130">
        <f t="shared" si="36"/>
        <v>0</v>
      </c>
      <c r="G130">
        <f t="shared" si="36"/>
        <v>0</v>
      </c>
      <c r="H130">
        <f t="shared" si="36"/>
        <v>0</v>
      </c>
    </row>
    <row r="131" spans="1:8">
      <c r="A131" t="s">
        <v>15</v>
      </c>
      <c r="B131" t="e">
        <f>STDEV(B125:B129)/1000</f>
        <v>#DIV/0!</v>
      </c>
      <c r="C131" t="e">
        <f t="shared" ref="C131:H131" si="37">STDEV(C125:C129)/1000</f>
        <v>#DIV/0!</v>
      </c>
      <c r="D131" t="e">
        <f t="shared" si="37"/>
        <v>#DIV/0!</v>
      </c>
      <c r="E131" t="e">
        <f t="shared" si="37"/>
        <v>#DIV/0!</v>
      </c>
      <c r="F131" t="e">
        <f t="shared" si="37"/>
        <v>#DIV/0!</v>
      </c>
      <c r="G131" t="e">
        <f t="shared" si="37"/>
        <v>#DIV/0!</v>
      </c>
      <c r="H131" t="e">
        <f t="shared" si="37"/>
        <v>#DIV/0!</v>
      </c>
    </row>
    <row r="132" spans="1:8">
      <c r="A132" t="s">
        <v>16</v>
      </c>
      <c r="B132" t="e">
        <f>CONFIDENCE(0.05,B131,5)</f>
        <v>#DIV/0!</v>
      </c>
      <c r="C132" t="e">
        <f t="shared" ref="C132:H132" si="38">CONFIDENCE(0.05,C131,5)</f>
        <v>#DIV/0!</v>
      </c>
      <c r="D132" t="e">
        <f t="shared" si="38"/>
        <v>#DIV/0!</v>
      </c>
      <c r="E132" t="e">
        <f t="shared" si="38"/>
        <v>#DIV/0!</v>
      </c>
      <c r="F132" t="e">
        <f t="shared" si="38"/>
        <v>#DIV/0!</v>
      </c>
      <c r="G132" t="e">
        <f t="shared" si="38"/>
        <v>#DIV/0!</v>
      </c>
      <c r="H132" t="e">
        <f t="shared" si="38"/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1"/>
  <sheetViews>
    <sheetView topLeftCell="A58" workbookViewId="0">
      <selection activeCell="F4" sqref="F4"/>
    </sheetView>
  </sheetViews>
  <sheetFormatPr defaultRowHeight="14.4"/>
  <cols>
    <col min="1" max="1" width="24.109375" customWidth="1"/>
    <col min="2" max="6" width="12.6640625" customWidth="1"/>
    <col min="7" max="7" width="10.6640625" customWidth="1"/>
    <col min="8" max="8" width="18.5546875" bestFit="1" customWidth="1"/>
  </cols>
  <sheetData>
    <row r="1" spans="1:7">
      <c r="A1" t="s">
        <v>21</v>
      </c>
      <c r="B1">
        <v>10</v>
      </c>
    </row>
    <row r="2" spans="1:7">
      <c r="A2" t="s">
        <v>20</v>
      </c>
      <c r="B2" t="str">
        <f>'int - 2k'!B1</f>
        <v>2k</v>
      </c>
      <c r="C2" t="str">
        <f>'int - 4k'!B1</f>
        <v>4k</v>
      </c>
      <c r="D2" t="str">
        <f>'int - 6k'!B1</f>
        <v>6k</v>
      </c>
      <c r="E2" t="str">
        <f>'int - 8k'!B1</f>
        <v>8k</v>
      </c>
      <c r="F2" t="str">
        <f>'int - 10k'!B1</f>
        <v>10k</v>
      </c>
    </row>
    <row r="3" spans="1:7">
      <c r="A3" t="s">
        <v>7</v>
      </c>
    </row>
    <row r="4" spans="1:7">
      <c r="A4" t="s">
        <v>8</v>
      </c>
      <c r="B4">
        <f>'int - 2k'!B4:B11</f>
        <v>8049</v>
      </c>
      <c r="C4">
        <f>'int - 4k'!C4:C11</f>
        <v>12963</v>
      </c>
      <c r="D4">
        <f>'int - 6k'!F4:F11</f>
        <v>17441</v>
      </c>
      <c r="E4">
        <f>'int - 8k'!F4:F11</f>
        <v>22776</v>
      </c>
      <c r="F4">
        <f>'int - 10k'!F4:F11</f>
        <v>27082</v>
      </c>
    </row>
    <row r="5" spans="1:7">
      <c r="A5" t="s">
        <v>9</v>
      </c>
      <c r="B5">
        <f>'int - 2k'!B5:B12</f>
        <v>5959</v>
      </c>
      <c r="C5">
        <f>'int - 4k'!C5:C12</f>
        <v>11732</v>
      </c>
      <c r="D5">
        <f>'int - 6k'!F5:F12</f>
        <v>17332</v>
      </c>
      <c r="E5">
        <f>'int - 8k'!F5:F12</f>
        <v>23228</v>
      </c>
      <c r="F5">
        <f>'int - 10k'!F5:F12</f>
        <v>28407</v>
      </c>
    </row>
    <row r="6" spans="1:7">
      <c r="A6" t="s">
        <v>10</v>
      </c>
      <c r="B6">
        <f>'int - 2k'!B6:B13</f>
        <v>5928</v>
      </c>
      <c r="C6">
        <f>'int - 4k'!C6:C13</f>
        <v>11731</v>
      </c>
      <c r="D6">
        <f>'int - 6k'!F6:F13</f>
        <v>17269</v>
      </c>
      <c r="E6">
        <f>'int - 8k'!F6:F13</f>
        <v>23260</v>
      </c>
      <c r="F6">
        <f>'int - 10k'!F6:F13</f>
        <v>28470</v>
      </c>
    </row>
    <row r="7" spans="1:7">
      <c r="A7" t="s">
        <v>11</v>
      </c>
      <c r="B7">
        <f>'int - 2k'!B7:B14</f>
        <v>5959</v>
      </c>
      <c r="C7">
        <f>'int - 4k'!C7:C14</f>
        <v>11779</v>
      </c>
      <c r="D7">
        <f>'int - 6k'!F7:F14</f>
        <v>17285</v>
      </c>
      <c r="E7">
        <f>'int - 8k'!F7:F14</f>
        <v>23291</v>
      </c>
      <c r="F7">
        <f>'int - 10k'!F7:F14</f>
        <v>28485</v>
      </c>
    </row>
    <row r="8" spans="1:7">
      <c r="A8" t="s">
        <v>12</v>
      </c>
      <c r="B8">
        <f>'int - 2k'!B8:B15</f>
        <v>5975</v>
      </c>
      <c r="C8">
        <f>'int - 4k'!C8:C15</f>
        <v>11762</v>
      </c>
      <c r="D8">
        <f>'int - 6k'!F8:F15</f>
        <v>17300</v>
      </c>
      <c r="E8">
        <f>'int - 8k'!F8:F15</f>
        <v>23291</v>
      </c>
      <c r="F8">
        <f>'int - 10k'!F8:F15</f>
        <v>28455</v>
      </c>
    </row>
    <row r="9" spans="1:7">
      <c r="A9" t="s">
        <v>13</v>
      </c>
      <c r="B9">
        <f>'int - 2k'!B9:B16</f>
        <v>5.9643333333333333</v>
      </c>
      <c r="C9">
        <f>'int - 4k'!C9:C16</f>
        <v>11.757666666666667</v>
      </c>
      <c r="D9">
        <f>'int - 6k'!F9:F16</f>
        <v>17.305666666666667</v>
      </c>
      <c r="E9">
        <f>'int - 8k'!F9:F16</f>
        <v>23.259666666666668</v>
      </c>
      <c r="F9">
        <f>'int - 10k'!F9:F16</f>
        <v>28.443999999999999</v>
      </c>
      <c r="G9" t="s">
        <v>17</v>
      </c>
    </row>
    <row r="10" spans="1:7">
      <c r="A10" t="s">
        <v>15</v>
      </c>
      <c r="B10">
        <f>'int - 2k'!B10:B17</f>
        <v>0.93650840893181519</v>
      </c>
      <c r="C10">
        <f>'int - 4k'!C10:C17</f>
        <v>0.54240695054544785</v>
      </c>
      <c r="D10">
        <f>'int - 6k'!F10:F17</f>
        <v>6.867532307905018E-2</v>
      </c>
      <c r="E10">
        <f>'int - 8k'!F10:F17</f>
        <v>0.22134746440844466</v>
      </c>
      <c r="F10">
        <f>'int - 10k'!F10:F17</f>
        <v>0.61438644190773584</v>
      </c>
    </row>
    <row r="11" spans="1:7">
      <c r="A11" t="s">
        <v>16</v>
      </c>
      <c r="B11">
        <f>'int - 2k'!B11:B18</f>
        <v>0.82087072986824683</v>
      </c>
      <c r="C11">
        <f>'int - 4k'!C11:C18</f>
        <v>0.47543191831849219</v>
      </c>
      <c r="D11">
        <f>'int - 6k'!F11:F18</f>
        <v>6.0195468660166604E-2</v>
      </c>
      <c r="E11">
        <f>'int - 8k'!F11:F18</f>
        <v>0.19401604185347437</v>
      </c>
      <c r="F11">
        <f>'int - 10k'!F11:F18</f>
        <v>0.53852356495677489</v>
      </c>
    </row>
    <row r="13" spans="1:7">
      <c r="A13" t="s">
        <v>1</v>
      </c>
    </row>
    <row r="14" spans="1:7">
      <c r="A14" t="s">
        <v>8</v>
      </c>
      <c r="B14">
        <f>'int - 2k'!B14:B21</f>
        <v>7691</v>
      </c>
      <c r="C14">
        <f>'int - 4k'!C14:C21</f>
        <v>7395</v>
      </c>
      <c r="D14">
        <f>'int - 6k'!F14:F21</f>
        <v>7754</v>
      </c>
      <c r="E14">
        <f>'int - 8k'!F14:F21</f>
        <v>8252</v>
      </c>
      <c r="F14">
        <f>'int - 10k'!F14:F21</f>
        <v>8440</v>
      </c>
    </row>
    <row r="15" spans="1:7">
      <c r="A15" t="s">
        <v>9</v>
      </c>
      <c r="B15">
        <f>'int - 2k'!B15:B22</f>
        <v>858</v>
      </c>
      <c r="C15">
        <f>'int - 4k'!C15:C22</f>
        <v>1030</v>
      </c>
      <c r="D15">
        <f>'int - 6k'!F15:F22</f>
        <v>1279</v>
      </c>
      <c r="E15">
        <f>'int - 8k'!F15:F22</f>
        <v>1560</v>
      </c>
      <c r="F15">
        <f>'int - 10k'!F15:F22</f>
        <v>1669</v>
      </c>
    </row>
    <row r="16" spans="1:7">
      <c r="A16" t="s">
        <v>10</v>
      </c>
      <c r="B16">
        <f>'int - 2k'!B16:B23</f>
        <v>874</v>
      </c>
      <c r="C16">
        <f>'int - 4k'!C16:C23</f>
        <v>1076</v>
      </c>
      <c r="D16">
        <f>'int - 6k'!F16:F23</f>
        <v>1279</v>
      </c>
      <c r="E16">
        <f>'int - 8k'!F16:F23</f>
        <v>1575</v>
      </c>
      <c r="F16">
        <f>'int - 10k'!F16:F23</f>
        <v>1638</v>
      </c>
    </row>
    <row r="17" spans="1:7">
      <c r="A17" t="s">
        <v>11</v>
      </c>
      <c r="B17">
        <f>'int - 2k'!B17:B24</f>
        <v>843</v>
      </c>
      <c r="C17">
        <f>'int - 4k'!C17:C24</f>
        <v>1092</v>
      </c>
      <c r="D17">
        <f>'int - 6k'!F17:F24</f>
        <v>1263</v>
      </c>
      <c r="E17">
        <f>'int - 8k'!F17:F24</f>
        <v>1575</v>
      </c>
      <c r="F17">
        <f>'int - 10k'!F17:F24</f>
        <v>1654</v>
      </c>
    </row>
    <row r="18" spans="1:7">
      <c r="A18" t="s">
        <v>12</v>
      </c>
      <c r="B18">
        <f>'int - 2k'!B18:B25</f>
        <v>858</v>
      </c>
      <c r="C18">
        <f>'int - 4k'!C18:C25</f>
        <v>1076</v>
      </c>
      <c r="D18">
        <f>'int - 6k'!F18:F25</f>
        <v>1310</v>
      </c>
      <c r="E18">
        <f>'int - 8k'!F18:F25</f>
        <v>1545</v>
      </c>
      <c r="F18">
        <f>'int - 10k'!F18:F25</f>
        <v>1622</v>
      </c>
    </row>
    <row r="19" spans="1:7">
      <c r="A19" t="s">
        <v>13</v>
      </c>
      <c r="B19">
        <f>'int - 2k'!B19:B26</f>
        <v>0.86333333333333329</v>
      </c>
      <c r="C19">
        <f>'int - 4k'!C19:C26</f>
        <v>1.0813333333333333</v>
      </c>
      <c r="D19">
        <f>'int - 6k'!F19:F26</f>
        <v>1.2893333333333334</v>
      </c>
      <c r="E19">
        <f>'int - 8k'!F19:F26</f>
        <v>1.57</v>
      </c>
      <c r="F19">
        <f>'int - 10k'!F19:F26</f>
        <v>1.6536666666666666</v>
      </c>
      <c r="G19" t="s">
        <v>17</v>
      </c>
    </row>
    <row r="20" spans="1:7">
      <c r="A20" t="s">
        <v>15</v>
      </c>
      <c r="B20">
        <f>'int - 2k'!B20:B27</f>
        <v>3.0557183607132385</v>
      </c>
      <c r="C20">
        <f>'int - 4k'!C20:C27</f>
        <v>2.82939166606534</v>
      </c>
      <c r="D20">
        <f>'int - 6k'!F20:F27</f>
        <v>2.8940811149655081</v>
      </c>
      <c r="E20">
        <f>'int - 8k'!F20:F27</f>
        <v>2.9911021881574023</v>
      </c>
      <c r="F20">
        <f>'int - 10k'!F20:F27</f>
        <v>3.0385316848767596</v>
      </c>
    </row>
    <row r="21" spans="1:7">
      <c r="A21" t="s">
        <v>16</v>
      </c>
      <c r="B21">
        <f>'int - 2k'!B21:B28</f>
        <v>2.6784060208188749</v>
      </c>
      <c r="C21">
        <f>'int - 4k'!C21:C28</f>
        <v>2.4800255714257986</v>
      </c>
      <c r="D21">
        <f>'int - 6k'!F21:F28</f>
        <v>2.5367273315242729</v>
      </c>
      <c r="E21">
        <f>'int - 8k'!F21:F28</f>
        <v>2.6217684890878985</v>
      </c>
      <c r="F21">
        <f>'int - 10k'!F21:F28</f>
        <v>2.6633415120506179</v>
      </c>
    </row>
    <row r="23" spans="1:7">
      <c r="A23" t="s">
        <v>2</v>
      </c>
    </row>
    <row r="24" spans="1:7">
      <c r="A24" t="s">
        <v>8</v>
      </c>
      <c r="B24">
        <f>'int - 2k'!B24:B31</f>
        <v>1202</v>
      </c>
      <c r="C24">
        <f>'int - 4k'!C24:C31</f>
        <v>1607</v>
      </c>
      <c r="D24">
        <f>'int - 6k'!F24:F31</f>
        <v>2090</v>
      </c>
      <c r="E24">
        <f>'int - 8k'!F24:F31</f>
        <v>2621</v>
      </c>
      <c r="F24">
        <f>'int - 10k'!F24:F31</f>
        <v>3027</v>
      </c>
    </row>
    <row r="25" spans="1:7">
      <c r="A25" t="s">
        <v>9</v>
      </c>
      <c r="B25">
        <f>'int - 2k'!B25:B32</f>
        <v>1155</v>
      </c>
      <c r="C25">
        <f>'int - 4k'!C25:C32</f>
        <v>1685</v>
      </c>
      <c r="D25">
        <f>'int - 6k'!F25:F32</f>
        <v>2184</v>
      </c>
      <c r="E25">
        <f>'int - 8k'!F25:F32</f>
        <v>2746</v>
      </c>
      <c r="F25">
        <f>'int - 10k'!F25:F32</f>
        <v>3213</v>
      </c>
    </row>
    <row r="26" spans="1:7">
      <c r="A26" t="s">
        <v>10</v>
      </c>
      <c r="B26">
        <f>'int - 2k'!B26:B33</f>
        <v>1155</v>
      </c>
      <c r="C26">
        <f>'int - 4k'!C26:C33</f>
        <v>1716</v>
      </c>
      <c r="D26">
        <f>'int - 6k'!F26:F33</f>
        <v>2168</v>
      </c>
      <c r="E26">
        <f>'int - 8k'!F26:F33</f>
        <v>2762</v>
      </c>
      <c r="F26">
        <f>'int - 10k'!F26:F33</f>
        <v>3151</v>
      </c>
    </row>
    <row r="27" spans="1:7">
      <c r="A27" t="s">
        <v>11</v>
      </c>
      <c r="B27">
        <f>'int - 2k'!B27:B34</f>
        <v>1154</v>
      </c>
      <c r="C27">
        <f>'int - 4k'!C27:C34</f>
        <v>1669</v>
      </c>
      <c r="D27">
        <f>'int - 6k'!F27:F34</f>
        <v>2169</v>
      </c>
      <c r="E27">
        <f>'int - 8k'!F27:F34</f>
        <v>2761</v>
      </c>
      <c r="F27">
        <f>'int - 10k'!F27:F34</f>
        <v>3151</v>
      </c>
    </row>
    <row r="28" spans="1:7">
      <c r="A28" t="s">
        <v>12</v>
      </c>
      <c r="B28">
        <f>'int - 2k'!B28:B35</f>
        <v>1139</v>
      </c>
      <c r="C28">
        <f>'int - 4k'!C28:C35</f>
        <v>1685</v>
      </c>
      <c r="D28">
        <f>'int - 6k'!F28:F35</f>
        <v>2168</v>
      </c>
      <c r="E28">
        <f>'int - 8k'!F28:F35</f>
        <v>2699</v>
      </c>
      <c r="F28">
        <f>'int - 10k'!F28:F35</f>
        <v>3135</v>
      </c>
    </row>
    <row r="29" spans="1:7">
      <c r="A29" t="s">
        <v>13</v>
      </c>
      <c r="B29">
        <f>'int - 2k'!B29:B36</f>
        <v>1.1546666666666667</v>
      </c>
      <c r="C29">
        <f>'int - 4k'!C29:C36</f>
        <v>1.6796666666666666</v>
      </c>
      <c r="D29">
        <f>'int - 6k'!F29:F36</f>
        <v>2.1683333333333334</v>
      </c>
      <c r="E29">
        <f>'int - 8k'!F29:F36</f>
        <v>2.7353333333333332</v>
      </c>
      <c r="F29">
        <f>'int - 10k'!F29:F36</f>
        <v>3.1456666666666666</v>
      </c>
      <c r="G29" t="s">
        <v>17</v>
      </c>
    </row>
    <row r="30" spans="1:7">
      <c r="A30" t="s">
        <v>15</v>
      </c>
      <c r="B30">
        <f>'int - 2k'!B30:B37</f>
        <v>2.3906066175763841E-2</v>
      </c>
      <c r="C30">
        <f>'int - 4k'!C30:C37</f>
        <v>4.0333608814483904E-2</v>
      </c>
      <c r="D30">
        <f>'int - 6k'!F30:F37</f>
        <v>3.7405881890421808E-2</v>
      </c>
      <c r="E30">
        <f>'int - 8k'!F30:F37</f>
        <v>5.9872364242605738E-2</v>
      </c>
      <c r="F30">
        <f>'int - 10k'!F30:F37</f>
        <v>6.7563303649249909E-2</v>
      </c>
    </row>
    <row r="31" spans="1:7">
      <c r="A31" t="s">
        <v>16</v>
      </c>
      <c r="B31">
        <f>'int - 2k'!B31:B38</f>
        <v>2.0954205859572403E-2</v>
      </c>
      <c r="C31">
        <f>'int - 4k'!C31:C38</f>
        <v>3.5353317268693438E-2</v>
      </c>
      <c r="D31">
        <f>'int - 6k'!F31:F38</f>
        <v>3.2787098627100067E-2</v>
      </c>
      <c r="E31">
        <f>'int - 8k'!F31:F38</f>
        <v>5.2479476816255255E-2</v>
      </c>
      <c r="F31">
        <f>'int - 10k'!F31:F38</f>
        <v>5.9220758564387549E-2</v>
      </c>
    </row>
    <row r="33" spans="1:7">
      <c r="A33" t="s">
        <v>3</v>
      </c>
    </row>
    <row r="34" spans="1:7">
      <c r="A34" t="s">
        <v>8</v>
      </c>
      <c r="B34">
        <f>'int - 2k'!B34:B41</f>
        <v>2278</v>
      </c>
      <c r="C34">
        <f>'int - 4k'!C34:C41</f>
        <v>4087</v>
      </c>
      <c r="D34">
        <f>'int - 6k'!F34:F41</f>
        <v>5835</v>
      </c>
      <c r="E34">
        <f>'int - 8k'!F34:F41</f>
        <v>7566</v>
      </c>
      <c r="F34">
        <f>'int - 10k'!F34:F41</f>
        <v>9079</v>
      </c>
    </row>
    <row r="35" spans="1:7">
      <c r="A35" t="s">
        <v>9</v>
      </c>
      <c r="B35">
        <f>'int - 2k'!B35:B42</f>
        <v>2402</v>
      </c>
      <c r="C35">
        <f>'int - 4k'!C35:C42</f>
        <v>4321</v>
      </c>
      <c r="D35">
        <f>'int - 6k'!F35:F42</f>
        <v>6178</v>
      </c>
      <c r="E35">
        <f>'int - 8k'!F35:F42</f>
        <v>7987</v>
      </c>
      <c r="F35">
        <f>'int - 10k'!F35:F42</f>
        <v>9656</v>
      </c>
    </row>
    <row r="36" spans="1:7">
      <c r="A36" t="s">
        <v>10</v>
      </c>
      <c r="B36">
        <f>'int - 2k'!B36:B43</f>
        <v>2403</v>
      </c>
      <c r="C36">
        <f>'int - 4k'!C36:C43</f>
        <v>4321</v>
      </c>
      <c r="D36">
        <f>'int - 6k'!F36:F43</f>
        <v>6193</v>
      </c>
      <c r="E36">
        <f>'int - 8k'!F36:F43</f>
        <v>7972</v>
      </c>
      <c r="F36">
        <f>'int - 10k'!F36:F43</f>
        <v>9656</v>
      </c>
    </row>
    <row r="37" spans="1:7">
      <c r="A37" t="s">
        <v>11</v>
      </c>
      <c r="B37">
        <f>'int - 2k'!B37:B44</f>
        <v>2402</v>
      </c>
      <c r="C37">
        <f>'int - 4k'!C37:C44</f>
        <v>4322</v>
      </c>
      <c r="D37">
        <f>'int - 6k'!F37:F44</f>
        <v>6209</v>
      </c>
      <c r="E37">
        <f>'int - 8k'!F37:F44</f>
        <v>7972</v>
      </c>
      <c r="F37">
        <f>'int - 10k'!F37:F44</f>
        <v>9688</v>
      </c>
    </row>
    <row r="38" spans="1:7">
      <c r="A38" t="s">
        <v>12</v>
      </c>
      <c r="B38">
        <f>'int - 2k'!B38:B45</f>
        <v>2387</v>
      </c>
      <c r="C38">
        <f>'int - 4k'!C38:C45</f>
        <v>4306</v>
      </c>
      <c r="D38">
        <f>'int - 6k'!F38:F45</f>
        <v>6193</v>
      </c>
      <c r="E38">
        <f>'int - 8k'!F38:F45</f>
        <v>8003</v>
      </c>
      <c r="F38">
        <f>'int - 10k'!F38:F45</f>
        <v>9687</v>
      </c>
    </row>
    <row r="39" spans="1:7">
      <c r="A39" t="s">
        <v>13</v>
      </c>
      <c r="B39">
        <f>'int - 2k'!B39:B46</f>
        <v>2.3969999999999998</v>
      </c>
      <c r="C39">
        <f>'int - 4k'!C39:C46</f>
        <v>4.3159999999999998</v>
      </c>
      <c r="D39">
        <f>'int - 6k'!F39:F46</f>
        <v>6.1879999999999997</v>
      </c>
      <c r="E39">
        <f>'int - 8k'!F39:F46</f>
        <v>7.9770000000000003</v>
      </c>
      <c r="F39">
        <f>'int - 10k'!F39:F46</f>
        <v>9.6663333333333341</v>
      </c>
      <c r="G39" t="s">
        <v>17</v>
      </c>
    </row>
    <row r="40" spans="1:7">
      <c r="A40" t="s">
        <v>15</v>
      </c>
      <c r="B40">
        <f>'int - 2k'!B40:B47</f>
        <v>5.4298250432217553E-2</v>
      </c>
      <c r="C40">
        <f>'int - 4k'!C40:C47</f>
        <v>0.10329714420060579</v>
      </c>
      <c r="D40">
        <f>'int - 6k'!F40:F47</f>
        <v>0.16058891618040463</v>
      </c>
      <c r="E40">
        <f>'int - 8k'!F40:F47</f>
        <v>0.18715100854657452</v>
      </c>
      <c r="F40">
        <f>'int - 10k'!F40:F47</f>
        <v>0.26555357274946045</v>
      </c>
    </row>
    <row r="41" spans="1:7">
      <c r="A41" t="s">
        <v>16</v>
      </c>
      <c r="B41">
        <f>'int - 2k'!B41:B48</f>
        <v>4.7593640417710789E-2</v>
      </c>
      <c r="C41">
        <f>'int - 4k'!C41:C48</f>
        <v>9.0542275269020478E-2</v>
      </c>
      <c r="D41">
        <f>'int - 6k'!F41:F48</f>
        <v>0.14075980479888797</v>
      </c>
      <c r="E41">
        <f>'int - 8k'!F41:F48</f>
        <v>0.16404207748271302</v>
      </c>
      <c r="F41">
        <f>'int - 10k'!F41:F48</f>
        <v>0.23276369224554513</v>
      </c>
    </row>
    <row r="43" spans="1:7">
      <c r="A43" t="s">
        <v>4</v>
      </c>
    </row>
    <row r="44" spans="1:7">
      <c r="A44" t="s">
        <v>8</v>
      </c>
      <c r="B44">
        <f>'int - 2k'!B44:B51</f>
        <v>1217</v>
      </c>
      <c r="C44">
        <f>'int - 4k'!C44:C51</f>
        <v>1809</v>
      </c>
      <c r="D44">
        <f>'int - 6k'!F44:F51</f>
        <v>2449</v>
      </c>
      <c r="E44">
        <f>'int - 8k'!F44:F51</f>
        <v>3073</v>
      </c>
      <c r="F44">
        <f>'int - 10k'!F44:F51</f>
        <v>14524</v>
      </c>
    </row>
    <row r="45" spans="1:7">
      <c r="A45" t="s">
        <v>9</v>
      </c>
      <c r="B45">
        <f>'int - 2k'!B45:B52</f>
        <v>1201</v>
      </c>
      <c r="C45">
        <f>'int - 4k'!C45:C52</f>
        <v>1778</v>
      </c>
      <c r="D45">
        <f>'int - 6k'!F45:F52</f>
        <v>2403</v>
      </c>
      <c r="E45">
        <f>'int - 8k'!F45:F52</f>
        <v>3042</v>
      </c>
      <c r="F45">
        <f>'int - 10k'!F45:F52</f>
        <v>12449</v>
      </c>
    </row>
    <row r="46" spans="1:7">
      <c r="A46" t="s">
        <v>10</v>
      </c>
      <c r="B46">
        <f>'int - 2k'!B46:B53</f>
        <v>1170</v>
      </c>
      <c r="C46">
        <f>'int - 4k'!C46:C53</f>
        <v>1779</v>
      </c>
      <c r="D46">
        <f>'int - 6k'!F46:F53</f>
        <v>2403</v>
      </c>
      <c r="E46">
        <f>'int - 8k'!F46:F53</f>
        <v>3058</v>
      </c>
      <c r="F46">
        <f>'int - 10k'!F46:F53</f>
        <v>12168</v>
      </c>
    </row>
    <row r="47" spans="1:7">
      <c r="A47" t="s">
        <v>11</v>
      </c>
      <c r="B47">
        <f>'int - 2k'!B47:B54</f>
        <v>1170</v>
      </c>
      <c r="C47">
        <f>'int - 4k'!C47:C54</f>
        <v>1778</v>
      </c>
      <c r="D47">
        <f>'int - 6k'!F47:F54</f>
        <v>2387</v>
      </c>
      <c r="E47">
        <f>'int - 8k'!F47:F54</f>
        <v>3057</v>
      </c>
      <c r="F47">
        <f>'int - 10k'!F47:F54</f>
        <v>12075</v>
      </c>
    </row>
    <row r="48" spans="1:7">
      <c r="A48" t="s">
        <v>12</v>
      </c>
      <c r="B48">
        <f>'int - 2k'!B48:B55</f>
        <v>1201</v>
      </c>
      <c r="C48">
        <f>'int - 4k'!C48:C55</f>
        <v>1763</v>
      </c>
      <c r="D48">
        <f>'int - 6k'!F48:F55</f>
        <v>2402</v>
      </c>
      <c r="E48">
        <f>'int - 8k'!F48:F55</f>
        <v>3042</v>
      </c>
      <c r="F48">
        <f>'int - 10k'!F48:F55</f>
        <v>12075</v>
      </c>
    </row>
    <row r="49" spans="1:7">
      <c r="A49" t="s">
        <v>13</v>
      </c>
      <c r="B49">
        <f>'int - 2k'!B49:B56</f>
        <v>1.1906666666666668</v>
      </c>
      <c r="C49">
        <f>'int - 4k'!C49:C56</f>
        <v>1.7783333333333333</v>
      </c>
      <c r="D49">
        <f>'int - 6k'!F49:F56</f>
        <v>2.4026666666666667</v>
      </c>
      <c r="E49">
        <f>'int - 8k'!F49:F56</f>
        <v>3.0523333333333333</v>
      </c>
      <c r="F49">
        <f>'int - 10k'!F49:F56</f>
        <v>12.230666666666666</v>
      </c>
      <c r="G49" t="s">
        <v>17</v>
      </c>
    </row>
    <row r="50" spans="1:7">
      <c r="A50" t="s">
        <v>15</v>
      </c>
      <c r="B50">
        <f>'int - 2k'!B50:B57</f>
        <v>2.0945166506856742E-2</v>
      </c>
      <c r="C50">
        <f>'int - 4k'!C50:C57</f>
        <v>1.6801785619386223E-2</v>
      </c>
      <c r="D50">
        <f>'int - 6k'!F50:F57</f>
        <v>2.3477648945330668E-2</v>
      </c>
      <c r="E50">
        <f>'int - 8k'!F50:F57</f>
        <v>1.2973048986292507E-2</v>
      </c>
      <c r="F50">
        <f>'int - 10k'!F50:F57</f>
        <v>1.0542194743031397</v>
      </c>
    </row>
    <row r="51" spans="1:7">
      <c r="A51" t="s">
        <v>16</v>
      </c>
      <c r="B51">
        <f>'int - 2k'!B51:B58</f>
        <v>1.8358910559389596E-2</v>
      </c>
      <c r="C51">
        <f>'int - 4k'!C51:C58</f>
        <v>1.4727143817327483E-2</v>
      </c>
      <c r="D51">
        <f>'int - 6k'!F51:F58</f>
        <v>2.0578688500326337E-2</v>
      </c>
      <c r="E51">
        <f>'int - 8k'!F51:F58</f>
        <v>1.1371169856489553E-2</v>
      </c>
      <c r="F51">
        <f>'int - 10k'!F51:F58</f>
        <v>0.92404713194149624</v>
      </c>
    </row>
    <row r="53" spans="1:7">
      <c r="A53" t="s">
        <v>5</v>
      </c>
    </row>
    <row r="54" spans="1:7">
      <c r="A54" t="s">
        <v>8</v>
      </c>
      <c r="B54">
        <f>'int - 2k'!B54:B61</f>
        <v>1529</v>
      </c>
      <c r="C54">
        <f>'int - 4k'!C54:C61</f>
        <v>2433</v>
      </c>
      <c r="D54">
        <f>'int - 6k'!F54:F61</f>
        <v>3448</v>
      </c>
      <c r="E54">
        <f>'int - 8k'!F54:F61</f>
        <v>4462</v>
      </c>
      <c r="F54">
        <f>'int - 10k'!F54:F61</f>
        <v>15429</v>
      </c>
    </row>
    <row r="55" spans="1:7">
      <c r="A55" t="s">
        <v>9</v>
      </c>
      <c r="B55">
        <f>'int - 2k'!B55:B62</f>
        <v>1529</v>
      </c>
      <c r="C55">
        <f>'int - 4k'!C55:C62</f>
        <v>2480</v>
      </c>
      <c r="D55">
        <f>'int - 6k'!F55:F62</f>
        <v>3510</v>
      </c>
      <c r="E55">
        <f>'int - 8k'!F55:F62</f>
        <v>4524</v>
      </c>
      <c r="F55">
        <f>'int - 10k'!F55:F62</f>
        <v>14789</v>
      </c>
    </row>
    <row r="56" spans="1:7">
      <c r="A56" t="s">
        <v>10</v>
      </c>
      <c r="B56">
        <f>'int - 2k'!B56:B63</f>
        <v>1482</v>
      </c>
      <c r="C56">
        <f>'int - 4k'!C56:C63</f>
        <v>2450</v>
      </c>
      <c r="D56">
        <f>'int - 6k'!F56:F63</f>
        <v>3510</v>
      </c>
      <c r="E56">
        <f>'int - 8k'!F56:F63</f>
        <v>4509</v>
      </c>
      <c r="F56">
        <f>'int - 10k'!F56:F63</f>
        <v>14305</v>
      </c>
    </row>
    <row r="57" spans="1:7">
      <c r="A57" t="s">
        <v>11</v>
      </c>
      <c r="B57">
        <f>'int - 2k'!B57:B64</f>
        <v>1513</v>
      </c>
      <c r="C57">
        <f>'int - 4k'!C57:C64</f>
        <v>2464</v>
      </c>
      <c r="D57">
        <f>'int - 6k'!F57:F64</f>
        <v>3494</v>
      </c>
      <c r="E57">
        <f>'int - 8k'!F57:F64</f>
        <v>4508</v>
      </c>
      <c r="F57">
        <f>'int - 10k'!F57:F64</f>
        <v>13588</v>
      </c>
    </row>
    <row r="58" spans="1:7">
      <c r="A58" t="s">
        <v>12</v>
      </c>
      <c r="B58">
        <f>'int - 2k'!B58:B65</f>
        <v>1513</v>
      </c>
      <c r="C58">
        <f>'int - 4k'!C58:C65</f>
        <v>2449</v>
      </c>
      <c r="D58">
        <f>'int - 6k'!F58:F65</f>
        <v>3495</v>
      </c>
      <c r="E58">
        <f>'int - 8k'!F58:F65</f>
        <v>4508</v>
      </c>
      <c r="F58">
        <f>'int - 10k'!F58:F65</f>
        <v>14492</v>
      </c>
    </row>
    <row r="59" spans="1:7">
      <c r="A59" t="s">
        <v>13</v>
      </c>
      <c r="B59">
        <f>'int - 2k'!B59:B66</f>
        <v>1.5183333333333333</v>
      </c>
      <c r="C59">
        <f>'int - 4k'!C59:C66</f>
        <v>2.4543333333333335</v>
      </c>
      <c r="D59">
        <f>'int - 6k'!F59:F66</f>
        <v>3.4996666666666667</v>
      </c>
      <c r="E59">
        <f>'int - 8k'!F59:F66</f>
        <v>4.5083333333333337</v>
      </c>
      <c r="F59">
        <f>'int - 10k'!F59:F66</f>
        <v>14.528666666666666</v>
      </c>
      <c r="G59" t="s">
        <v>17</v>
      </c>
    </row>
    <row r="60" spans="1:7">
      <c r="A60" t="s">
        <v>15</v>
      </c>
      <c r="B60">
        <f>'int - 2k'!B60:B67</f>
        <v>1.9188538245530486E-2</v>
      </c>
      <c r="C60">
        <f>'int - 4k'!C60:C67</f>
        <v>1.7683325479111282E-2</v>
      </c>
      <c r="D60">
        <f>'int - 6k'!F60:F67</f>
        <v>2.5471552759907375E-2</v>
      </c>
      <c r="E60">
        <f>'int - 8k'!F60:F67</f>
        <v>2.3477648945310837E-2</v>
      </c>
      <c r="F60">
        <f>'int - 10k'!F60:F67</f>
        <v>0.67347479537100119</v>
      </c>
    </row>
    <row r="61" spans="1:7">
      <c r="A61" t="s">
        <v>16</v>
      </c>
      <c r="B61">
        <f>'int - 2k'!B61:B68</f>
        <v>1.6819186292923283E-2</v>
      </c>
      <c r="C61">
        <f>'int - 4k'!C61:C68</f>
        <v>1.5499833374793217E-2</v>
      </c>
      <c r="D61">
        <f>'int - 6k'!F61:F68</f>
        <v>2.2326390137544446E-2</v>
      </c>
      <c r="E61">
        <f>'int - 8k'!F61:F68</f>
        <v>2.0578688500308955E-2</v>
      </c>
      <c r="F61">
        <f>'int - 10k'!F61:F68</f>
        <v>0.5903158386528834</v>
      </c>
    </row>
    <row r="63" spans="1:7">
      <c r="A63" t="s">
        <v>6</v>
      </c>
    </row>
    <row r="64" spans="1:7">
      <c r="A64" t="s">
        <v>8</v>
      </c>
      <c r="B64">
        <f>'int - 2k'!B64:B71</f>
        <v>3182</v>
      </c>
      <c r="C64">
        <f>'int - 4k'!C64:C71</f>
        <v>5866</v>
      </c>
      <c r="D64">
        <f>'int - 6k'!F64:F71</f>
        <v>8362</v>
      </c>
      <c r="E64">
        <f>'int - 8k'!F64:F71</f>
        <v>11107</v>
      </c>
      <c r="F64">
        <f>'int - 10k'!F64:F71</f>
        <v>24726</v>
      </c>
    </row>
    <row r="65" spans="1:7">
      <c r="A65" t="s">
        <v>9</v>
      </c>
      <c r="B65">
        <f>'int - 2k'!B65:B72</f>
        <v>3307</v>
      </c>
      <c r="C65">
        <f>'int - 4k'!C65:C72</f>
        <v>6100</v>
      </c>
      <c r="D65">
        <f>'int - 6k'!F65:F72</f>
        <v>8782</v>
      </c>
      <c r="E65">
        <f>'int - 8k'!F65:F72</f>
        <v>11669</v>
      </c>
      <c r="F65">
        <f>'int - 10k'!F65:F72</f>
        <v>24118</v>
      </c>
    </row>
    <row r="66" spans="1:7">
      <c r="A66" t="s">
        <v>10</v>
      </c>
      <c r="B66">
        <f>'int - 2k'!B66:B73</f>
        <v>3323</v>
      </c>
      <c r="C66">
        <f>'int - 4k'!C66:C73</f>
        <v>6100</v>
      </c>
      <c r="D66">
        <f>'int - 6k'!F66:F73</f>
        <v>8783</v>
      </c>
      <c r="E66">
        <f>'int - 8k'!F66:F73</f>
        <v>11669</v>
      </c>
      <c r="F66">
        <f>'int - 10k'!F66:F73</f>
        <v>20312</v>
      </c>
    </row>
    <row r="67" spans="1:7">
      <c r="A67" t="s">
        <v>11</v>
      </c>
      <c r="B67">
        <f>'int - 2k'!B67:B74</f>
        <v>3307</v>
      </c>
      <c r="C67">
        <f>'int - 4k'!C67:C74</f>
        <v>6100</v>
      </c>
      <c r="D67">
        <f>'int - 6k'!F67:F74</f>
        <v>8783</v>
      </c>
      <c r="E67">
        <f>'int - 8k'!F67:F74</f>
        <v>11653</v>
      </c>
      <c r="F67">
        <f>'int - 10k'!F67:F74</f>
        <v>15132</v>
      </c>
    </row>
    <row r="68" spans="1:7">
      <c r="A68" t="s">
        <v>12</v>
      </c>
      <c r="B68">
        <f>'int - 2k'!B68:B74</f>
        <v>3307</v>
      </c>
      <c r="C68">
        <f>'int - 4k'!C68:C75</f>
        <v>6100</v>
      </c>
      <c r="D68">
        <f>'int - 6k'!F68:F75</f>
        <v>14508</v>
      </c>
      <c r="E68">
        <f>'int - 8k'!F68:F75</f>
        <v>11607</v>
      </c>
      <c r="F68">
        <f>'int - 10k'!F68:F75</f>
        <v>14789</v>
      </c>
    </row>
    <row r="69" spans="1:7">
      <c r="A69" t="s">
        <v>13</v>
      </c>
      <c r="B69">
        <f>'int - 2k'!B69:B74</f>
        <v>3.3069999999999999</v>
      </c>
      <c r="C69">
        <f>'int - 4k'!C69:C76</f>
        <v>6.1</v>
      </c>
      <c r="D69">
        <f>'int - 6k'!F69:F76</f>
        <v>8.7826666666666675</v>
      </c>
      <c r="E69">
        <f>'int - 8k'!F69:F76</f>
        <v>11.643000000000001</v>
      </c>
      <c r="F69">
        <f>'int - 10k'!F69:F76</f>
        <v>19.853999999999999</v>
      </c>
      <c r="G69" t="s">
        <v>17</v>
      </c>
    </row>
    <row r="70" spans="1:7">
      <c r="A70" t="s">
        <v>15</v>
      </c>
      <c r="B70">
        <f>'int - 2k'!B70:B74</f>
        <v>5.8105077230817398E-2</v>
      </c>
      <c r="C70">
        <f>'int - 4k'!C70:C77</f>
        <v>0.1046479813470044</v>
      </c>
      <c r="D70">
        <f>'int - 6k'!F70:F77</f>
        <v>2.6138336404599274</v>
      </c>
      <c r="E70">
        <f>'int - 8k'!F70:F77</f>
        <v>0.24393851684389653</v>
      </c>
      <c r="F70">
        <f>'int - 10k'!F70:F77</f>
        <v>4.7453109276421506</v>
      </c>
    </row>
    <row r="71" spans="1:7">
      <c r="A71" t="s">
        <v>16</v>
      </c>
      <c r="B71">
        <f>'int - 2k'!B71:B74</f>
        <v>5.0930409914754546E-2</v>
      </c>
      <c r="C71">
        <f>'int - 4k'!C71:C78</f>
        <v>9.1726314476487006E-2</v>
      </c>
      <c r="D71">
        <f>'int - 6k'!F71:F78</f>
        <v>2.2910841031804705</v>
      </c>
      <c r="E71">
        <f>'int - 8k'!F71:F78</f>
        <v>0.21381760852849541</v>
      </c>
      <c r="F71">
        <f>'int - 10k'!F71:F78</f>
        <v>4.159371990122712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2"/>
  <sheetViews>
    <sheetView topLeftCell="A55" workbookViewId="0">
      <selection activeCell="A73" sqref="A73:XFD73"/>
    </sheetView>
  </sheetViews>
  <sheetFormatPr defaultRowHeight="14.4"/>
  <cols>
    <col min="1" max="1" width="24.109375" customWidth="1"/>
    <col min="2" max="6" width="12.6640625" customWidth="1"/>
    <col min="7" max="7" width="10.6640625" customWidth="1"/>
    <col min="8" max="8" width="18.5546875" bestFit="1" customWidth="1"/>
    <col min="9" max="13" width="29" bestFit="1" customWidth="1"/>
  </cols>
  <sheetData>
    <row r="1" spans="1:7">
      <c r="A1" t="s">
        <v>19</v>
      </c>
      <c r="B1" t="s">
        <v>22</v>
      </c>
    </row>
    <row r="2" spans="1:7">
      <c r="A2" t="s">
        <v>14</v>
      </c>
      <c r="B2">
        <v>10</v>
      </c>
      <c r="C2">
        <v>20</v>
      </c>
      <c r="D2">
        <v>30</v>
      </c>
      <c r="E2">
        <v>40</v>
      </c>
      <c r="F2">
        <v>50</v>
      </c>
    </row>
    <row r="3" spans="1:7">
      <c r="A3" t="s">
        <v>7</v>
      </c>
    </row>
    <row r="4" spans="1:7">
      <c r="A4" t="s">
        <v>8</v>
      </c>
      <c r="B4">
        <v>26395</v>
      </c>
      <c r="C4">
        <v>102884</v>
      </c>
      <c r="D4">
        <v>238202</v>
      </c>
      <c r="E4">
        <v>450797</v>
      </c>
      <c r="F4">
        <v>537315</v>
      </c>
    </row>
    <row r="5" spans="1:7">
      <c r="A5" t="s">
        <v>9</v>
      </c>
      <c r="B5">
        <v>42416</v>
      </c>
      <c r="C5">
        <v>245752</v>
      </c>
      <c r="D5">
        <v>448204</v>
      </c>
      <c r="E5">
        <v>1058308</v>
      </c>
      <c r="F5">
        <v>1021415</v>
      </c>
    </row>
    <row r="6" spans="1:7">
      <c r="A6" t="s">
        <v>10</v>
      </c>
      <c r="B6">
        <v>44615</v>
      </c>
      <c r="C6">
        <v>239897</v>
      </c>
      <c r="D6">
        <v>461433</v>
      </c>
      <c r="E6">
        <v>1045364</v>
      </c>
      <c r="F6">
        <v>1155266</v>
      </c>
    </row>
    <row r="7" spans="1:7">
      <c r="A7" t="s">
        <v>11</v>
      </c>
      <c r="B7">
        <v>42430</v>
      </c>
      <c r="C7">
        <v>237448</v>
      </c>
      <c r="D7">
        <v>452324</v>
      </c>
      <c r="E7">
        <v>1051755</v>
      </c>
      <c r="F7">
        <v>1150273</v>
      </c>
    </row>
    <row r="8" spans="1:7">
      <c r="A8" t="s">
        <v>12</v>
      </c>
      <c r="B8">
        <v>33214</v>
      </c>
      <c r="C8">
        <v>235811</v>
      </c>
      <c r="D8">
        <v>457690</v>
      </c>
      <c r="E8">
        <v>1053058</v>
      </c>
      <c r="F8">
        <v>1168539</v>
      </c>
    </row>
    <row r="9" spans="1:7">
      <c r="A9" t="s">
        <v>13</v>
      </c>
      <c r="B9">
        <f>(SUM(B4:B8) -MAX(B4:B8) -MIN(B4:B8))/((COUNT(B4:B8)-2)*1000)</f>
        <v>39.353333333333332</v>
      </c>
      <c r="C9">
        <f t="shared" ref="C9:F9" si="0">(SUM(C4:C8) -MAX(C4:C8) -MIN(C4:C8))/((COUNT(C4:C8)-2)*1000)</f>
        <v>237.71866666666668</v>
      </c>
      <c r="D9">
        <f t="shared" si="0"/>
        <v>452.73933333333332</v>
      </c>
      <c r="E9">
        <f t="shared" si="0"/>
        <v>1050.059</v>
      </c>
      <c r="F9">
        <f t="shared" si="0"/>
        <v>1108.9846666666667</v>
      </c>
      <c r="G9" t="s">
        <v>17</v>
      </c>
    </row>
    <row r="10" spans="1:7">
      <c r="A10" t="s">
        <v>15</v>
      </c>
      <c r="B10">
        <f>STDEV(B4:B8)/1000</f>
        <v>7.7506938721639624</v>
      </c>
      <c r="C10">
        <f t="shared" ref="C10:F10" si="1">STDEV(C4:C8)/1000</f>
        <v>61.314076159557388</v>
      </c>
      <c r="D10">
        <f t="shared" si="1"/>
        <v>97.047378974395727</v>
      </c>
      <c r="E10">
        <f t="shared" si="1"/>
        <v>268.95986264366667</v>
      </c>
      <c r="F10">
        <f t="shared" si="1"/>
        <v>268.98682044070495</v>
      </c>
    </row>
    <row r="11" spans="1:7">
      <c r="A11" t="s">
        <v>16</v>
      </c>
      <c r="B11">
        <f>CONFIDENCE(0.05,B10,5)</f>
        <v>6.7936578840604982</v>
      </c>
      <c r="C11">
        <f t="shared" ref="C11:F11" si="2">CONFIDENCE(0.05,C10,5)</f>
        <v>53.743169808481248</v>
      </c>
      <c r="D11">
        <f t="shared" si="2"/>
        <v>85.064215174935654</v>
      </c>
      <c r="E11">
        <f t="shared" si="2"/>
        <v>235.74938211755511</v>
      </c>
      <c r="F11">
        <f t="shared" si="2"/>
        <v>235.77301123430345</v>
      </c>
    </row>
    <row r="13" spans="1:7">
      <c r="A13" t="s">
        <v>1</v>
      </c>
    </row>
    <row r="14" spans="1:7">
      <c r="A14" t="s">
        <v>8</v>
      </c>
      <c r="B14">
        <v>12183</v>
      </c>
      <c r="C14">
        <v>17922</v>
      </c>
      <c r="D14">
        <v>32634</v>
      </c>
      <c r="E14">
        <v>44045</v>
      </c>
      <c r="F14">
        <v>97372</v>
      </c>
    </row>
    <row r="15" spans="1:7">
      <c r="A15" t="s">
        <v>9</v>
      </c>
      <c r="B15">
        <v>12090</v>
      </c>
      <c r="C15">
        <v>18971</v>
      </c>
      <c r="D15">
        <v>32509</v>
      </c>
      <c r="E15">
        <v>47363</v>
      </c>
      <c r="F15">
        <v>86831</v>
      </c>
    </row>
    <row r="16" spans="1:7">
      <c r="A16" t="s">
        <v>10</v>
      </c>
      <c r="B16">
        <v>11935</v>
      </c>
      <c r="C16">
        <v>17906</v>
      </c>
      <c r="D16">
        <v>30923</v>
      </c>
      <c r="E16">
        <v>48373</v>
      </c>
      <c r="F16">
        <v>90858</v>
      </c>
    </row>
    <row r="17" spans="1:7">
      <c r="A17" t="s">
        <v>11</v>
      </c>
      <c r="B17">
        <v>11936</v>
      </c>
      <c r="C17">
        <v>18284</v>
      </c>
      <c r="D17">
        <v>31306</v>
      </c>
      <c r="E17">
        <v>48623</v>
      </c>
      <c r="F17">
        <v>86457</v>
      </c>
    </row>
    <row r="18" spans="1:7">
      <c r="A18" t="s">
        <v>12</v>
      </c>
      <c r="B18">
        <v>11869</v>
      </c>
      <c r="C18">
        <v>18203</v>
      </c>
      <c r="D18">
        <v>31434</v>
      </c>
      <c r="E18">
        <v>46986</v>
      </c>
      <c r="F18">
        <v>86691</v>
      </c>
    </row>
    <row r="19" spans="1:7">
      <c r="A19" t="s">
        <v>13</v>
      </c>
      <c r="B19">
        <f t="shared" ref="B19:F19" si="3">(SUM(B14:B18) -MAX(B14:B18) -MIN(B14:B18))/((COUNT(B14:B18)-2)*1000)</f>
        <v>11.987</v>
      </c>
      <c r="C19">
        <f t="shared" si="3"/>
        <v>18.136333333333333</v>
      </c>
      <c r="D19">
        <f t="shared" si="3"/>
        <v>31.749666666666666</v>
      </c>
      <c r="E19">
        <f t="shared" si="3"/>
        <v>47.573999999999998</v>
      </c>
      <c r="F19">
        <f t="shared" si="3"/>
        <v>88.126666666666665</v>
      </c>
      <c r="G19" t="s">
        <v>17</v>
      </c>
    </row>
    <row r="20" spans="1:7">
      <c r="A20" t="s">
        <v>15</v>
      </c>
      <c r="B20">
        <f>STDEV(B14:B18)/1000</f>
        <v>0.1294577151042452</v>
      </c>
      <c r="C20">
        <f t="shared" ref="C20:F20" si="4">STDEV(C14:C18)/1000</f>
        <v>0.43268545156959931</v>
      </c>
      <c r="D20">
        <f t="shared" si="4"/>
        <v>0.76449833224150832</v>
      </c>
      <c r="E20">
        <f t="shared" si="4"/>
        <v>1.8270760794230765</v>
      </c>
      <c r="F20">
        <f t="shared" si="4"/>
        <v>4.6900400531339566</v>
      </c>
    </row>
    <row r="21" spans="1:7">
      <c r="A21" t="s">
        <v>16</v>
      </c>
      <c r="B21">
        <f>CONFIDENCE(0.05,B20,5)</f>
        <v>0.11347260534041229</v>
      </c>
      <c r="C21">
        <f t="shared" ref="C21:F21" si="5">CONFIDENCE(0.05,C20,5)</f>
        <v>0.37925855128031061</v>
      </c>
      <c r="D21">
        <f t="shared" si="5"/>
        <v>0.67010002044288641</v>
      </c>
      <c r="E21">
        <f t="shared" si="5"/>
        <v>1.6014733669626149</v>
      </c>
      <c r="F21">
        <f t="shared" si="5"/>
        <v>4.110925822778901</v>
      </c>
    </row>
    <row r="23" spans="1:7">
      <c r="A23" t="s">
        <v>2</v>
      </c>
    </row>
    <row r="24" spans="1:7">
      <c r="A24" t="s">
        <v>8</v>
      </c>
      <c r="B24">
        <v>12544</v>
      </c>
      <c r="C24">
        <v>19442</v>
      </c>
      <c r="D24">
        <v>34855</v>
      </c>
      <c r="E24">
        <v>49749</v>
      </c>
      <c r="F24">
        <v>97105</v>
      </c>
    </row>
    <row r="25" spans="1:7">
      <c r="A25" t="s">
        <v>9</v>
      </c>
      <c r="B25">
        <v>12357</v>
      </c>
      <c r="C25">
        <v>19234</v>
      </c>
      <c r="D25">
        <v>32514</v>
      </c>
      <c r="E25">
        <v>46117</v>
      </c>
      <c r="F25">
        <v>93741</v>
      </c>
    </row>
    <row r="26" spans="1:7">
      <c r="A26" t="s">
        <v>10</v>
      </c>
      <c r="B26">
        <v>12248</v>
      </c>
      <c r="C26">
        <v>19457</v>
      </c>
      <c r="D26">
        <v>32798</v>
      </c>
      <c r="E26">
        <v>46756</v>
      </c>
      <c r="F26">
        <v>94054</v>
      </c>
    </row>
    <row r="27" spans="1:7">
      <c r="A27" t="s">
        <v>11</v>
      </c>
      <c r="B27">
        <v>12306</v>
      </c>
      <c r="C27">
        <v>19517</v>
      </c>
      <c r="D27">
        <v>32883</v>
      </c>
      <c r="E27">
        <v>51059</v>
      </c>
      <c r="F27">
        <v>93430</v>
      </c>
    </row>
    <row r="28" spans="1:7">
      <c r="A28" t="s">
        <v>12</v>
      </c>
      <c r="B28">
        <v>12263</v>
      </c>
      <c r="C28">
        <v>19828</v>
      </c>
      <c r="D28">
        <v>35753</v>
      </c>
      <c r="E28">
        <v>48489</v>
      </c>
      <c r="F28">
        <v>95679</v>
      </c>
    </row>
    <row r="29" spans="1:7">
      <c r="A29" t="s">
        <v>13</v>
      </c>
      <c r="B29">
        <f t="shared" ref="B29:F29" si="6">(SUM(B24:B28) -MAX(B24:B28) -MIN(B24:B28))/((COUNT(B24:B28)-2)*1000)</f>
        <v>12.308666666666667</v>
      </c>
      <c r="C29">
        <f t="shared" si="6"/>
        <v>19.472000000000001</v>
      </c>
      <c r="D29">
        <f t="shared" si="6"/>
        <v>33.512</v>
      </c>
      <c r="E29">
        <f t="shared" si="6"/>
        <v>48.331333333333333</v>
      </c>
      <c r="F29">
        <f t="shared" si="6"/>
        <v>94.49133333333333</v>
      </c>
      <c r="G29" t="s">
        <v>17</v>
      </c>
    </row>
    <row r="30" spans="1:7">
      <c r="A30" t="s">
        <v>15</v>
      </c>
      <c r="B30">
        <f>STDEV(B24:B28)/1000</f>
        <v>0.11978021539474673</v>
      </c>
      <c r="C30">
        <f t="shared" ref="C30:F30" si="7">STDEV(C24:C28)/1000</f>
        <v>0.21432755305842485</v>
      </c>
      <c r="D30">
        <f t="shared" si="7"/>
        <v>1.4507033811223962</v>
      </c>
      <c r="E30">
        <f t="shared" si="7"/>
        <v>2.0498199920968667</v>
      </c>
      <c r="F30">
        <f t="shared" si="7"/>
        <v>1.5524614971073398</v>
      </c>
    </row>
    <row r="31" spans="1:7">
      <c r="A31" t="s">
        <v>16</v>
      </c>
      <c r="B31">
        <f>CONFIDENCE(0.05,B30,5)</f>
        <v>0.10499005870861357</v>
      </c>
      <c r="C31">
        <f t="shared" ref="C31:F31" si="8">CONFIDENCE(0.05,C30,5)</f>
        <v>0.18786293132233262</v>
      </c>
      <c r="D31">
        <f t="shared" si="8"/>
        <v>1.2715742132444394</v>
      </c>
      <c r="E31">
        <f t="shared" si="8"/>
        <v>1.7967134271974139</v>
      </c>
      <c r="F31">
        <f t="shared" si="8"/>
        <v>1.3607674955918487</v>
      </c>
    </row>
    <row r="33" spans="1:7">
      <c r="A33" t="s">
        <v>3</v>
      </c>
    </row>
    <row r="34" spans="1:7">
      <c r="A34" t="s">
        <v>8</v>
      </c>
      <c r="B34">
        <v>22152</v>
      </c>
      <c r="C34">
        <v>24274</v>
      </c>
      <c r="D34">
        <v>38034</v>
      </c>
      <c r="E34">
        <v>56315</v>
      </c>
      <c r="F34">
        <v>115466</v>
      </c>
    </row>
    <row r="35" spans="1:7">
      <c r="A35" t="s">
        <v>9</v>
      </c>
      <c r="B35">
        <v>13869</v>
      </c>
      <c r="C35">
        <v>25680</v>
      </c>
      <c r="D35">
        <v>40409</v>
      </c>
      <c r="E35">
        <v>58316</v>
      </c>
      <c r="F35">
        <v>117377</v>
      </c>
    </row>
    <row r="36" spans="1:7">
      <c r="A36" t="s">
        <v>10</v>
      </c>
      <c r="B36">
        <v>13510</v>
      </c>
      <c r="C36">
        <v>25023</v>
      </c>
      <c r="D36">
        <v>43709</v>
      </c>
      <c r="E36">
        <v>60559</v>
      </c>
      <c r="F36">
        <v>122368</v>
      </c>
    </row>
    <row r="37" spans="1:7">
      <c r="A37" t="s">
        <v>11</v>
      </c>
      <c r="B37">
        <v>13647</v>
      </c>
      <c r="C37">
        <v>25601</v>
      </c>
      <c r="D37">
        <v>43401</v>
      </c>
      <c r="E37">
        <v>59140</v>
      </c>
      <c r="F37">
        <v>118748</v>
      </c>
    </row>
    <row r="38" spans="1:7">
      <c r="A38" t="s">
        <v>12</v>
      </c>
      <c r="B38">
        <v>13508</v>
      </c>
      <c r="C38">
        <v>25025</v>
      </c>
      <c r="D38">
        <v>41250</v>
      </c>
      <c r="E38">
        <v>57160</v>
      </c>
      <c r="F38">
        <v>117612</v>
      </c>
    </row>
    <row r="39" spans="1:7">
      <c r="A39" t="s">
        <v>13</v>
      </c>
      <c r="B39">
        <f t="shared" ref="B39:F39" si="9">(SUM(B34:B38) -MAX(B34:B38) -MIN(B34:B38))/((COUNT(B34:B38)-2)*1000)</f>
        <v>13.675333333333333</v>
      </c>
      <c r="C39">
        <f t="shared" si="9"/>
        <v>25.216333333333335</v>
      </c>
      <c r="D39">
        <f t="shared" si="9"/>
        <v>41.686666666666667</v>
      </c>
      <c r="E39">
        <f t="shared" si="9"/>
        <v>58.205333333333336</v>
      </c>
      <c r="F39">
        <f t="shared" si="9"/>
        <v>117.91233333333334</v>
      </c>
      <c r="G39" t="s">
        <v>17</v>
      </c>
    </row>
    <row r="40" spans="1:7">
      <c r="A40" t="s">
        <v>15</v>
      </c>
      <c r="B40">
        <f>STDEV(B34:B38)/1000</f>
        <v>3.8124309436368793</v>
      </c>
      <c r="C40">
        <f t="shared" ref="C40:F40" si="10">STDEV(C34:C38)/1000</f>
        <v>0.56548854983982855</v>
      </c>
      <c r="D40">
        <f t="shared" si="10"/>
        <v>2.3271365022275665</v>
      </c>
      <c r="E40">
        <f t="shared" si="10"/>
        <v>1.6619824006288393</v>
      </c>
      <c r="F40">
        <f t="shared" si="10"/>
        <v>2.5546598990865226</v>
      </c>
    </row>
    <row r="41" spans="1:7">
      <c r="A41" t="s">
        <v>16</v>
      </c>
      <c r="B41">
        <f>CONFIDENCE(0.05,B40,5)</f>
        <v>3.3416816564893712</v>
      </c>
      <c r="C41">
        <f t="shared" ref="C41:F41" si="11">CONFIDENCE(0.05,C40,5)</f>
        <v>0.49566346037257336</v>
      </c>
      <c r="D41">
        <f t="shared" si="11"/>
        <v>2.0397875992010062</v>
      </c>
      <c r="E41">
        <f t="shared" si="11"/>
        <v>1.4567650361927562</v>
      </c>
      <c r="F41">
        <f t="shared" si="11"/>
        <v>2.2392169850564319</v>
      </c>
    </row>
    <row r="43" spans="1:7">
      <c r="A43" t="s">
        <v>4</v>
      </c>
    </row>
    <row r="44" spans="1:7">
      <c r="A44" t="s">
        <v>8</v>
      </c>
      <c r="B44">
        <v>11979</v>
      </c>
      <c r="C44">
        <v>51901</v>
      </c>
      <c r="D44">
        <v>95413</v>
      </c>
      <c r="E44">
        <v>119685</v>
      </c>
      <c r="F44">
        <v>178949</v>
      </c>
    </row>
    <row r="45" spans="1:7">
      <c r="A45" t="s">
        <v>9</v>
      </c>
      <c r="B45">
        <v>11622</v>
      </c>
      <c r="C45">
        <v>51647</v>
      </c>
      <c r="D45">
        <v>96157</v>
      </c>
      <c r="E45">
        <v>123051</v>
      </c>
      <c r="F45">
        <v>182706</v>
      </c>
    </row>
    <row r="46" spans="1:7">
      <c r="A46" t="s">
        <v>10</v>
      </c>
      <c r="B46">
        <v>11591</v>
      </c>
      <c r="C46">
        <v>51386</v>
      </c>
      <c r="D46">
        <v>94588</v>
      </c>
      <c r="E46">
        <v>123537</v>
      </c>
      <c r="F46">
        <v>180882</v>
      </c>
    </row>
    <row r="47" spans="1:7">
      <c r="A47" t="s">
        <v>11</v>
      </c>
      <c r="B47">
        <v>11608</v>
      </c>
      <c r="C47">
        <v>51715</v>
      </c>
      <c r="D47">
        <v>94455</v>
      </c>
      <c r="E47">
        <v>121386</v>
      </c>
      <c r="F47">
        <v>198324</v>
      </c>
    </row>
    <row r="48" spans="1:7">
      <c r="A48" t="s">
        <v>12</v>
      </c>
      <c r="B48">
        <v>11626</v>
      </c>
      <c r="C48">
        <v>51140</v>
      </c>
      <c r="D48">
        <v>94362</v>
      </c>
      <c r="E48">
        <v>121799</v>
      </c>
      <c r="F48">
        <v>189496</v>
      </c>
    </row>
    <row r="49" spans="1:7">
      <c r="A49" t="s">
        <v>13</v>
      </c>
      <c r="B49">
        <f t="shared" ref="B49:F49" si="12">(SUM(B44:B48) -MAX(B44:B48) -MIN(B44:B48))/((COUNT(B44:B48)-2)*1000)</f>
        <v>11.618666666666666</v>
      </c>
      <c r="C49">
        <f t="shared" si="12"/>
        <v>51.582666666666668</v>
      </c>
      <c r="D49">
        <f t="shared" si="12"/>
        <v>94.818666666666672</v>
      </c>
      <c r="E49">
        <f t="shared" si="12"/>
        <v>122.07866666666666</v>
      </c>
      <c r="F49">
        <f t="shared" si="12"/>
        <v>184.36133333333333</v>
      </c>
      <c r="G49" t="s">
        <v>17</v>
      </c>
    </row>
    <row r="50" spans="1:7">
      <c r="A50" t="s">
        <v>15</v>
      </c>
      <c r="B50">
        <f>STDEV(B44:B48)/1000</f>
        <v>0.16481110399481</v>
      </c>
      <c r="C50">
        <f t="shared" ref="C50:F50" si="13">STDEV(C44:C48)/1000</f>
        <v>0.29771076567670385</v>
      </c>
      <c r="D50">
        <f t="shared" si="13"/>
        <v>0.77183320737060801</v>
      </c>
      <c r="E50">
        <f t="shared" si="13"/>
        <v>1.5153249816455998</v>
      </c>
      <c r="F50">
        <f t="shared" si="13"/>
        <v>7.918940320522883</v>
      </c>
    </row>
    <row r="51" spans="1:7">
      <c r="A51" t="s">
        <v>16</v>
      </c>
      <c r="B51">
        <f>CONFIDENCE(0.05,B50,5)</f>
        <v>0.14446064758876204</v>
      </c>
      <c r="C51">
        <f t="shared" ref="C51:F51" si="14">CONFIDENCE(0.05,C50,5)</f>
        <v>0.26095019668794378</v>
      </c>
      <c r="D51">
        <f t="shared" si="14"/>
        <v>0.6765292038258568</v>
      </c>
      <c r="E51">
        <f t="shared" si="14"/>
        <v>1.328216502711163</v>
      </c>
      <c r="F51">
        <f t="shared" si="14"/>
        <v>6.9411296884190463</v>
      </c>
    </row>
    <row r="53" spans="1:7">
      <c r="A53" t="s">
        <v>5</v>
      </c>
    </row>
    <row r="54" spans="1:7">
      <c r="A54" t="s">
        <v>8</v>
      </c>
      <c r="B54">
        <v>12525</v>
      </c>
      <c r="C54">
        <v>72742</v>
      </c>
      <c r="D54">
        <v>134115</v>
      </c>
      <c r="E54">
        <v>185689</v>
      </c>
      <c r="F54">
        <v>303466</v>
      </c>
    </row>
    <row r="55" spans="1:7">
      <c r="A55" t="s">
        <v>9</v>
      </c>
      <c r="B55">
        <v>12526</v>
      </c>
      <c r="C55">
        <v>73837</v>
      </c>
      <c r="D55">
        <v>146541</v>
      </c>
      <c r="E55">
        <v>204672</v>
      </c>
      <c r="F55">
        <v>301865</v>
      </c>
    </row>
    <row r="56" spans="1:7">
      <c r="A56" t="s">
        <v>10</v>
      </c>
      <c r="B56">
        <v>12356</v>
      </c>
      <c r="C56">
        <v>73301</v>
      </c>
      <c r="D56">
        <v>147340</v>
      </c>
      <c r="E56">
        <v>208743</v>
      </c>
      <c r="F56">
        <v>294512</v>
      </c>
    </row>
    <row r="57" spans="1:7">
      <c r="A57" t="s">
        <v>11</v>
      </c>
      <c r="B57">
        <v>12279</v>
      </c>
      <c r="C57">
        <v>74585</v>
      </c>
      <c r="D57">
        <v>148687</v>
      </c>
      <c r="E57">
        <v>203739</v>
      </c>
      <c r="F57">
        <v>297370</v>
      </c>
    </row>
    <row r="58" spans="1:7">
      <c r="A58" t="s">
        <v>12</v>
      </c>
      <c r="B58">
        <v>12246</v>
      </c>
      <c r="C58">
        <v>73630</v>
      </c>
      <c r="D58">
        <v>148916</v>
      </c>
      <c r="E58">
        <v>219960</v>
      </c>
      <c r="F58">
        <v>289365</v>
      </c>
    </row>
    <row r="59" spans="1:7">
      <c r="A59" t="s">
        <v>13</v>
      </c>
      <c r="B59">
        <f t="shared" ref="B59:F59" si="15">(SUM(B54:B58) -MAX(B54:B58) -MIN(B54:B58))/((COUNT(B54:B58)-2)*1000)</f>
        <v>12.386666666666667</v>
      </c>
      <c r="C59">
        <f t="shared" si="15"/>
        <v>73.589333333333329</v>
      </c>
      <c r="D59">
        <f t="shared" si="15"/>
        <v>147.52266666666668</v>
      </c>
      <c r="E59">
        <f t="shared" si="15"/>
        <v>205.71799999999999</v>
      </c>
      <c r="F59">
        <f t="shared" si="15"/>
        <v>297.91566666666665</v>
      </c>
      <c r="G59" t="s">
        <v>17</v>
      </c>
    </row>
    <row r="60" spans="1:7">
      <c r="A60" t="s">
        <v>15</v>
      </c>
      <c r="B60">
        <f>STDEV(B54:B58)/1000</f>
        <v>0.13310634845871147</v>
      </c>
      <c r="C60">
        <f t="shared" ref="C60:F60" si="16">STDEV(C54:C58)/1000</f>
        <v>0.68026722690425112</v>
      </c>
      <c r="D60">
        <f t="shared" si="16"/>
        <v>6.228779390859879</v>
      </c>
      <c r="E60">
        <f t="shared" si="16"/>
        <v>12.363845611297606</v>
      </c>
      <c r="F60">
        <f t="shared" si="16"/>
        <v>5.6920917332737222</v>
      </c>
    </row>
    <row r="61" spans="1:7">
      <c r="A61" t="s">
        <v>16</v>
      </c>
      <c r="B61">
        <f>CONFIDENCE(0.05,B60,5)</f>
        <v>0.11667071471790152</v>
      </c>
      <c r="C61">
        <f t="shared" ref="C61:F61" si="17">CONFIDENCE(0.05,C60,5)</f>
        <v>0.59626955799710002</v>
      </c>
      <c r="D61">
        <f t="shared" si="17"/>
        <v>5.4596655363675533</v>
      </c>
      <c r="E61">
        <f t="shared" si="17"/>
        <v>10.837189366511195</v>
      </c>
      <c r="F61">
        <f t="shared" si="17"/>
        <v>4.9892467072440407</v>
      </c>
    </row>
    <row r="63" spans="1:7">
      <c r="A63" t="s">
        <v>6</v>
      </c>
    </row>
    <row r="64" spans="1:7">
      <c r="A64" t="s">
        <v>8</v>
      </c>
      <c r="B64">
        <v>19421</v>
      </c>
      <c r="C64">
        <v>197906</v>
      </c>
      <c r="D64">
        <v>309084</v>
      </c>
      <c r="E64">
        <v>628637</v>
      </c>
      <c r="F64">
        <v>827525</v>
      </c>
    </row>
    <row r="65" spans="1:8">
      <c r="A65" t="s">
        <v>9</v>
      </c>
      <c r="B65">
        <v>19498</v>
      </c>
      <c r="C65">
        <v>243346</v>
      </c>
      <c r="D65">
        <v>337557</v>
      </c>
      <c r="E65">
        <v>693315</v>
      </c>
      <c r="F65">
        <v>887678</v>
      </c>
    </row>
    <row r="66" spans="1:8">
      <c r="A66" t="s">
        <v>10</v>
      </c>
      <c r="B66">
        <v>19407</v>
      </c>
      <c r="C66">
        <v>215374</v>
      </c>
      <c r="D66">
        <v>350427</v>
      </c>
      <c r="E66">
        <v>780209</v>
      </c>
      <c r="F66">
        <v>894515</v>
      </c>
    </row>
    <row r="67" spans="1:8">
      <c r="A67" t="s">
        <v>11</v>
      </c>
      <c r="B67">
        <v>19173</v>
      </c>
      <c r="C67">
        <v>218285</v>
      </c>
      <c r="D67">
        <v>322145</v>
      </c>
      <c r="E67">
        <v>699333</v>
      </c>
      <c r="F67">
        <v>901985</v>
      </c>
    </row>
    <row r="68" spans="1:8">
      <c r="A68" t="s">
        <v>12</v>
      </c>
      <c r="B68">
        <v>19733</v>
      </c>
      <c r="C68">
        <v>225237</v>
      </c>
      <c r="D68">
        <v>319892</v>
      </c>
      <c r="E68">
        <v>703909</v>
      </c>
      <c r="F68">
        <v>902041</v>
      </c>
    </row>
    <row r="69" spans="1:8">
      <c r="A69" t="s">
        <v>13</v>
      </c>
      <c r="B69">
        <f t="shared" ref="B69:F69" si="18">(SUM(B64:B68) -MAX(B64:B68) -MIN(B64:B68))/((COUNT(B64:B68)-2)*1000)</f>
        <v>19.442</v>
      </c>
      <c r="C69">
        <f t="shared" si="18"/>
        <v>219.63200000000001</v>
      </c>
      <c r="D69">
        <f t="shared" si="18"/>
        <v>326.53133333333335</v>
      </c>
      <c r="E69">
        <f t="shared" si="18"/>
        <v>698.85233333333338</v>
      </c>
      <c r="F69">
        <f t="shared" si="18"/>
        <v>894.726</v>
      </c>
      <c r="G69" t="s">
        <v>17</v>
      </c>
    </row>
    <row r="70" spans="1:8">
      <c r="A70" t="s">
        <v>15</v>
      </c>
      <c r="B70">
        <f>STDEV(B64:B68)/1000</f>
        <v>0.20108903500691408</v>
      </c>
      <c r="C70">
        <f t="shared" ref="C70:F70" si="19">STDEV(C64:C68)/1000</f>
        <v>16.469239821558343</v>
      </c>
      <c r="D70">
        <f t="shared" si="19"/>
        <v>16.217136908221502</v>
      </c>
      <c r="E70">
        <f t="shared" si="19"/>
        <v>53.806917220744481</v>
      </c>
      <c r="F70">
        <f t="shared" si="19"/>
        <v>31.442920239697063</v>
      </c>
    </row>
    <row r="71" spans="1:8">
      <c r="A71" t="s">
        <v>16</v>
      </c>
      <c r="B71">
        <f>CONFIDENCE(0.05,B70,5)</f>
        <v>0.17625907184635345</v>
      </c>
      <c r="C71">
        <f t="shared" ref="C71:F71" si="20">CONFIDENCE(0.05,C70,5)</f>
        <v>14.435659929757325</v>
      </c>
      <c r="D71">
        <f t="shared" si="20"/>
        <v>14.214686043672559</v>
      </c>
      <c r="E71">
        <f t="shared" si="20"/>
        <v>47.162975782920768</v>
      </c>
      <c r="F71">
        <f t="shared" si="20"/>
        <v>27.560428331646087</v>
      </c>
    </row>
    <row r="73" spans="1:8">
      <c r="A73" s="1" t="s">
        <v>33</v>
      </c>
    </row>
    <row r="74" spans="1:8">
      <c r="A74" t="s">
        <v>27</v>
      </c>
    </row>
    <row r="75" spans="1:8">
      <c r="A75" t="s">
        <v>8</v>
      </c>
    </row>
    <row r="76" spans="1:8">
      <c r="A76" t="s">
        <v>9</v>
      </c>
    </row>
    <row r="77" spans="1:8">
      <c r="A77" t="s">
        <v>10</v>
      </c>
    </row>
    <row r="78" spans="1:8">
      <c r="A78" t="s">
        <v>11</v>
      </c>
    </row>
    <row r="79" spans="1:8">
      <c r="A79" t="s">
        <v>12</v>
      </c>
    </row>
    <row r="80" spans="1:8">
      <c r="A80" t="s">
        <v>13</v>
      </c>
      <c r="B80">
        <f t="shared" ref="B80:H80" si="21">(SUM(B75:B79) -MAX(B75:B79) -MIN(B75:B79))/((COUNT(B75:B79)-2)*1000)</f>
        <v>0</v>
      </c>
      <c r="C80">
        <f t="shared" si="21"/>
        <v>0</v>
      </c>
      <c r="D80">
        <f t="shared" si="21"/>
        <v>0</v>
      </c>
      <c r="E80">
        <f t="shared" si="21"/>
        <v>0</v>
      </c>
      <c r="F80">
        <f t="shared" si="21"/>
        <v>0</v>
      </c>
      <c r="G80">
        <f t="shared" si="21"/>
        <v>0</v>
      </c>
      <c r="H80">
        <f t="shared" si="21"/>
        <v>0</v>
      </c>
    </row>
    <row r="81" spans="1:8">
      <c r="A81" t="s">
        <v>15</v>
      </c>
      <c r="B81" t="e">
        <f>STDEV(B75:B79)/1000</f>
        <v>#DIV/0!</v>
      </c>
      <c r="C81" t="e">
        <f t="shared" ref="C81:H81" si="22">STDEV(C75:C79)/1000</f>
        <v>#DIV/0!</v>
      </c>
      <c r="D81" t="e">
        <f t="shared" si="22"/>
        <v>#DIV/0!</v>
      </c>
      <c r="E81" t="e">
        <f t="shared" si="22"/>
        <v>#DIV/0!</v>
      </c>
      <c r="F81" t="e">
        <f t="shared" si="22"/>
        <v>#DIV/0!</v>
      </c>
      <c r="G81" t="e">
        <f t="shared" si="22"/>
        <v>#DIV/0!</v>
      </c>
      <c r="H81" t="e">
        <f t="shared" si="22"/>
        <v>#DIV/0!</v>
      </c>
    </row>
    <row r="82" spans="1:8">
      <c r="A82" t="s">
        <v>16</v>
      </c>
      <c r="B82" t="e">
        <f>CONFIDENCE(0.05,B81,5)</f>
        <v>#DIV/0!</v>
      </c>
      <c r="C82" t="e">
        <f t="shared" ref="C82:H82" si="23">CONFIDENCE(0.05,C81,5)</f>
        <v>#DIV/0!</v>
      </c>
      <c r="D82" t="e">
        <f t="shared" si="23"/>
        <v>#DIV/0!</v>
      </c>
      <c r="E82" t="e">
        <f t="shared" si="23"/>
        <v>#DIV/0!</v>
      </c>
      <c r="F82" t="e">
        <f t="shared" si="23"/>
        <v>#DIV/0!</v>
      </c>
      <c r="G82" t="e">
        <f t="shared" si="23"/>
        <v>#DIV/0!</v>
      </c>
      <c r="H82" t="e">
        <f t="shared" si="23"/>
        <v>#DIV/0!</v>
      </c>
    </row>
    <row r="84" spans="1:8">
      <c r="A84" t="s">
        <v>28</v>
      </c>
    </row>
    <row r="85" spans="1:8">
      <c r="A85" t="s">
        <v>8</v>
      </c>
    </row>
    <row r="86" spans="1:8">
      <c r="A86" t="s">
        <v>9</v>
      </c>
    </row>
    <row r="87" spans="1:8">
      <c r="A87" t="s">
        <v>10</v>
      </c>
    </row>
    <row r="88" spans="1:8">
      <c r="A88" t="s">
        <v>11</v>
      </c>
    </row>
    <row r="89" spans="1:8">
      <c r="A89" t="s">
        <v>12</v>
      </c>
    </row>
    <row r="90" spans="1:8">
      <c r="A90" t="s">
        <v>13</v>
      </c>
      <c r="B90">
        <f>(SUM(B85:B89) -MAX(B85:B89) -MIN(B85:B89))/((COUNT(B85:B89)-2)*1000)</f>
        <v>0</v>
      </c>
      <c r="C90">
        <f t="shared" ref="C90:H90" si="24">(SUM(C85:C89) -MAX(C85:C89) -MIN(C85:C89))/((COUNT(C85:C89)-2)*1000)</f>
        <v>0</v>
      </c>
      <c r="D90">
        <f t="shared" si="24"/>
        <v>0</v>
      </c>
      <c r="E90">
        <f t="shared" si="24"/>
        <v>0</v>
      </c>
      <c r="F90">
        <f t="shared" si="24"/>
        <v>0</v>
      </c>
      <c r="G90">
        <f t="shared" si="24"/>
        <v>0</v>
      </c>
      <c r="H90">
        <f t="shared" si="24"/>
        <v>0</v>
      </c>
    </row>
    <row r="91" spans="1:8">
      <c r="A91" t="s">
        <v>15</v>
      </c>
      <c r="B91" t="e">
        <f>STDEV(B85:B89)/1000</f>
        <v>#DIV/0!</v>
      </c>
      <c r="C91" t="e">
        <f t="shared" ref="C91:H91" si="25">STDEV(C85:C89)/1000</f>
        <v>#DIV/0!</v>
      </c>
      <c r="D91" t="e">
        <f t="shared" si="25"/>
        <v>#DIV/0!</v>
      </c>
      <c r="E91" t="e">
        <f t="shared" si="25"/>
        <v>#DIV/0!</v>
      </c>
      <c r="F91" t="e">
        <f t="shared" si="25"/>
        <v>#DIV/0!</v>
      </c>
      <c r="G91" t="e">
        <f t="shared" si="25"/>
        <v>#DIV/0!</v>
      </c>
      <c r="H91" t="e">
        <f t="shared" si="25"/>
        <v>#DIV/0!</v>
      </c>
    </row>
    <row r="92" spans="1:8">
      <c r="A92" t="s">
        <v>16</v>
      </c>
      <c r="B92" t="e">
        <f>CONFIDENCE(0.05,B91,5)</f>
        <v>#DIV/0!</v>
      </c>
      <c r="C92" t="e">
        <f t="shared" ref="C92:H92" si="26">CONFIDENCE(0.05,C91,5)</f>
        <v>#DIV/0!</v>
      </c>
      <c r="D92" t="e">
        <f t="shared" si="26"/>
        <v>#DIV/0!</v>
      </c>
      <c r="E92" t="e">
        <f t="shared" si="26"/>
        <v>#DIV/0!</v>
      </c>
      <c r="F92" t="e">
        <f t="shared" si="26"/>
        <v>#DIV/0!</v>
      </c>
      <c r="G92" t="e">
        <f t="shared" si="26"/>
        <v>#DIV/0!</v>
      </c>
      <c r="H92" t="e">
        <f t="shared" si="26"/>
        <v>#DIV/0!</v>
      </c>
    </row>
    <row r="94" spans="1:8">
      <c r="A94" t="s">
        <v>29</v>
      </c>
    </row>
    <row r="95" spans="1:8">
      <c r="A95" t="s">
        <v>8</v>
      </c>
    </row>
    <row r="96" spans="1:8">
      <c r="A96" t="s">
        <v>9</v>
      </c>
    </row>
    <row r="97" spans="1:8">
      <c r="A97" t="s">
        <v>10</v>
      </c>
    </row>
    <row r="98" spans="1:8">
      <c r="A98" t="s">
        <v>11</v>
      </c>
    </row>
    <row r="99" spans="1:8">
      <c r="A99" t="s">
        <v>12</v>
      </c>
    </row>
    <row r="100" spans="1:8">
      <c r="A100" t="s">
        <v>13</v>
      </c>
      <c r="B100">
        <f t="shared" ref="B100:H100" si="27">(SUM(B95:B99) -MAX(B95:B99) -MIN(B95:B99))/((COUNT(B95:B99)-2)*1000)</f>
        <v>0</v>
      </c>
      <c r="C100">
        <f t="shared" si="27"/>
        <v>0</v>
      </c>
      <c r="D100">
        <f t="shared" si="27"/>
        <v>0</v>
      </c>
      <c r="E100">
        <f t="shared" si="27"/>
        <v>0</v>
      </c>
      <c r="F100">
        <f t="shared" si="27"/>
        <v>0</v>
      </c>
      <c r="G100">
        <f t="shared" si="27"/>
        <v>0</v>
      </c>
      <c r="H100">
        <f t="shared" si="27"/>
        <v>0</v>
      </c>
    </row>
    <row r="101" spans="1:8">
      <c r="A101" t="s">
        <v>15</v>
      </c>
      <c r="B101" t="e">
        <f>STDEV(B95:B99)/1000</f>
        <v>#DIV/0!</v>
      </c>
      <c r="C101" t="e">
        <f t="shared" ref="C101:H101" si="28">STDEV(C95:C99)/1000</f>
        <v>#DIV/0!</v>
      </c>
      <c r="D101" t="e">
        <f t="shared" si="28"/>
        <v>#DIV/0!</v>
      </c>
      <c r="E101" t="e">
        <f t="shared" si="28"/>
        <v>#DIV/0!</v>
      </c>
      <c r="F101" t="e">
        <f t="shared" si="28"/>
        <v>#DIV/0!</v>
      </c>
      <c r="G101" t="e">
        <f t="shared" si="28"/>
        <v>#DIV/0!</v>
      </c>
      <c r="H101" t="e">
        <f t="shared" si="28"/>
        <v>#DIV/0!</v>
      </c>
    </row>
    <row r="102" spans="1:8">
      <c r="A102" t="s">
        <v>16</v>
      </c>
      <c r="B102" t="e">
        <f>CONFIDENCE(0.05,B101,5)</f>
        <v>#DIV/0!</v>
      </c>
      <c r="C102" t="e">
        <f t="shared" ref="C102:H102" si="29">CONFIDENCE(0.05,C101,5)</f>
        <v>#DIV/0!</v>
      </c>
      <c r="D102" t="e">
        <f t="shared" si="29"/>
        <v>#DIV/0!</v>
      </c>
      <c r="E102" t="e">
        <f t="shared" si="29"/>
        <v>#DIV/0!</v>
      </c>
      <c r="F102" t="e">
        <f t="shared" si="29"/>
        <v>#DIV/0!</v>
      </c>
      <c r="G102" t="e">
        <f t="shared" si="29"/>
        <v>#DIV/0!</v>
      </c>
      <c r="H102" t="e">
        <f t="shared" si="29"/>
        <v>#DIV/0!</v>
      </c>
    </row>
    <row r="104" spans="1:8">
      <c r="A104" t="s">
        <v>30</v>
      </c>
    </row>
    <row r="105" spans="1:8">
      <c r="A105" t="s">
        <v>8</v>
      </c>
    </row>
    <row r="106" spans="1:8">
      <c r="A106" t="s">
        <v>9</v>
      </c>
    </row>
    <row r="107" spans="1:8">
      <c r="A107" t="s">
        <v>10</v>
      </c>
    </row>
    <row r="108" spans="1:8">
      <c r="A108" t="s">
        <v>11</v>
      </c>
    </row>
    <row r="109" spans="1:8">
      <c r="A109" t="s">
        <v>12</v>
      </c>
    </row>
    <row r="110" spans="1:8">
      <c r="A110" t="s">
        <v>13</v>
      </c>
      <c r="B110">
        <f t="shared" ref="B110:H110" si="30">(SUM(B105:B109) -MAX(B105:B109) -MIN(B105:B109))/((COUNT(B105:B109)-2)*1000)</f>
        <v>0</v>
      </c>
      <c r="C110">
        <f t="shared" si="30"/>
        <v>0</v>
      </c>
      <c r="D110">
        <f t="shared" si="30"/>
        <v>0</v>
      </c>
      <c r="E110">
        <f t="shared" si="30"/>
        <v>0</v>
      </c>
      <c r="F110">
        <f t="shared" si="30"/>
        <v>0</v>
      </c>
      <c r="G110">
        <f t="shared" si="30"/>
        <v>0</v>
      </c>
      <c r="H110">
        <f t="shared" si="30"/>
        <v>0</v>
      </c>
    </row>
    <row r="111" spans="1:8">
      <c r="A111" t="s">
        <v>15</v>
      </c>
      <c r="B111" t="e">
        <f>STDEV(B105:B109)/1000</f>
        <v>#DIV/0!</v>
      </c>
      <c r="C111" t="e">
        <f t="shared" ref="C111:H111" si="31">STDEV(C105:C109)/1000</f>
        <v>#DIV/0!</v>
      </c>
      <c r="D111" t="e">
        <f t="shared" si="31"/>
        <v>#DIV/0!</v>
      </c>
      <c r="E111" t="e">
        <f t="shared" si="31"/>
        <v>#DIV/0!</v>
      </c>
      <c r="F111" t="e">
        <f t="shared" si="31"/>
        <v>#DIV/0!</v>
      </c>
      <c r="G111" t="e">
        <f t="shared" si="31"/>
        <v>#DIV/0!</v>
      </c>
      <c r="H111" t="e">
        <f t="shared" si="31"/>
        <v>#DIV/0!</v>
      </c>
    </row>
    <row r="112" spans="1:8">
      <c r="A112" t="s">
        <v>16</v>
      </c>
      <c r="B112" t="e">
        <f>CONFIDENCE(0.05,B111,5)</f>
        <v>#DIV/0!</v>
      </c>
      <c r="C112" t="e">
        <f t="shared" ref="C112:H112" si="32">CONFIDENCE(0.05,C111,5)</f>
        <v>#DIV/0!</v>
      </c>
      <c r="D112" t="e">
        <f t="shared" si="32"/>
        <v>#DIV/0!</v>
      </c>
      <c r="E112" t="e">
        <f t="shared" si="32"/>
        <v>#DIV/0!</v>
      </c>
      <c r="F112" t="e">
        <f t="shared" si="32"/>
        <v>#DIV/0!</v>
      </c>
      <c r="G112" t="e">
        <f t="shared" si="32"/>
        <v>#DIV/0!</v>
      </c>
      <c r="H112" t="e">
        <f t="shared" si="32"/>
        <v>#DIV/0!</v>
      </c>
    </row>
    <row r="114" spans="1:8">
      <c r="A114" t="s">
        <v>31</v>
      </c>
    </row>
    <row r="115" spans="1:8">
      <c r="A115" t="s">
        <v>8</v>
      </c>
    </row>
    <row r="116" spans="1:8">
      <c r="A116" t="s">
        <v>9</v>
      </c>
    </row>
    <row r="117" spans="1:8">
      <c r="A117" t="s">
        <v>10</v>
      </c>
    </row>
    <row r="118" spans="1:8">
      <c r="A118" t="s">
        <v>11</v>
      </c>
    </row>
    <row r="119" spans="1:8">
      <c r="A119" t="s">
        <v>12</v>
      </c>
    </row>
    <row r="120" spans="1:8">
      <c r="A120" t="s">
        <v>13</v>
      </c>
      <c r="B120">
        <f t="shared" ref="B120:H120" si="33">(SUM(B115:B119) -MAX(B115:B119) -MIN(B115:B119))/((COUNT(B115:B119)-2)*1000)</f>
        <v>0</v>
      </c>
      <c r="C120">
        <f t="shared" si="33"/>
        <v>0</v>
      </c>
      <c r="D120">
        <f t="shared" si="33"/>
        <v>0</v>
      </c>
      <c r="E120">
        <f t="shared" si="33"/>
        <v>0</v>
      </c>
      <c r="F120">
        <f t="shared" si="33"/>
        <v>0</v>
      </c>
      <c r="G120">
        <f t="shared" si="33"/>
        <v>0</v>
      </c>
      <c r="H120">
        <f t="shared" si="33"/>
        <v>0</v>
      </c>
    </row>
    <row r="121" spans="1:8">
      <c r="A121" t="s">
        <v>15</v>
      </c>
      <c r="B121" t="e">
        <f>STDEV(B115:B119)/1000</f>
        <v>#DIV/0!</v>
      </c>
      <c r="C121" t="e">
        <f t="shared" ref="C121:H121" si="34">STDEV(C115:C119)/1000</f>
        <v>#DIV/0!</v>
      </c>
      <c r="D121" t="e">
        <f t="shared" si="34"/>
        <v>#DIV/0!</v>
      </c>
      <c r="E121" t="e">
        <f t="shared" si="34"/>
        <v>#DIV/0!</v>
      </c>
      <c r="F121" t="e">
        <f t="shared" si="34"/>
        <v>#DIV/0!</v>
      </c>
      <c r="G121" t="e">
        <f t="shared" si="34"/>
        <v>#DIV/0!</v>
      </c>
      <c r="H121" t="e">
        <f t="shared" si="34"/>
        <v>#DIV/0!</v>
      </c>
    </row>
    <row r="122" spans="1:8">
      <c r="A122" t="s">
        <v>16</v>
      </c>
      <c r="B122" t="e">
        <f>CONFIDENCE(0.05,B121,5)</f>
        <v>#DIV/0!</v>
      </c>
      <c r="C122" t="e">
        <f t="shared" ref="C122:H122" si="35">CONFIDENCE(0.05,C121,5)</f>
        <v>#DIV/0!</v>
      </c>
      <c r="D122" t="e">
        <f t="shared" si="35"/>
        <v>#DIV/0!</v>
      </c>
      <c r="E122" t="e">
        <f t="shared" si="35"/>
        <v>#DIV/0!</v>
      </c>
      <c r="F122" t="e">
        <f t="shared" si="35"/>
        <v>#DIV/0!</v>
      </c>
      <c r="G122" t="e">
        <f t="shared" si="35"/>
        <v>#DIV/0!</v>
      </c>
      <c r="H122" t="e">
        <f t="shared" si="35"/>
        <v>#DIV/0!</v>
      </c>
    </row>
    <row r="124" spans="1:8">
      <c r="A124" t="s">
        <v>32</v>
      </c>
    </row>
    <row r="125" spans="1:8">
      <c r="A125" t="s">
        <v>8</v>
      </c>
    </row>
    <row r="126" spans="1:8">
      <c r="A126" t="s">
        <v>9</v>
      </c>
    </row>
    <row r="127" spans="1:8">
      <c r="A127" t="s">
        <v>10</v>
      </c>
    </row>
    <row r="128" spans="1:8">
      <c r="A128" t="s">
        <v>11</v>
      </c>
    </row>
    <row r="129" spans="1:8">
      <c r="A129" t="s">
        <v>12</v>
      </c>
    </row>
    <row r="130" spans="1:8">
      <c r="A130" t="s">
        <v>13</v>
      </c>
      <c r="B130">
        <f t="shared" ref="B130:H130" si="36">(SUM(B125:B129) -MAX(B125:B129) -MIN(B125:B129))/((COUNT(B125:B129)-2)*1000)</f>
        <v>0</v>
      </c>
      <c r="C130">
        <f t="shared" si="36"/>
        <v>0</v>
      </c>
      <c r="D130">
        <f t="shared" si="36"/>
        <v>0</v>
      </c>
      <c r="E130">
        <f t="shared" si="36"/>
        <v>0</v>
      </c>
      <c r="F130">
        <f t="shared" si="36"/>
        <v>0</v>
      </c>
      <c r="G130">
        <f t="shared" si="36"/>
        <v>0</v>
      </c>
      <c r="H130">
        <f t="shared" si="36"/>
        <v>0</v>
      </c>
    </row>
    <row r="131" spans="1:8">
      <c r="A131" t="s">
        <v>15</v>
      </c>
      <c r="B131" t="e">
        <f>STDEV(B125:B129)/1000</f>
        <v>#DIV/0!</v>
      </c>
      <c r="C131" t="e">
        <f t="shared" ref="C131:H131" si="37">STDEV(C125:C129)/1000</f>
        <v>#DIV/0!</v>
      </c>
      <c r="D131" t="e">
        <f t="shared" si="37"/>
        <v>#DIV/0!</v>
      </c>
      <c r="E131" t="e">
        <f t="shared" si="37"/>
        <v>#DIV/0!</v>
      </c>
      <c r="F131" t="e">
        <f t="shared" si="37"/>
        <v>#DIV/0!</v>
      </c>
      <c r="G131" t="e">
        <f t="shared" si="37"/>
        <v>#DIV/0!</v>
      </c>
      <c r="H131" t="e">
        <f t="shared" si="37"/>
        <v>#DIV/0!</v>
      </c>
    </row>
    <row r="132" spans="1:8">
      <c r="A132" t="s">
        <v>16</v>
      </c>
      <c r="B132" t="e">
        <f>CONFIDENCE(0.05,B131,5)</f>
        <v>#DIV/0!</v>
      </c>
      <c r="C132" t="e">
        <f t="shared" ref="C132:H132" si="38">CONFIDENCE(0.05,C131,5)</f>
        <v>#DIV/0!</v>
      </c>
      <c r="D132" t="e">
        <f t="shared" si="38"/>
        <v>#DIV/0!</v>
      </c>
      <c r="E132" t="e">
        <f t="shared" si="38"/>
        <v>#DIV/0!</v>
      </c>
      <c r="F132" t="e">
        <f t="shared" si="38"/>
        <v>#DIV/0!</v>
      </c>
      <c r="G132" t="e">
        <f t="shared" si="38"/>
        <v>#DIV/0!</v>
      </c>
      <c r="H132" t="e">
        <f t="shared" si="38"/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32"/>
  <sheetViews>
    <sheetView topLeftCell="A52" workbookViewId="0">
      <selection activeCell="A73" sqref="A73:XFD73"/>
    </sheetView>
  </sheetViews>
  <sheetFormatPr defaultRowHeight="14.4"/>
  <cols>
    <col min="1" max="1" width="24.109375" customWidth="1"/>
    <col min="2" max="6" width="12.6640625" customWidth="1"/>
    <col min="7" max="7" width="10.6640625" customWidth="1"/>
    <col min="8" max="8" width="18.5546875" bestFit="1" customWidth="1"/>
  </cols>
  <sheetData>
    <row r="1" spans="1:7">
      <c r="A1" t="s">
        <v>19</v>
      </c>
      <c r="B1" t="s">
        <v>23</v>
      </c>
    </row>
    <row r="2" spans="1:7">
      <c r="A2" t="s">
        <v>14</v>
      </c>
      <c r="B2">
        <v>5</v>
      </c>
      <c r="C2">
        <v>10</v>
      </c>
      <c r="D2">
        <v>15</v>
      </c>
      <c r="E2">
        <v>20</v>
      </c>
      <c r="F2">
        <v>25</v>
      </c>
    </row>
    <row r="3" spans="1:7">
      <c r="A3" t="s">
        <v>7</v>
      </c>
    </row>
    <row r="4" spans="1:7">
      <c r="A4" t="s">
        <v>8</v>
      </c>
      <c r="B4">
        <v>13324</v>
      </c>
      <c r="C4">
        <v>43120</v>
      </c>
      <c r="D4">
        <v>143706</v>
      </c>
      <c r="E4">
        <v>268168</v>
      </c>
      <c r="F4">
        <v>274983</v>
      </c>
    </row>
    <row r="5" spans="1:7">
      <c r="A5" t="s">
        <v>9</v>
      </c>
      <c r="B5">
        <v>23433</v>
      </c>
      <c r="C5">
        <v>98906</v>
      </c>
      <c r="D5">
        <v>335277</v>
      </c>
      <c r="E5">
        <v>641119</v>
      </c>
      <c r="F5">
        <v>507844</v>
      </c>
    </row>
    <row r="6" spans="1:7">
      <c r="A6" t="s">
        <v>10</v>
      </c>
      <c r="B6">
        <v>20809</v>
      </c>
      <c r="C6">
        <v>97438</v>
      </c>
      <c r="D6">
        <v>330549</v>
      </c>
      <c r="E6">
        <v>668993</v>
      </c>
      <c r="F6">
        <v>508424</v>
      </c>
    </row>
    <row r="7" spans="1:7">
      <c r="A7" t="s">
        <v>11</v>
      </c>
      <c r="B7">
        <v>19829</v>
      </c>
      <c r="C7">
        <v>97189</v>
      </c>
      <c r="D7">
        <v>333018</v>
      </c>
      <c r="E7">
        <v>653787</v>
      </c>
      <c r="F7">
        <v>509060</v>
      </c>
    </row>
    <row r="8" spans="1:7">
      <c r="A8" t="s">
        <v>12</v>
      </c>
      <c r="B8">
        <v>20155</v>
      </c>
      <c r="C8">
        <v>97548</v>
      </c>
      <c r="D8">
        <v>325793</v>
      </c>
      <c r="E8">
        <v>653156</v>
      </c>
      <c r="F8">
        <v>516333</v>
      </c>
    </row>
    <row r="9" spans="1:7">
      <c r="A9" t="s">
        <v>13</v>
      </c>
      <c r="B9">
        <f>(SUM(B4:B8) -MAX(B4:B8) -MIN(B4:B8))/((COUNT(B4:B8)-2)*1000)</f>
        <v>20.264333333333333</v>
      </c>
      <c r="C9">
        <f t="shared" ref="C9:F9" si="0">(SUM(C4:C8) -MAX(C4:C8) -MIN(C4:C8))/((COUNT(C4:C8)-2)*1000)</f>
        <v>97.391666666666666</v>
      </c>
      <c r="D9">
        <f t="shared" si="0"/>
        <v>329.78666666666669</v>
      </c>
      <c r="E9">
        <f t="shared" si="0"/>
        <v>649.35400000000004</v>
      </c>
      <c r="F9">
        <f t="shared" si="0"/>
        <v>508.44266666666664</v>
      </c>
      <c r="G9" t="s">
        <v>17</v>
      </c>
    </row>
    <row r="10" spans="1:7">
      <c r="A10" t="s">
        <v>15</v>
      </c>
      <c r="B10">
        <f>STDEV(B4:B8)/1000</f>
        <v>3.7370346533046761</v>
      </c>
      <c r="C10">
        <f t="shared" ref="C10:F10" si="1">STDEV(C4:C8)/1000</f>
        <v>24.449475581288056</v>
      </c>
      <c r="D10">
        <f t="shared" si="1"/>
        <v>83.905537077716176</v>
      </c>
      <c r="E10">
        <f t="shared" si="1"/>
        <v>172.95023286570037</v>
      </c>
      <c r="F10">
        <f t="shared" si="1"/>
        <v>105.34480094290373</v>
      </c>
    </row>
    <row r="11" spans="1:7">
      <c r="A11" t="s">
        <v>16</v>
      </c>
      <c r="B11">
        <f>CONFIDENCE(0.05,B10,5)</f>
        <v>3.2755951085373392</v>
      </c>
      <c r="C11">
        <f t="shared" ref="C11:F11" si="2">CONFIDENCE(0.05,C10,5)</f>
        <v>21.4305164522757</v>
      </c>
      <c r="D11">
        <f t="shared" si="2"/>
        <v>73.545094527802334</v>
      </c>
      <c r="E11">
        <f t="shared" si="2"/>
        <v>151.59477750475509</v>
      </c>
      <c r="F11">
        <f t="shared" si="2"/>
        <v>92.337092559008241</v>
      </c>
    </row>
    <row r="13" spans="1:7">
      <c r="A13" t="s">
        <v>1</v>
      </c>
    </row>
    <row r="14" spans="1:7">
      <c r="A14" t="s">
        <v>8</v>
      </c>
      <c r="B14">
        <v>1280</v>
      </c>
      <c r="C14">
        <v>13007</v>
      </c>
      <c r="D14">
        <v>15116</v>
      </c>
      <c r="E14">
        <v>19375</v>
      </c>
      <c r="F14">
        <v>32698</v>
      </c>
    </row>
    <row r="15" spans="1:7">
      <c r="A15" t="s">
        <v>9</v>
      </c>
      <c r="B15">
        <v>1124</v>
      </c>
      <c r="C15">
        <v>12556</v>
      </c>
      <c r="D15">
        <v>14585</v>
      </c>
      <c r="E15">
        <v>18923</v>
      </c>
      <c r="F15">
        <v>32386</v>
      </c>
    </row>
    <row r="16" spans="1:7">
      <c r="A16" t="s">
        <v>10</v>
      </c>
      <c r="B16">
        <v>1123</v>
      </c>
      <c r="C16">
        <v>13057</v>
      </c>
      <c r="D16">
        <v>14586</v>
      </c>
      <c r="E16">
        <v>18923</v>
      </c>
      <c r="F16">
        <v>35208</v>
      </c>
    </row>
    <row r="17" spans="1:7">
      <c r="A17" t="s">
        <v>11</v>
      </c>
      <c r="B17">
        <v>1139</v>
      </c>
      <c r="C17">
        <v>12729</v>
      </c>
      <c r="D17">
        <v>14463</v>
      </c>
      <c r="E17">
        <v>19205</v>
      </c>
      <c r="F17">
        <v>32524</v>
      </c>
    </row>
    <row r="18" spans="1:7">
      <c r="A18" t="s">
        <v>12</v>
      </c>
      <c r="B18">
        <v>1139</v>
      </c>
      <c r="C18">
        <v>12262</v>
      </c>
      <c r="D18">
        <v>14437</v>
      </c>
      <c r="E18">
        <v>19251</v>
      </c>
      <c r="F18">
        <v>33103</v>
      </c>
    </row>
    <row r="19" spans="1:7">
      <c r="A19" t="s">
        <v>13</v>
      </c>
      <c r="B19">
        <f t="shared" ref="B19:F19" si="3">(SUM(B14:B18) -MAX(B14:B18) -MIN(B14:B18))/((COUNT(B14:B18)-2)*1000)</f>
        <v>1.1339999999999999</v>
      </c>
      <c r="C19">
        <f t="shared" si="3"/>
        <v>12.763999999999999</v>
      </c>
      <c r="D19">
        <f t="shared" si="3"/>
        <v>14.544666666666666</v>
      </c>
      <c r="E19">
        <f t="shared" si="3"/>
        <v>19.126333333333335</v>
      </c>
      <c r="F19">
        <f t="shared" si="3"/>
        <v>32.774999999999999</v>
      </c>
      <c r="G19" t="s">
        <v>17</v>
      </c>
    </row>
    <row r="20" spans="1:7">
      <c r="A20" t="s">
        <v>15</v>
      </c>
      <c r="B20">
        <f>STDEV(B14:B18)/1000</f>
        <v>6.6973875503811189E-2</v>
      </c>
      <c r="C20">
        <f t="shared" ref="C20:F20" si="4">STDEV(C14:C18)/1000</f>
        <v>0.32888250181483974</v>
      </c>
      <c r="D20">
        <f t="shared" si="4"/>
        <v>0.27614362205202553</v>
      </c>
      <c r="E20">
        <f t="shared" si="4"/>
        <v>0.20361925252787841</v>
      </c>
      <c r="F20">
        <f t="shared" si="4"/>
        <v>1.1631569971418509</v>
      </c>
    </row>
    <row r="21" spans="1:7">
      <c r="A21" t="s">
        <v>16</v>
      </c>
      <c r="B21">
        <f>CONFIDENCE(0.05,B20,5)</f>
        <v>5.8704111508860263E-2</v>
      </c>
      <c r="C21">
        <f t="shared" ref="C21:F21" si="5">CONFIDENCE(0.05,C20,5)</f>
        <v>0.28827292604192556</v>
      </c>
      <c r="D21">
        <f t="shared" si="5"/>
        <v>0.24204610916506072</v>
      </c>
      <c r="E21">
        <f t="shared" si="5"/>
        <v>0.1784768645360405</v>
      </c>
      <c r="F21">
        <f t="shared" si="5"/>
        <v>1.0195333262242028</v>
      </c>
    </row>
    <row r="23" spans="1:7">
      <c r="A23" t="s">
        <v>2</v>
      </c>
    </row>
    <row r="24" spans="1:7">
      <c r="A24" t="s">
        <v>8</v>
      </c>
      <c r="B24">
        <v>1234</v>
      </c>
      <c r="C24">
        <v>13684</v>
      </c>
      <c r="D24">
        <v>16536</v>
      </c>
      <c r="E24">
        <v>21839</v>
      </c>
      <c r="F24">
        <v>36474</v>
      </c>
    </row>
    <row r="25" spans="1:7">
      <c r="A25" t="s">
        <v>9</v>
      </c>
      <c r="B25">
        <v>1264</v>
      </c>
      <c r="C25">
        <v>13887</v>
      </c>
      <c r="D25">
        <v>17533</v>
      </c>
      <c r="E25">
        <v>22372</v>
      </c>
      <c r="F25">
        <v>39387</v>
      </c>
    </row>
    <row r="26" spans="1:7">
      <c r="A26" t="s">
        <v>10</v>
      </c>
      <c r="B26">
        <v>1217</v>
      </c>
      <c r="C26">
        <v>13627</v>
      </c>
      <c r="D26">
        <v>17359</v>
      </c>
      <c r="E26">
        <v>21439</v>
      </c>
      <c r="F26">
        <v>36796</v>
      </c>
    </row>
    <row r="27" spans="1:7">
      <c r="A27" t="s">
        <v>11</v>
      </c>
      <c r="B27">
        <v>1155</v>
      </c>
      <c r="C27">
        <v>13668</v>
      </c>
      <c r="D27">
        <v>17737</v>
      </c>
      <c r="E27">
        <v>22935</v>
      </c>
      <c r="F27">
        <v>36335</v>
      </c>
    </row>
    <row r="28" spans="1:7">
      <c r="A28" t="s">
        <v>12</v>
      </c>
      <c r="B28">
        <v>1201</v>
      </c>
      <c r="C28">
        <v>13680</v>
      </c>
      <c r="D28">
        <v>17801</v>
      </c>
      <c r="E28">
        <v>21557</v>
      </c>
      <c r="F28">
        <v>37194</v>
      </c>
    </row>
    <row r="29" spans="1:7">
      <c r="A29" t="s">
        <v>13</v>
      </c>
      <c r="B29">
        <f t="shared" ref="B29:F29" si="6">(SUM(B24:B28) -MAX(B24:B28) -MIN(B24:B28))/((COUNT(B24:B28)-2)*1000)</f>
        <v>1.2173333333333334</v>
      </c>
      <c r="C29">
        <f t="shared" si="6"/>
        <v>13.677333333333333</v>
      </c>
      <c r="D29">
        <f t="shared" si="6"/>
        <v>17.542999999999999</v>
      </c>
      <c r="E29">
        <f t="shared" si="6"/>
        <v>21.922666666666668</v>
      </c>
      <c r="F29">
        <f t="shared" si="6"/>
        <v>36.821333333333335</v>
      </c>
      <c r="G29" t="s">
        <v>17</v>
      </c>
    </row>
    <row r="30" spans="1:7">
      <c r="A30" t="s">
        <v>15</v>
      </c>
      <c r="B30">
        <f>STDEV(B24:B28)/1000</f>
        <v>4.0493209307240062E-2</v>
      </c>
      <c r="C30">
        <f t="shared" ref="C30:F30" si="7">STDEV(C24:C28)/1000</f>
        <v>0.10192497240611879</v>
      </c>
      <c r="D30">
        <f t="shared" si="7"/>
        <v>0.50990312805471993</v>
      </c>
      <c r="E30">
        <f t="shared" si="7"/>
        <v>0.62158410533084929</v>
      </c>
      <c r="F30">
        <f t="shared" si="7"/>
        <v>1.2464552539100824</v>
      </c>
    </row>
    <row r="31" spans="1:7">
      <c r="A31" t="s">
        <v>16</v>
      </c>
      <c r="B31">
        <f>CONFIDENCE(0.05,B30,5)</f>
        <v>3.5493210698081333E-2</v>
      </c>
      <c r="C31">
        <f t="shared" ref="C31:F31" si="8">CONFIDENCE(0.05,C30,5)</f>
        <v>8.9339535761609218E-2</v>
      </c>
      <c r="D31">
        <f t="shared" si="8"/>
        <v>0.44694158525046912</v>
      </c>
      <c r="E31">
        <f t="shared" si="8"/>
        <v>0.54483247918661748</v>
      </c>
      <c r="F31">
        <f t="shared" si="8"/>
        <v>1.0925461258722935</v>
      </c>
    </row>
    <row r="33" spans="1:7">
      <c r="A33" t="s">
        <v>3</v>
      </c>
    </row>
    <row r="34" spans="1:7">
      <c r="A34" t="s">
        <v>8</v>
      </c>
      <c r="B34">
        <v>1811</v>
      </c>
      <c r="C34">
        <v>17360</v>
      </c>
      <c r="D34">
        <v>21077</v>
      </c>
      <c r="E34">
        <v>28408</v>
      </c>
      <c r="F34">
        <v>49080</v>
      </c>
    </row>
    <row r="35" spans="1:7">
      <c r="A35" t="s">
        <v>9</v>
      </c>
      <c r="B35">
        <v>2060</v>
      </c>
      <c r="C35">
        <v>18721</v>
      </c>
      <c r="D35">
        <v>23055</v>
      </c>
      <c r="E35">
        <v>34071</v>
      </c>
      <c r="F35">
        <v>51576</v>
      </c>
    </row>
    <row r="36" spans="1:7">
      <c r="A36" t="s">
        <v>10</v>
      </c>
      <c r="B36">
        <v>1794</v>
      </c>
      <c r="C36">
        <v>19172</v>
      </c>
      <c r="D36">
        <v>22822</v>
      </c>
      <c r="E36">
        <v>30230</v>
      </c>
      <c r="F36">
        <v>53449</v>
      </c>
    </row>
    <row r="37" spans="1:7">
      <c r="A37" t="s">
        <v>11</v>
      </c>
      <c r="B37">
        <v>1779</v>
      </c>
      <c r="C37">
        <v>18846</v>
      </c>
      <c r="D37">
        <v>22603</v>
      </c>
      <c r="E37">
        <v>30794</v>
      </c>
      <c r="F37">
        <v>49748</v>
      </c>
    </row>
    <row r="38" spans="1:7">
      <c r="A38" t="s">
        <v>12</v>
      </c>
      <c r="B38">
        <v>1747</v>
      </c>
      <c r="C38">
        <v>18679</v>
      </c>
      <c r="D38">
        <v>22555</v>
      </c>
      <c r="E38">
        <v>29999</v>
      </c>
      <c r="F38">
        <v>49500</v>
      </c>
    </row>
    <row r="39" spans="1:7">
      <c r="A39" t="s">
        <v>13</v>
      </c>
      <c r="B39">
        <f t="shared" ref="B39:F39" si="9">(SUM(B34:B38) -MAX(B34:B38) -MIN(B34:B38))/((COUNT(B34:B38)-2)*1000)</f>
        <v>1.7946666666666666</v>
      </c>
      <c r="C39">
        <f t="shared" si="9"/>
        <v>18.748666666666665</v>
      </c>
      <c r="D39">
        <f t="shared" si="9"/>
        <v>22.66</v>
      </c>
      <c r="E39">
        <f t="shared" si="9"/>
        <v>30.341000000000001</v>
      </c>
      <c r="F39">
        <f t="shared" si="9"/>
        <v>50.274666666666668</v>
      </c>
      <c r="G39" t="s">
        <v>17</v>
      </c>
    </row>
    <row r="40" spans="1:7">
      <c r="A40" t="s">
        <v>15</v>
      </c>
      <c r="B40">
        <f>STDEV(B34:B38)/1000</f>
        <v>0.12620499197733895</v>
      </c>
      <c r="C40">
        <f t="shared" ref="C40:F40" si="10">STDEV(C34:C38)/1000</f>
        <v>0.69575951305031536</v>
      </c>
      <c r="D40">
        <f t="shared" si="10"/>
        <v>0.77784368609634691</v>
      </c>
      <c r="E40">
        <f t="shared" si="10"/>
        <v>2.081948678522108</v>
      </c>
      <c r="F40">
        <f t="shared" si="10"/>
        <v>1.8228246761551672</v>
      </c>
    </row>
    <row r="41" spans="1:7">
      <c r="A41" t="s">
        <v>16</v>
      </c>
      <c r="B41">
        <f>CONFIDENCE(0.05,B40,5)</f>
        <v>0.11062152020142423</v>
      </c>
      <c r="C41">
        <f t="shared" ref="C41:F41" si="11">CONFIDENCE(0.05,C40,5)</f>
        <v>0.60984889600918768</v>
      </c>
      <c r="D41">
        <f t="shared" si="11"/>
        <v>0.68179752390862292</v>
      </c>
      <c r="E41">
        <f t="shared" si="11"/>
        <v>1.8248749450482546</v>
      </c>
      <c r="F41">
        <f t="shared" si="11"/>
        <v>1.5977469161692117</v>
      </c>
    </row>
    <row r="43" spans="1:7">
      <c r="A43" t="s">
        <v>4</v>
      </c>
    </row>
    <row r="44" spans="1:7">
      <c r="A44" t="s">
        <v>8</v>
      </c>
      <c r="B44">
        <v>5009</v>
      </c>
      <c r="C44">
        <v>15446</v>
      </c>
      <c r="D44">
        <v>33555</v>
      </c>
      <c r="E44">
        <v>54815</v>
      </c>
      <c r="F44">
        <v>61840</v>
      </c>
    </row>
    <row r="45" spans="1:7">
      <c r="A45" t="s">
        <v>9</v>
      </c>
      <c r="B45">
        <v>4915</v>
      </c>
      <c r="C45">
        <v>12994</v>
      </c>
      <c r="D45">
        <v>35942</v>
      </c>
      <c r="E45">
        <v>55362</v>
      </c>
      <c r="F45">
        <v>63803</v>
      </c>
    </row>
    <row r="46" spans="1:7">
      <c r="A46" t="s">
        <v>10</v>
      </c>
      <c r="B46">
        <v>4978</v>
      </c>
      <c r="C46">
        <v>13995</v>
      </c>
      <c r="D46">
        <v>36037</v>
      </c>
      <c r="E46">
        <v>58936</v>
      </c>
      <c r="F46">
        <v>62916</v>
      </c>
    </row>
    <row r="47" spans="1:7">
      <c r="A47" t="s">
        <v>11</v>
      </c>
      <c r="B47">
        <v>4931</v>
      </c>
      <c r="C47">
        <v>14460</v>
      </c>
      <c r="D47">
        <v>34444</v>
      </c>
      <c r="E47">
        <v>59685</v>
      </c>
      <c r="F47">
        <v>63554</v>
      </c>
    </row>
    <row r="48" spans="1:7">
      <c r="A48" t="s">
        <v>12</v>
      </c>
      <c r="B48">
        <v>4943</v>
      </c>
      <c r="C48">
        <v>14338</v>
      </c>
      <c r="D48">
        <v>36299</v>
      </c>
      <c r="E48">
        <v>60343</v>
      </c>
      <c r="F48">
        <v>62836</v>
      </c>
    </row>
    <row r="49" spans="1:7">
      <c r="A49" t="s">
        <v>13</v>
      </c>
      <c r="B49">
        <f t="shared" ref="B49:F49" si="12">(SUM(B44:B48) -MAX(B44:B48) -MIN(B44:B48))/((COUNT(B44:B48)-2)*1000)</f>
        <v>4.9506666666666668</v>
      </c>
      <c r="C49">
        <f t="shared" si="12"/>
        <v>14.264333333333333</v>
      </c>
      <c r="D49">
        <f t="shared" si="12"/>
        <v>35.474333333333334</v>
      </c>
      <c r="E49">
        <f t="shared" si="12"/>
        <v>57.99433333333333</v>
      </c>
      <c r="F49">
        <f t="shared" si="12"/>
        <v>63.101999999999997</v>
      </c>
      <c r="G49" t="s">
        <v>17</v>
      </c>
    </row>
    <row r="50" spans="1:7">
      <c r="A50" t="s">
        <v>15</v>
      </c>
      <c r="B50">
        <f>STDEV(B44:B48)/1000</f>
        <v>3.7963140017644149E-2</v>
      </c>
      <c r="C50">
        <f t="shared" ref="C50:F50" si="13">STDEV(C44:C48)/1000</f>
        <v>0.88384998727160247</v>
      </c>
      <c r="D50">
        <f t="shared" si="13"/>
        <v>1.1959461944418537</v>
      </c>
      <c r="E50">
        <f t="shared" si="13"/>
        <v>2.5573747672173135</v>
      </c>
      <c r="F50">
        <f t="shared" si="13"/>
        <v>0.76334081510149143</v>
      </c>
    </row>
    <row r="51" spans="1:7">
      <c r="A51" t="s">
        <v>16</v>
      </c>
      <c r="B51">
        <f>CONFIDENCE(0.05,B50,5)</f>
        <v>3.3275547936529939E-2</v>
      </c>
      <c r="C51">
        <f t="shared" ref="C51:F51" si="14">CONFIDENCE(0.05,C50,5)</f>
        <v>0.77471443633188419</v>
      </c>
      <c r="D51">
        <f t="shared" si="14"/>
        <v>1.0482737967450679</v>
      </c>
      <c r="E51">
        <f t="shared" si="14"/>
        <v>2.2415966281677635</v>
      </c>
      <c r="F51">
        <f t="shared" si="14"/>
        <v>0.66908543057855785</v>
      </c>
    </row>
    <row r="53" spans="1:7">
      <c r="A53" t="s">
        <v>5</v>
      </c>
    </row>
    <row r="54" spans="1:7">
      <c r="A54" t="s">
        <v>8</v>
      </c>
      <c r="B54">
        <v>5804</v>
      </c>
      <c r="C54">
        <v>19018</v>
      </c>
      <c r="D54">
        <v>80308</v>
      </c>
      <c r="E54">
        <v>88529</v>
      </c>
      <c r="F54">
        <v>115535</v>
      </c>
    </row>
    <row r="55" spans="1:7">
      <c r="A55" t="s">
        <v>9</v>
      </c>
      <c r="B55">
        <v>5900</v>
      </c>
      <c r="C55">
        <v>19827</v>
      </c>
      <c r="D55">
        <v>83055</v>
      </c>
      <c r="E55">
        <v>101027</v>
      </c>
      <c r="F55">
        <v>122538</v>
      </c>
    </row>
    <row r="56" spans="1:7">
      <c r="A56" t="s">
        <v>10</v>
      </c>
      <c r="B56">
        <v>5801</v>
      </c>
      <c r="C56">
        <v>19138</v>
      </c>
      <c r="D56">
        <v>85114</v>
      </c>
      <c r="E56">
        <v>105191</v>
      </c>
      <c r="F56">
        <v>128312</v>
      </c>
    </row>
    <row r="57" spans="1:7">
      <c r="A57" t="s">
        <v>11</v>
      </c>
      <c r="B57">
        <v>5925</v>
      </c>
      <c r="C57">
        <v>19095</v>
      </c>
      <c r="D57">
        <v>74693</v>
      </c>
      <c r="E57">
        <v>109438</v>
      </c>
      <c r="F57">
        <v>135704</v>
      </c>
    </row>
    <row r="58" spans="1:7">
      <c r="A58" t="s">
        <v>12</v>
      </c>
      <c r="B58">
        <v>5755</v>
      </c>
      <c r="C58">
        <v>18941</v>
      </c>
      <c r="D58">
        <v>72213</v>
      </c>
      <c r="E58">
        <v>110492</v>
      </c>
      <c r="F58">
        <v>132150</v>
      </c>
    </row>
    <row r="59" spans="1:7">
      <c r="A59" t="s">
        <v>13</v>
      </c>
      <c r="B59">
        <f t="shared" ref="B59:F59" si="15">(SUM(B54:B58) -MAX(B54:B58) -MIN(B54:B58))/((COUNT(B54:B58)-2)*1000)</f>
        <v>5.835</v>
      </c>
      <c r="C59">
        <f t="shared" si="15"/>
        <v>19.083666666666666</v>
      </c>
      <c r="D59">
        <f t="shared" si="15"/>
        <v>79.352000000000004</v>
      </c>
      <c r="E59">
        <f t="shared" si="15"/>
        <v>105.21866666666666</v>
      </c>
      <c r="F59">
        <f t="shared" si="15"/>
        <v>127.66666666666667</v>
      </c>
      <c r="G59" t="s">
        <v>17</v>
      </c>
    </row>
    <row r="60" spans="1:7">
      <c r="A60" t="s">
        <v>15</v>
      </c>
      <c r="B60">
        <f>STDEV(B54:B58)/1000</f>
        <v>7.2149151069156731E-2</v>
      </c>
      <c r="C60">
        <f t="shared" ref="C60:F60" si="16">STDEV(C54:C58)/1000</f>
        <v>0.35641646987756903</v>
      </c>
      <c r="D60">
        <f t="shared" si="16"/>
        <v>5.4799444613974142</v>
      </c>
      <c r="E60">
        <f t="shared" si="16"/>
        <v>8.8834128182810037</v>
      </c>
      <c r="F60">
        <f t="shared" si="16"/>
        <v>7.9881678875697624</v>
      </c>
    </row>
    <row r="61" spans="1:7">
      <c r="A61" t="s">
        <v>16</v>
      </c>
      <c r="B61">
        <f>CONFIDENCE(0.05,B60,5)</f>
        <v>6.324035719558084E-2</v>
      </c>
      <c r="C61">
        <f t="shared" ref="C61:F61" si="17">CONFIDENCE(0.05,C60,5)</f>
        <v>0.31240706968042342</v>
      </c>
      <c r="D61">
        <f t="shared" si="17"/>
        <v>4.8032948415226278</v>
      </c>
      <c r="E61">
        <f t="shared" si="17"/>
        <v>7.7865115724702347</v>
      </c>
      <c r="F61">
        <f t="shared" si="17"/>
        <v>7.0018092113649129</v>
      </c>
    </row>
    <row r="63" spans="1:7">
      <c r="A63" t="s">
        <v>6</v>
      </c>
    </row>
    <row r="64" spans="1:7">
      <c r="A64" t="s">
        <v>8</v>
      </c>
      <c r="B64">
        <v>12745</v>
      </c>
      <c r="C64">
        <v>56413</v>
      </c>
      <c r="D64">
        <v>238262</v>
      </c>
      <c r="E64">
        <v>395963</v>
      </c>
      <c r="F64">
        <v>370036</v>
      </c>
    </row>
    <row r="65" spans="1:8">
      <c r="A65" t="s">
        <v>9</v>
      </c>
      <c r="B65">
        <v>12137</v>
      </c>
      <c r="C65">
        <v>63150</v>
      </c>
      <c r="D65">
        <v>270148</v>
      </c>
      <c r="E65">
        <v>465709</v>
      </c>
      <c r="F65">
        <v>402496</v>
      </c>
    </row>
    <row r="66" spans="1:8">
      <c r="A66" t="s">
        <v>10</v>
      </c>
      <c r="B66">
        <v>12172</v>
      </c>
      <c r="C66">
        <v>61702</v>
      </c>
      <c r="D66">
        <v>326276</v>
      </c>
      <c r="E66">
        <v>465543</v>
      </c>
      <c r="F66">
        <v>400779</v>
      </c>
    </row>
    <row r="67" spans="1:8">
      <c r="A67" t="s">
        <v>11</v>
      </c>
      <c r="B67">
        <v>10811</v>
      </c>
      <c r="C67">
        <v>62281</v>
      </c>
      <c r="D67">
        <v>298591</v>
      </c>
      <c r="E67">
        <v>706963</v>
      </c>
      <c r="F67">
        <v>480673</v>
      </c>
    </row>
    <row r="68" spans="1:8">
      <c r="A68" t="s">
        <v>12</v>
      </c>
      <c r="B68">
        <v>10859</v>
      </c>
      <c r="C68">
        <v>62522</v>
      </c>
      <c r="D68">
        <v>267931</v>
      </c>
      <c r="E68">
        <v>594831</v>
      </c>
      <c r="F68">
        <v>437242</v>
      </c>
    </row>
    <row r="69" spans="1:8">
      <c r="A69" t="s">
        <v>13</v>
      </c>
      <c r="B69">
        <f t="shared" ref="B69:F69" si="18">(SUM(B64:B68) -MAX(B64:B68) -MIN(B64:B68))/((COUNT(B64:B68)-2)*1000)</f>
        <v>11.722666666666667</v>
      </c>
      <c r="C69">
        <f t="shared" si="18"/>
        <v>62.168333333333337</v>
      </c>
      <c r="D69">
        <f t="shared" si="18"/>
        <v>278.89</v>
      </c>
      <c r="E69">
        <f t="shared" si="18"/>
        <v>508.69433333333336</v>
      </c>
      <c r="F69">
        <f t="shared" si="18"/>
        <v>413.50566666666668</v>
      </c>
      <c r="G69" t="s">
        <v>17</v>
      </c>
    </row>
    <row r="70" spans="1:8">
      <c r="A70" t="s">
        <v>15</v>
      </c>
      <c r="B70">
        <f>STDEV(B64:B68)/1000</f>
        <v>0.86506427506861483</v>
      </c>
      <c r="C70">
        <f t="shared" ref="C70:F70" si="19">STDEV(C64:C68)/1000</f>
        <v>2.7333675749888071</v>
      </c>
      <c r="D70">
        <f t="shared" si="19"/>
        <v>33.434955186152152</v>
      </c>
      <c r="E70">
        <f t="shared" si="19"/>
        <v>124.18211668030148</v>
      </c>
      <c r="F70">
        <f t="shared" si="19"/>
        <v>42.235473925362932</v>
      </c>
    </row>
    <row r="71" spans="1:8">
      <c r="A71" t="s">
        <v>16</v>
      </c>
      <c r="B71">
        <f>CONFIDENCE(0.05,B70,5)</f>
        <v>0.75824833614518106</v>
      </c>
      <c r="C71">
        <f t="shared" ref="C71:F71" si="20">CONFIDENCE(0.05,C70,5)</f>
        <v>2.3958582911588389</v>
      </c>
      <c r="D71">
        <f t="shared" si="20"/>
        <v>29.306491863830235</v>
      </c>
      <c r="E71">
        <f t="shared" si="20"/>
        <v>108.84842440679533</v>
      </c>
      <c r="F71">
        <f t="shared" si="20"/>
        <v>37.020344907515081</v>
      </c>
    </row>
    <row r="73" spans="1:8">
      <c r="A73" s="1" t="s">
        <v>33</v>
      </c>
    </row>
    <row r="74" spans="1:8">
      <c r="A74" t="s">
        <v>27</v>
      </c>
    </row>
    <row r="75" spans="1:8">
      <c r="A75" t="s">
        <v>8</v>
      </c>
    </row>
    <row r="76" spans="1:8">
      <c r="A76" t="s">
        <v>9</v>
      </c>
    </row>
    <row r="77" spans="1:8">
      <c r="A77" t="s">
        <v>10</v>
      </c>
    </row>
    <row r="78" spans="1:8">
      <c r="A78" t="s">
        <v>11</v>
      </c>
    </row>
    <row r="79" spans="1:8">
      <c r="A79" t="s">
        <v>12</v>
      </c>
    </row>
    <row r="80" spans="1:8">
      <c r="A80" t="s">
        <v>13</v>
      </c>
      <c r="B80">
        <f t="shared" ref="B80:H80" si="21">(SUM(B75:B79) -MAX(B75:B79) -MIN(B75:B79))/((COUNT(B75:B79)-2)*1000)</f>
        <v>0</v>
      </c>
      <c r="C80">
        <f t="shared" si="21"/>
        <v>0</v>
      </c>
      <c r="D80">
        <f t="shared" si="21"/>
        <v>0</v>
      </c>
      <c r="E80">
        <f t="shared" si="21"/>
        <v>0</v>
      </c>
      <c r="F80">
        <f t="shared" si="21"/>
        <v>0</v>
      </c>
      <c r="G80">
        <f t="shared" si="21"/>
        <v>0</v>
      </c>
      <c r="H80">
        <f t="shared" si="21"/>
        <v>0</v>
      </c>
    </row>
    <row r="81" spans="1:8">
      <c r="A81" t="s">
        <v>15</v>
      </c>
      <c r="B81" t="e">
        <f>STDEV(B75:B79)/1000</f>
        <v>#DIV/0!</v>
      </c>
      <c r="C81" t="e">
        <f t="shared" ref="C81:H81" si="22">STDEV(C75:C79)/1000</f>
        <v>#DIV/0!</v>
      </c>
      <c r="D81" t="e">
        <f t="shared" si="22"/>
        <v>#DIV/0!</v>
      </c>
      <c r="E81" t="e">
        <f t="shared" si="22"/>
        <v>#DIV/0!</v>
      </c>
      <c r="F81" t="e">
        <f t="shared" si="22"/>
        <v>#DIV/0!</v>
      </c>
      <c r="G81" t="e">
        <f t="shared" si="22"/>
        <v>#DIV/0!</v>
      </c>
      <c r="H81" t="e">
        <f t="shared" si="22"/>
        <v>#DIV/0!</v>
      </c>
    </row>
    <row r="82" spans="1:8">
      <c r="A82" t="s">
        <v>16</v>
      </c>
      <c r="B82" t="e">
        <f>CONFIDENCE(0.05,B81,5)</f>
        <v>#DIV/0!</v>
      </c>
      <c r="C82" t="e">
        <f t="shared" ref="C82:H82" si="23">CONFIDENCE(0.05,C81,5)</f>
        <v>#DIV/0!</v>
      </c>
      <c r="D82" t="e">
        <f t="shared" si="23"/>
        <v>#DIV/0!</v>
      </c>
      <c r="E82" t="e">
        <f t="shared" si="23"/>
        <v>#DIV/0!</v>
      </c>
      <c r="F82" t="e">
        <f t="shared" si="23"/>
        <v>#DIV/0!</v>
      </c>
      <c r="G82" t="e">
        <f t="shared" si="23"/>
        <v>#DIV/0!</v>
      </c>
      <c r="H82" t="e">
        <f t="shared" si="23"/>
        <v>#DIV/0!</v>
      </c>
    </row>
    <row r="84" spans="1:8">
      <c r="A84" t="s">
        <v>28</v>
      </c>
    </row>
    <row r="85" spans="1:8">
      <c r="A85" t="s">
        <v>8</v>
      </c>
    </row>
    <row r="86" spans="1:8">
      <c r="A86" t="s">
        <v>9</v>
      </c>
    </row>
    <row r="87" spans="1:8">
      <c r="A87" t="s">
        <v>10</v>
      </c>
    </row>
    <row r="88" spans="1:8">
      <c r="A88" t="s">
        <v>11</v>
      </c>
    </row>
    <row r="89" spans="1:8">
      <c r="A89" t="s">
        <v>12</v>
      </c>
    </row>
    <row r="90" spans="1:8">
      <c r="A90" t="s">
        <v>13</v>
      </c>
      <c r="B90">
        <f>(SUM(B85:B89) -MAX(B85:B89) -MIN(B85:B89))/((COUNT(B85:B89)-2)*1000)</f>
        <v>0</v>
      </c>
      <c r="C90">
        <f t="shared" ref="C90:H90" si="24">(SUM(C85:C89) -MAX(C85:C89) -MIN(C85:C89))/((COUNT(C85:C89)-2)*1000)</f>
        <v>0</v>
      </c>
      <c r="D90">
        <f t="shared" si="24"/>
        <v>0</v>
      </c>
      <c r="E90">
        <f t="shared" si="24"/>
        <v>0</v>
      </c>
      <c r="F90">
        <f t="shared" si="24"/>
        <v>0</v>
      </c>
      <c r="G90">
        <f t="shared" si="24"/>
        <v>0</v>
      </c>
      <c r="H90">
        <f t="shared" si="24"/>
        <v>0</v>
      </c>
    </row>
    <row r="91" spans="1:8">
      <c r="A91" t="s">
        <v>15</v>
      </c>
      <c r="B91" t="e">
        <f>STDEV(B85:B89)/1000</f>
        <v>#DIV/0!</v>
      </c>
      <c r="C91" t="e">
        <f t="shared" ref="C91:H91" si="25">STDEV(C85:C89)/1000</f>
        <v>#DIV/0!</v>
      </c>
      <c r="D91" t="e">
        <f t="shared" si="25"/>
        <v>#DIV/0!</v>
      </c>
      <c r="E91" t="e">
        <f t="shared" si="25"/>
        <v>#DIV/0!</v>
      </c>
      <c r="F91" t="e">
        <f t="shared" si="25"/>
        <v>#DIV/0!</v>
      </c>
      <c r="G91" t="e">
        <f t="shared" si="25"/>
        <v>#DIV/0!</v>
      </c>
      <c r="H91" t="e">
        <f t="shared" si="25"/>
        <v>#DIV/0!</v>
      </c>
    </row>
    <row r="92" spans="1:8">
      <c r="A92" t="s">
        <v>16</v>
      </c>
      <c r="B92" t="e">
        <f>CONFIDENCE(0.05,B91,5)</f>
        <v>#DIV/0!</v>
      </c>
      <c r="C92" t="e">
        <f t="shared" ref="C92:H92" si="26">CONFIDENCE(0.05,C91,5)</f>
        <v>#DIV/0!</v>
      </c>
      <c r="D92" t="e">
        <f t="shared" si="26"/>
        <v>#DIV/0!</v>
      </c>
      <c r="E92" t="e">
        <f t="shared" si="26"/>
        <v>#DIV/0!</v>
      </c>
      <c r="F92" t="e">
        <f t="shared" si="26"/>
        <v>#DIV/0!</v>
      </c>
      <c r="G92" t="e">
        <f t="shared" si="26"/>
        <v>#DIV/0!</v>
      </c>
      <c r="H92" t="e">
        <f t="shared" si="26"/>
        <v>#DIV/0!</v>
      </c>
    </row>
    <row r="94" spans="1:8">
      <c r="A94" t="s">
        <v>29</v>
      </c>
    </row>
    <row r="95" spans="1:8">
      <c r="A95" t="s">
        <v>8</v>
      </c>
    </row>
    <row r="96" spans="1:8">
      <c r="A96" t="s">
        <v>9</v>
      </c>
    </row>
    <row r="97" spans="1:8">
      <c r="A97" t="s">
        <v>10</v>
      </c>
    </row>
    <row r="98" spans="1:8">
      <c r="A98" t="s">
        <v>11</v>
      </c>
    </row>
    <row r="99" spans="1:8">
      <c r="A99" t="s">
        <v>12</v>
      </c>
    </row>
    <row r="100" spans="1:8">
      <c r="A100" t="s">
        <v>13</v>
      </c>
      <c r="B100">
        <f t="shared" ref="B100:H100" si="27">(SUM(B95:B99) -MAX(B95:B99) -MIN(B95:B99))/((COUNT(B95:B99)-2)*1000)</f>
        <v>0</v>
      </c>
      <c r="C100">
        <f t="shared" si="27"/>
        <v>0</v>
      </c>
      <c r="D100">
        <f t="shared" si="27"/>
        <v>0</v>
      </c>
      <c r="E100">
        <f t="shared" si="27"/>
        <v>0</v>
      </c>
      <c r="F100">
        <f t="shared" si="27"/>
        <v>0</v>
      </c>
      <c r="G100">
        <f t="shared" si="27"/>
        <v>0</v>
      </c>
      <c r="H100">
        <f t="shared" si="27"/>
        <v>0</v>
      </c>
    </row>
    <row r="101" spans="1:8">
      <c r="A101" t="s">
        <v>15</v>
      </c>
      <c r="B101" t="e">
        <f>STDEV(B95:B99)/1000</f>
        <v>#DIV/0!</v>
      </c>
      <c r="C101" t="e">
        <f t="shared" ref="C101:H101" si="28">STDEV(C95:C99)/1000</f>
        <v>#DIV/0!</v>
      </c>
      <c r="D101" t="e">
        <f t="shared" si="28"/>
        <v>#DIV/0!</v>
      </c>
      <c r="E101" t="e">
        <f t="shared" si="28"/>
        <v>#DIV/0!</v>
      </c>
      <c r="F101" t="e">
        <f t="shared" si="28"/>
        <v>#DIV/0!</v>
      </c>
      <c r="G101" t="e">
        <f t="shared" si="28"/>
        <v>#DIV/0!</v>
      </c>
      <c r="H101" t="e">
        <f t="shared" si="28"/>
        <v>#DIV/0!</v>
      </c>
    </row>
    <row r="102" spans="1:8">
      <c r="A102" t="s">
        <v>16</v>
      </c>
      <c r="B102" t="e">
        <f>CONFIDENCE(0.05,B101,5)</f>
        <v>#DIV/0!</v>
      </c>
      <c r="C102" t="e">
        <f t="shared" ref="C102:H102" si="29">CONFIDENCE(0.05,C101,5)</f>
        <v>#DIV/0!</v>
      </c>
      <c r="D102" t="e">
        <f t="shared" si="29"/>
        <v>#DIV/0!</v>
      </c>
      <c r="E102" t="e">
        <f t="shared" si="29"/>
        <v>#DIV/0!</v>
      </c>
      <c r="F102" t="e">
        <f t="shared" si="29"/>
        <v>#DIV/0!</v>
      </c>
      <c r="G102" t="e">
        <f t="shared" si="29"/>
        <v>#DIV/0!</v>
      </c>
      <c r="H102" t="e">
        <f t="shared" si="29"/>
        <v>#DIV/0!</v>
      </c>
    </row>
    <row r="104" spans="1:8">
      <c r="A104" t="s">
        <v>30</v>
      </c>
    </row>
    <row r="105" spans="1:8">
      <c r="A105" t="s">
        <v>8</v>
      </c>
    </row>
    <row r="106" spans="1:8">
      <c r="A106" t="s">
        <v>9</v>
      </c>
    </row>
    <row r="107" spans="1:8">
      <c r="A107" t="s">
        <v>10</v>
      </c>
    </row>
    <row r="108" spans="1:8">
      <c r="A108" t="s">
        <v>11</v>
      </c>
    </row>
    <row r="109" spans="1:8">
      <c r="A109" t="s">
        <v>12</v>
      </c>
    </row>
    <row r="110" spans="1:8">
      <c r="A110" t="s">
        <v>13</v>
      </c>
      <c r="B110">
        <f t="shared" ref="B110:H110" si="30">(SUM(B105:B109) -MAX(B105:B109) -MIN(B105:B109))/((COUNT(B105:B109)-2)*1000)</f>
        <v>0</v>
      </c>
      <c r="C110">
        <f t="shared" si="30"/>
        <v>0</v>
      </c>
      <c r="D110">
        <f t="shared" si="30"/>
        <v>0</v>
      </c>
      <c r="E110">
        <f t="shared" si="30"/>
        <v>0</v>
      </c>
      <c r="F110">
        <f t="shared" si="30"/>
        <v>0</v>
      </c>
      <c r="G110">
        <f t="shared" si="30"/>
        <v>0</v>
      </c>
      <c r="H110">
        <f t="shared" si="30"/>
        <v>0</v>
      </c>
    </row>
    <row r="111" spans="1:8">
      <c r="A111" t="s">
        <v>15</v>
      </c>
      <c r="B111" t="e">
        <f>STDEV(B105:B109)/1000</f>
        <v>#DIV/0!</v>
      </c>
      <c r="C111" t="e">
        <f t="shared" ref="C111:H111" si="31">STDEV(C105:C109)/1000</f>
        <v>#DIV/0!</v>
      </c>
      <c r="D111" t="e">
        <f t="shared" si="31"/>
        <v>#DIV/0!</v>
      </c>
      <c r="E111" t="e">
        <f t="shared" si="31"/>
        <v>#DIV/0!</v>
      </c>
      <c r="F111" t="e">
        <f t="shared" si="31"/>
        <v>#DIV/0!</v>
      </c>
      <c r="G111" t="e">
        <f t="shared" si="31"/>
        <v>#DIV/0!</v>
      </c>
      <c r="H111" t="e">
        <f t="shared" si="31"/>
        <v>#DIV/0!</v>
      </c>
    </row>
    <row r="112" spans="1:8">
      <c r="A112" t="s">
        <v>16</v>
      </c>
      <c r="B112" t="e">
        <f>CONFIDENCE(0.05,B111,5)</f>
        <v>#DIV/0!</v>
      </c>
      <c r="C112" t="e">
        <f t="shared" ref="C112:H112" si="32">CONFIDENCE(0.05,C111,5)</f>
        <v>#DIV/0!</v>
      </c>
      <c r="D112" t="e">
        <f t="shared" si="32"/>
        <v>#DIV/0!</v>
      </c>
      <c r="E112" t="e">
        <f t="shared" si="32"/>
        <v>#DIV/0!</v>
      </c>
      <c r="F112" t="e">
        <f t="shared" si="32"/>
        <v>#DIV/0!</v>
      </c>
      <c r="G112" t="e">
        <f t="shared" si="32"/>
        <v>#DIV/0!</v>
      </c>
      <c r="H112" t="e">
        <f t="shared" si="32"/>
        <v>#DIV/0!</v>
      </c>
    </row>
    <row r="114" spans="1:8">
      <c r="A114" t="s">
        <v>31</v>
      </c>
    </row>
    <row r="115" spans="1:8">
      <c r="A115" t="s">
        <v>8</v>
      </c>
    </row>
    <row r="116" spans="1:8">
      <c r="A116" t="s">
        <v>9</v>
      </c>
    </row>
    <row r="117" spans="1:8">
      <c r="A117" t="s">
        <v>10</v>
      </c>
    </row>
    <row r="118" spans="1:8">
      <c r="A118" t="s">
        <v>11</v>
      </c>
    </row>
    <row r="119" spans="1:8">
      <c r="A119" t="s">
        <v>12</v>
      </c>
    </row>
    <row r="120" spans="1:8">
      <c r="A120" t="s">
        <v>13</v>
      </c>
      <c r="B120">
        <f t="shared" ref="B120:H120" si="33">(SUM(B115:B119) -MAX(B115:B119) -MIN(B115:B119))/((COUNT(B115:B119)-2)*1000)</f>
        <v>0</v>
      </c>
      <c r="C120">
        <f t="shared" si="33"/>
        <v>0</v>
      </c>
      <c r="D120">
        <f t="shared" si="33"/>
        <v>0</v>
      </c>
      <c r="E120">
        <f t="shared" si="33"/>
        <v>0</v>
      </c>
      <c r="F120">
        <f t="shared" si="33"/>
        <v>0</v>
      </c>
      <c r="G120">
        <f t="shared" si="33"/>
        <v>0</v>
      </c>
      <c r="H120">
        <f t="shared" si="33"/>
        <v>0</v>
      </c>
    </row>
    <row r="121" spans="1:8">
      <c r="A121" t="s">
        <v>15</v>
      </c>
      <c r="B121" t="e">
        <f>STDEV(B115:B119)/1000</f>
        <v>#DIV/0!</v>
      </c>
      <c r="C121" t="e">
        <f t="shared" ref="C121:H121" si="34">STDEV(C115:C119)/1000</f>
        <v>#DIV/0!</v>
      </c>
      <c r="D121" t="e">
        <f t="shared" si="34"/>
        <v>#DIV/0!</v>
      </c>
      <c r="E121" t="e">
        <f t="shared" si="34"/>
        <v>#DIV/0!</v>
      </c>
      <c r="F121" t="e">
        <f t="shared" si="34"/>
        <v>#DIV/0!</v>
      </c>
      <c r="G121" t="e">
        <f t="shared" si="34"/>
        <v>#DIV/0!</v>
      </c>
      <c r="H121" t="e">
        <f t="shared" si="34"/>
        <v>#DIV/0!</v>
      </c>
    </row>
    <row r="122" spans="1:8">
      <c r="A122" t="s">
        <v>16</v>
      </c>
      <c r="B122" t="e">
        <f>CONFIDENCE(0.05,B121,5)</f>
        <v>#DIV/0!</v>
      </c>
      <c r="C122" t="e">
        <f t="shared" ref="C122:H122" si="35">CONFIDENCE(0.05,C121,5)</f>
        <v>#DIV/0!</v>
      </c>
      <c r="D122" t="e">
        <f t="shared" si="35"/>
        <v>#DIV/0!</v>
      </c>
      <c r="E122" t="e">
        <f t="shared" si="35"/>
        <v>#DIV/0!</v>
      </c>
      <c r="F122" t="e">
        <f t="shared" si="35"/>
        <v>#DIV/0!</v>
      </c>
      <c r="G122" t="e">
        <f t="shared" si="35"/>
        <v>#DIV/0!</v>
      </c>
      <c r="H122" t="e">
        <f t="shared" si="35"/>
        <v>#DIV/0!</v>
      </c>
    </row>
    <row r="124" spans="1:8">
      <c r="A124" t="s">
        <v>32</v>
      </c>
    </row>
    <row r="125" spans="1:8">
      <c r="A125" t="s">
        <v>8</v>
      </c>
    </row>
    <row r="126" spans="1:8">
      <c r="A126" t="s">
        <v>9</v>
      </c>
    </row>
    <row r="127" spans="1:8">
      <c r="A127" t="s">
        <v>10</v>
      </c>
    </row>
    <row r="128" spans="1:8">
      <c r="A128" t="s">
        <v>11</v>
      </c>
    </row>
    <row r="129" spans="1:8">
      <c r="A129" t="s">
        <v>12</v>
      </c>
    </row>
    <row r="130" spans="1:8">
      <c r="A130" t="s">
        <v>13</v>
      </c>
      <c r="B130">
        <f t="shared" ref="B130:H130" si="36">(SUM(B125:B129) -MAX(B125:B129) -MIN(B125:B129))/((COUNT(B125:B129)-2)*1000)</f>
        <v>0</v>
      </c>
      <c r="C130">
        <f t="shared" si="36"/>
        <v>0</v>
      </c>
      <c r="D130">
        <f t="shared" si="36"/>
        <v>0</v>
      </c>
      <c r="E130">
        <f t="shared" si="36"/>
        <v>0</v>
      </c>
      <c r="F130">
        <f t="shared" si="36"/>
        <v>0</v>
      </c>
      <c r="G130">
        <f t="shared" si="36"/>
        <v>0</v>
      </c>
      <c r="H130">
        <f t="shared" si="36"/>
        <v>0</v>
      </c>
    </row>
    <row r="131" spans="1:8">
      <c r="A131" t="s">
        <v>15</v>
      </c>
      <c r="B131" t="e">
        <f>STDEV(B125:B129)/1000</f>
        <v>#DIV/0!</v>
      </c>
      <c r="C131" t="e">
        <f t="shared" ref="C131:H131" si="37">STDEV(C125:C129)/1000</f>
        <v>#DIV/0!</v>
      </c>
      <c r="D131" t="e">
        <f t="shared" si="37"/>
        <v>#DIV/0!</v>
      </c>
      <c r="E131" t="e">
        <f t="shared" si="37"/>
        <v>#DIV/0!</v>
      </c>
      <c r="F131" t="e">
        <f t="shared" si="37"/>
        <v>#DIV/0!</v>
      </c>
      <c r="G131" t="e">
        <f t="shared" si="37"/>
        <v>#DIV/0!</v>
      </c>
      <c r="H131" t="e">
        <f t="shared" si="37"/>
        <v>#DIV/0!</v>
      </c>
    </row>
    <row r="132" spans="1:8">
      <c r="A132" t="s">
        <v>16</v>
      </c>
      <c r="B132" t="e">
        <f>CONFIDENCE(0.05,B131,5)</f>
        <v>#DIV/0!</v>
      </c>
      <c r="C132" t="e">
        <f t="shared" ref="C132:H132" si="38">CONFIDENCE(0.05,C131,5)</f>
        <v>#DIV/0!</v>
      </c>
      <c r="D132" t="e">
        <f t="shared" si="38"/>
        <v>#DIV/0!</v>
      </c>
      <c r="E132" t="e">
        <f t="shared" si="38"/>
        <v>#DIV/0!</v>
      </c>
      <c r="F132" t="e">
        <f t="shared" si="38"/>
        <v>#DIV/0!</v>
      </c>
      <c r="G132" t="e">
        <f t="shared" si="38"/>
        <v>#DIV/0!</v>
      </c>
      <c r="H132" t="e">
        <f t="shared" si="38"/>
        <v>#DIV/0!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32"/>
  <sheetViews>
    <sheetView topLeftCell="A58" workbookViewId="0">
      <selection activeCell="A73" sqref="A73:XFD73"/>
    </sheetView>
  </sheetViews>
  <sheetFormatPr defaultRowHeight="14.4"/>
  <cols>
    <col min="1" max="1" width="24.109375" customWidth="1"/>
    <col min="2" max="10" width="12.6640625" customWidth="1"/>
  </cols>
  <sheetData>
    <row r="1" spans="1:10">
      <c r="A1" t="s">
        <v>19</v>
      </c>
      <c r="B1" t="s">
        <v>24</v>
      </c>
    </row>
    <row r="2" spans="1:10">
      <c r="A2" t="s">
        <v>14</v>
      </c>
      <c r="B2">
        <v>2</v>
      </c>
      <c r="C2">
        <v>4</v>
      </c>
      <c r="D2">
        <v>6</v>
      </c>
      <c r="E2">
        <v>8</v>
      </c>
      <c r="F2">
        <v>10</v>
      </c>
      <c r="G2">
        <v>12</v>
      </c>
      <c r="H2">
        <v>14</v>
      </c>
      <c r="I2">
        <v>16</v>
      </c>
    </row>
    <row r="3" spans="1:10">
      <c r="A3" t="s">
        <v>7</v>
      </c>
    </row>
    <row r="4" spans="1:10">
      <c r="A4" t="s">
        <v>8</v>
      </c>
      <c r="B4">
        <v>2980</v>
      </c>
      <c r="C4">
        <v>12526</v>
      </c>
      <c r="D4">
        <v>32087</v>
      </c>
      <c r="E4">
        <v>71292</v>
      </c>
      <c r="F4">
        <v>63199</v>
      </c>
      <c r="G4">
        <v>196657</v>
      </c>
      <c r="H4">
        <v>268554</v>
      </c>
      <c r="I4">
        <v>601710</v>
      </c>
    </row>
    <row r="5" spans="1:10">
      <c r="A5" t="s">
        <v>9</v>
      </c>
      <c r="B5">
        <v>5914</v>
      </c>
      <c r="C5">
        <v>21248</v>
      </c>
      <c r="D5">
        <v>73197</v>
      </c>
      <c r="E5">
        <v>185001</v>
      </c>
      <c r="F5">
        <v>183222</v>
      </c>
      <c r="G5">
        <v>503117</v>
      </c>
      <c r="H5">
        <v>595252</v>
      </c>
      <c r="I5">
        <v>1233610</v>
      </c>
    </row>
    <row r="6" spans="1:10">
      <c r="A6" t="s">
        <v>10</v>
      </c>
      <c r="B6">
        <v>3713</v>
      </c>
      <c r="C6">
        <v>19657</v>
      </c>
      <c r="D6">
        <v>76890</v>
      </c>
      <c r="E6">
        <v>171835</v>
      </c>
      <c r="F6">
        <v>183550</v>
      </c>
      <c r="G6">
        <v>499871</v>
      </c>
      <c r="H6">
        <v>595959</v>
      </c>
      <c r="I6">
        <v>1191758</v>
      </c>
    </row>
    <row r="7" spans="1:10">
      <c r="A7" t="s">
        <v>11</v>
      </c>
      <c r="B7">
        <v>3479</v>
      </c>
      <c r="C7">
        <v>21420</v>
      </c>
      <c r="D7">
        <v>79316</v>
      </c>
      <c r="E7">
        <v>177578</v>
      </c>
      <c r="F7">
        <v>182333</v>
      </c>
      <c r="G7">
        <v>508594</v>
      </c>
      <c r="H7">
        <v>601040</v>
      </c>
      <c r="I7">
        <v>1165497</v>
      </c>
    </row>
    <row r="8" spans="1:10">
      <c r="A8" t="s">
        <v>12</v>
      </c>
      <c r="B8">
        <v>3354</v>
      </c>
      <c r="C8">
        <v>16425</v>
      </c>
      <c r="D8">
        <v>72233</v>
      </c>
      <c r="E8">
        <v>177076</v>
      </c>
      <c r="F8">
        <v>182382</v>
      </c>
      <c r="G8">
        <v>844043</v>
      </c>
      <c r="H8">
        <v>597962</v>
      </c>
      <c r="I8">
        <v>1134190</v>
      </c>
    </row>
    <row r="9" spans="1:10">
      <c r="A9" t="s">
        <v>13</v>
      </c>
      <c r="B9">
        <f>(SUM(B4:B8) -MAX(B4:B8) -MIN(B4:B8))/((COUNT(B4:B8)-2)*1000)</f>
        <v>3.5153333333333334</v>
      </c>
      <c r="C9">
        <f t="shared" ref="C9:F9" si="0">(SUM(C4:C8) -MAX(C4:C8) -MIN(C4:C8))/((COUNT(C4:C8)-2)*1000)</f>
        <v>19.11</v>
      </c>
      <c r="D9">
        <f t="shared" si="0"/>
        <v>74.106666666666669</v>
      </c>
      <c r="E9">
        <f t="shared" si="0"/>
        <v>175.49633333333333</v>
      </c>
      <c r="F9">
        <f t="shared" si="0"/>
        <v>182.64566666666667</v>
      </c>
      <c r="G9">
        <f t="shared" ref="G9" si="1">(SUM(G4:G8) -MAX(G4:G8) -MIN(G4:G8))/((COUNT(G4:G8)-2)*1000)</f>
        <v>503.86066666666665</v>
      </c>
      <c r="H9">
        <f t="shared" ref="H9" si="2">(SUM(H4:H8) -MAX(H4:H8) -MIN(H4:H8))/((COUNT(H4:H8)-2)*1000)</f>
        <v>596.39099999999996</v>
      </c>
      <c r="I9">
        <f t="shared" ref="I9" si="3">(SUM(I4:I8) -MAX(I4:I8) -MIN(I4:I8))/((COUNT(I4:I8)-2)*1000)</f>
        <v>1163.8150000000001</v>
      </c>
      <c r="J9" t="s">
        <v>17</v>
      </c>
    </row>
    <row r="10" spans="1:10">
      <c r="A10" t="s">
        <v>15</v>
      </c>
      <c r="B10">
        <f>STDEV(B4:B8)/1000</f>
        <v>1.163206989318754</v>
      </c>
      <c r="C10">
        <f t="shared" ref="C10:F10" si="4">STDEV(C4:C8)/1000</f>
        <v>3.7785982453814784</v>
      </c>
      <c r="D10">
        <f t="shared" si="4"/>
        <v>19.582354794559315</v>
      </c>
      <c r="E10">
        <f t="shared" si="4"/>
        <v>47.894442384268338</v>
      </c>
      <c r="F10">
        <f t="shared" si="4"/>
        <v>53.521879822181134</v>
      </c>
      <c r="G10">
        <f t="shared" ref="G10:I10" si="5">STDEV(G4:G8)/1000</f>
        <v>229.08484735966275</v>
      </c>
      <c r="H10">
        <f t="shared" si="5"/>
        <v>147.15006548350561</v>
      </c>
      <c r="I10">
        <f t="shared" si="5"/>
        <v>261.73499327946195</v>
      </c>
    </row>
    <row r="11" spans="1:10">
      <c r="A11" t="s">
        <v>16</v>
      </c>
      <c r="B11">
        <f>CONFIDENCE(0.05,B10,5)</f>
        <v>1.0195771454941107</v>
      </c>
      <c r="C11">
        <f t="shared" ref="C11:F11" si="6">CONFIDENCE(0.05,C10,5)</f>
        <v>3.3120265338599864</v>
      </c>
      <c r="D11">
        <f t="shared" si="6"/>
        <v>17.164375374999132</v>
      </c>
      <c r="E11">
        <f t="shared" si="6"/>
        <v>41.980558318157584</v>
      </c>
      <c r="F11">
        <f t="shared" si="6"/>
        <v>46.913134078172682</v>
      </c>
      <c r="G11">
        <f t="shared" ref="G11" si="7">CONFIDENCE(0.05,G10,5)</f>
        <v>200.79803241528998</v>
      </c>
      <c r="H11">
        <f t="shared" ref="H11" si="8">CONFIDENCE(0.05,H10,5)</f>
        <v>128.98034924361269</v>
      </c>
      <c r="I11">
        <f t="shared" ref="I11" si="9">CONFIDENCE(0.05,I10,5)</f>
        <v>229.41662126710847</v>
      </c>
    </row>
    <row r="13" spans="1:10">
      <c r="A13" t="s">
        <v>1</v>
      </c>
    </row>
    <row r="14" spans="1:10">
      <c r="A14" t="s">
        <v>8</v>
      </c>
      <c r="B14">
        <v>343</v>
      </c>
      <c r="C14">
        <v>1983</v>
      </c>
      <c r="D14">
        <v>5536</v>
      </c>
      <c r="E14">
        <v>9642</v>
      </c>
      <c r="F14">
        <v>13325</v>
      </c>
      <c r="G14">
        <v>11727</v>
      </c>
      <c r="H14">
        <v>12230</v>
      </c>
      <c r="I14">
        <v>18953</v>
      </c>
    </row>
    <row r="15" spans="1:10">
      <c r="A15" t="s">
        <v>9</v>
      </c>
      <c r="B15">
        <v>328</v>
      </c>
      <c r="C15">
        <v>1810</v>
      </c>
      <c r="D15">
        <v>5317</v>
      </c>
      <c r="E15">
        <v>6942</v>
      </c>
      <c r="F15">
        <v>13060</v>
      </c>
      <c r="G15">
        <v>11578</v>
      </c>
      <c r="H15">
        <v>11905</v>
      </c>
      <c r="I15">
        <v>18371</v>
      </c>
    </row>
    <row r="16" spans="1:10">
      <c r="A16" t="s">
        <v>10</v>
      </c>
      <c r="B16">
        <v>312</v>
      </c>
      <c r="C16">
        <v>1765</v>
      </c>
      <c r="D16">
        <v>5089</v>
      </c>
      <c r="E16">
        <v>7113</v>
      </c>
      <c r="F16">
        <v>13243</v>
      </c>
      <c r="G16">
        <v>11603</v>
      </c>
      <c r="H16">
        <v>11993</v>
      </c>
      <c r="I16">
        <v>18581</v>
      </c>
    </row>
    <row r="17" spans="1:10">
      <c r="A17" t="s">
        <v>11</v>
      </c>
      <c r="B17">
        <v>343</v>
      </c>
      <c r="C17">
        <v>1825</v>
      </c>
      <c r="D17">
        <v>5104</v>
      </c>
      <c r="E17">
        <v>7080</v>
      </c>
      <c r="F17">
        <v>13542</v>
      </c>
      <c r="G17">
        <v>11498</v>
      </c>
      <c r="H17">
        <v>11763</v>
      </c>
      <c r="I17">
        <v>21229</v>
      </c>
    </row>
    <row r="18" spans="1:10">
      <c r="A18" t="s">
        <v>12</v>
      </c>
      <c r="B18">
        <v>327</v>
      </c>
      <c r="C18">
        <v>1872</v>
      </c>
      <c r="D18">
        <v>5115</v>
      </c>
      <c r="E18">
        <v>7101</v>
      </c>
      <c r="F18">
        <v>13011</v>
      </c>
      <c r="G18">
        <v>11420</v>
      </c>
      <c r="H18">
        <v>11877</v>
      </c>
      <c r="I18">
        <v>18546</v>
      </c>
    </row>
    <row r="19" spans="1:10">
      <c r="A19" t="s">
        <v>13</v>
      </c>
      <c r="B19">
        <f t="shared" ref="B19:F19" si="10">(SUM(B14:B18) -MAX(B14:B18) -MIN(B14:B18))/((COUNT(B14:B18)-2)*1000)</f>
        <v>0.33266666666666667</v>
      </c>
      <c r="C19">
        <f t="shared" si="10"/>
        <v>1.8356666666666666</v>
      </c>
      <c r="D19">
        <f t="shared" si="10"/>
        <v>5.1786666666666665</v>
      </c>
      <c r="E19">
        <f t="shared" si="10"/>
        <v>7.0979999999999999</v>
      </c>
      <c r="F19">
        <f t="shared" si="10"/>
        <v>13.209333333333333</v>
      </c>
      <c r="G19">
        <f t="shared" ref="G19" si="11">(SUM(G14:G18) -MAX(G14:G18) -MIN(G14:G18))/((COUNT(G14:G18)-2)*1000)</f>
        <v>11.559666666666667</v>
      </c>
      <c r="H19">
        <f t="shared" ref="H19" si="12">(SUM(H14:H18) -MAX(H14:H18) -MIN(H14:H18))/((COUNT(H14:H18)-2)*1000)</f>
        <v>11.925000000000001</v>
      </c>
      <c r="I19">
        <f t="shared" ref="I19" si="13">(SUM(I14:I18) -MAX(I14:I18) -MIN(I14:I18))/((COUNT(I14:I18)-2)*1000)</f>
        <v>18.693333333333332</v>
      </c>
      <c r="J19" t="s">
        <v>17</v>
      </c>
    </row>
    <row r="20" spans="1:10">
      <c r="A20" t="s">
        <v>15</v>
      </c>
      <c r="B20">
        <f>STDEV(B14:B18)/1000</f>
        <v>1.2973048986263343E-2</v>
      </c>
      <c r="C20">
        <f t="shared" ref="C20:I20" si="14">STDEV(C14:C18)/1000</f>
        <v>8.309332103123572E-2</v>
      </c>
      <c r="D20">
        <f t="shared" si="14"/>
        <v>0.1937542257603766</v>
      </c>
      <c r="E20">
        <f t="shared" si="14"/>
        <v>1.1571863721976667</v>
      </c>
      <c r="F20">
        <f t="shared" si="14"/>
        <v>0.21401331734260856</v>
      </c>
      <c r="G20">
        <f t="shared" si="14"/>
        <v>0.11551060557363588</v>
      </c>
      <c r="H20">
        <f t="shared" si="14"/>
        <v>0.17500514278161064</v>
      </c>
      <c r="I20">
        <f t="shared" si="14"/>
        <v>1.1890634970429459</v>
      </c>
    </row>
    <row r="21" spans="1:10">
      <c r="A21" t="s">
        <v>16</v>
      </c>
      <c r="B21">
        <f>CONFIDENCE(0.05,B20,5)</f>
        <v>1.137116985646399E-2</v>
      </c>
      <c r="C21">
        <f t="shared" ref="C21:F21" si="15">CONFIDENCE(0.05,C20,5)</f>
        <v>7.2833168855244226E-2</v>
      </c>
      <c r="D21">
        <f t="shared" si="15"/>
        <v>0.16982994621093384</v>
      </c>
      <c r="E21">
        <f t="shared" si="15"/>
        <v>1.0142999388792966</v>
      </c>
      <c r="F21">
        <f t="shared" si="15"/>
        <v>0.18758749663436541</v>
      </c>
      <c r="G21">
        <f t="shared" ref="G21" si="16">CONFIDENCE(0.05,G20,5)</f>
        <v>0.10124764946094275</v>
      </c>
      <c r="H21">
        <f t="shared" ref="H21" si="17">CONFIDENCE(0.05,H20,5)</f>
        <v>0.15339595236490478</v>
      </c>
      <c r="I21">
        <f t="shared" ref="I21" si="18">CONFIDENCE(0.05,I20,5)</f>
        <v>1.0422409573349574</v>
      </c>
    </row>
    <row r="23" spans="1:10">
      <c r="A23" t="s">
        <v>2</v>
      </c>
    </row>
    <row r="24" spans="1:10">
      <c r="A24" t="s">
        <v>8</v>
      </c>
      <c r="B24">
        <v>389</v>
      </c>
      <c r="C24">
        <v>2074</v>
      </c>
      <c r="D24">
        <v>5976</v>
      </c>
      <c r="E24">
        <v>8596</v>
      </c>
      <c r="F24">
        <v>15354</v>
      </c>
      <c r="G24">
        <v>13839</v>
      </c>
      <c r="H24">
        <v>13837</v>
      </c>
      <c r="I24">
        <v>21341</v>
      </c>
    </row>
    <row r="25" spans="1:10">
      <c r="A25" t="s">
        <v>9</v>
      </c>
      <c r="B25">
        <v>375</v>
      </c>
      <c r="C25">
        <v>2014</v>
      </c>
      <c r="D25">
        <v>6290</v>
      </c>
      <c r="E25">
        <v>9031</v>
      </c>
      <c r="F25">
        <v>15945</v>
      </c>
      <c r="G25">
        <v>15180</v>
      </c>
      <c r="H25">
        <v>14915</v>
      </c>
      <c r="I25">
        <v>23796</v>
      </c>
    </row>
    <row r="26" spans="1:10">
      <c r="A26" t="s">
        <v>10</v>
      </c>
      <c r="B26">
        <v>359</v>
      </c>
      <c r="C26">
        <v>2013</v>
      </c>
      <c r="D26">
        <v>6360</v>
      </c>
      <c r="E26">
        <v>9263</v>
      </c>
      <c r="F26">
        <v>15992</v>
      </c>
      <c r="G26">
        <v>14788</v>
      </c>
      <c r="H26">
        <v>18360</v>
      </c>
      <c r="I26">
        <v>22961</v>
      </c>
    </row>
    <row r="27" spans="1:10">
      <c r="A27" t="s">
        <v>11</v>
      </c>
      <c r="B27">
        <v>390</v>
      </c>
      <c r="C27">
        <v>2090</v>
      </c>
      <c r="D27">
        <v>6758</v>
      </c>
      <c r="E27">
        <v>9218</v>
      </c>
      <c r="F27">
        <v>16036</v>
      </c>
      <c r="G27">
        <v>15130</v>
      </c>
      <c r="H27">
        <v>14696</v>
      </c>
      <c r="I27">
        <v>23837</v>
      </c>
    </row>
    <row r="28" spans="1:10">
      <c r="A28" t="s">
        <v>12</v>
      </c>
      <c r="B28">
        <v>375</v>
      </c>
      <c r="C28">
        <v>2119</v>
      </c>
      <c r="D28">
        <v>6380</v>
      </c>
      <c r="E28">
        <v>9001</v>
      </c>
      <c r="F28">
        <v>16890</v>
      </c>
      <c r="G28">
        <v>14680</v>
      </c>
      <c r="H28">
        <v>14586</v>
      </c>
      <c r="I28">
        <v>23607</v>
      </c>
    </row>
    <row r="29" spans="1:10">
      <c r="A29" t="s">
        <v>13</v>
      </c>
      <c r="B29">
        <f t="shared" ref="B29:F29" si="19">(SUM(B24:B28) -MAX(B24:B28) -MIN(B24:B28))/((COUNT(B24:B28)-2)*1000)</f>
        <v>0.37966666666666665</v>
      </c>
      <c r="C29">
        <f t="shared" si="19"/>
        <v>2.0593333333333335</v>
      </c>
      <c r="D29">
        <f t="shared" si="19"/>
        <v>6.3433333333333337</v>
      </c>
      <c r="E29">
        <f t="shared" si="19"/>
        <v>9.0833333333333339</v>
      </c>
      <c r="F29">
        <f t="shared" si="19"/>
        <v>15.991</v>
      </c>
      <c r="G29">
        <f t="shared" ref="G29" si="20">(SUM(G24:G28) -MAX(G24:G28) -MIN(G24:G28))/((COUNT(G24:G28)-2)*1000)</f>
        <v>14.866</v>
      </c>
      <c r="H29">
        <f t="shared" ref="H29" si="21">(SUM(H24:H28) -MAX(H24:H28) -MIN(H24:H28))/((COUNT(H24:H28)-2)*1000)</f>
        <v>14.732333333333333</v>
      </c>
      <c r="I29">
        <f t="shared" ref="I29" si="22">(SUM(I24:I28) -MAX(I24:I28) -MIN(I24:I28))/((COUNT(I24:I28)-2)*1000)</f>
        <v>23.454666666666668</v>
      </c>
      <c r="J29" t="s">
        <v>17</v>
      </c>
    </row>
    <row r="30" spans="1:10">
      <c r="A30" t="s">
        <v>15</v>
      </c>
      <c r="B30">
        <f>STDEV(B24:B28)/1000</f>
        <v>1.2680693987317427E-2</v>
      </c>
      <c r="C30">
        <f t="shared" ref="C30:I30" si="23">STDEV(C24:C28)/1000</f>
        <v>4.7122181613333654E-2</v>
      </c>
      <c r="D30">
        <f t="shared" si="23"/>
        <v>0.27879239587908955</v>
      </c>
      <c r="E30">
        <f t="shared" si="23"/>
        <v>0.26386303265141742</v>
      </c>
      <c r="F30">
        <f t="shared" si="23"/>
        <v>0.54872196967135545</v>
      </c>
      <c r="G30">
        <f t="shared" si="23"/>
        <v>0.5389868272973023</v>
      </c>
      <c r="H30">
        <f t="shared" si="23"/>
        <v>1.7695026702438139</v>
      </c>
      <c r="I30">
        <f t="shared" si="23"/>
        <v>1.048532689046914</v>
      </c>
    </row>
    <row r="31" spans="1:10">
      <c r="A31" t="s">
        <v>16</v>
      </c>
      <c r="B31">
        <f>CONFIDENCE(0.05,B30,5)</f>
        <v>1.1114914110037653E-2</v>
      </c>
      <c r="C31">
        <f t="shared" ref="C31:F31" si="24">CONFIDENCE(0.05,C30,5)</f>
        <v>4.1303654345230291E-2</v>
      </c>
      <c r="D31">
        <f t="shared" si="24"/>
        <v>0.24436781912937164</v>
      </c>
      <c r="E31">
        <f t="shared" si="24"/>
        <v>0.23128189574386188</v>
      </c>
      <c r="F31">
        <f t="shared" si="24"/>
        <v>0.48096717492652236</v>
      </c>
      <c r="G31">
        <f t="shared" ref="G31" si="25">CONFIDENCE(0.05,G30,5)</f>
        <v>0.47243410319994261</v>
      </c>
      <c r="H31">
        <f t="shared" ref="H31" si="26">CONFIDENCE(0.05,H30,5)</f>
        <v>1.5510089760791526</v>
      </c>
      <c r="I31">
        <f t="shared" ref="I31" si="27">CONFIDENCE(0.05,I30,5)</f>
        <v>0.91906253648099578</v>
      </c>
    </row>
    <row r="33" spans="1:10">
      <c r="A33" t="s">
        <v>3</v>
      </c>
    </row>
    <row r="34" spans="1:10">
      <c r="A34" t="s">
        <v>8</v>
      </c>
      <c r="B34">
        <v>671</v>
      </c>
      <c r="C34">
        <v>3165</v>
      </c>
      <c r="D34">
        <v>9237</v>
      </c>
      <c r="E34">
        <v>13619</v>
      </c>
      <c r="F34">
        <v>25790</v>
      </c>
      <c r="G34">
        <v>26847</v>
      </c>
      <c r="H34">
        <v>20482</v>
      </c>
      <c r="I34">
        <v>36631</v>
      </c>
    </row>
    <row r="35" spans="1:10">
      <c r="A35" t="s">
        <v>9</v>
      </c>
      <c r="B35">
        <v>888</v>
      </c>
      <c r="C35">
        <v>3340</v>
      </c>
      <c r="D35">
        <v>10689</v>
      </c>
      <c r="E35">
        <v>15119</v>
      </c>
      <c r="F35">
        <v>28189</v>
      </c>
      <c r="G35">
        <v>27298</v>
      </c>
      <c r="H35">
        <v>23947</v>
      </c>
      <c r="I35">
        <v>39190</v>
      </c>
    </row>
    <row r="36" spans="1:10">
      <c r="A36" t="s">
        <v>10</v>
      </c>
      <c r="B36">
        <v>701</v>
      </c>
      <c r="C36">
        <v>3169</v>
      </c>
      <c r="D36">
        <v>10829</v>
      </c>
      <c r="E36">
        <v>16818</v>
      </c>
      <c r="F36">
        <v>30573</v>
      </c>
      <c r="G36">
        <v>26290</v>
      </c>
      <c r="H36">
        <v>24475</v>
      </c>
      <c r="I36">
        <v>34649</v>
      </c>
    </row>
    <row r="37" spans="1:10">
      <c r="A37" t="s">
        <v>11</v>
      </c>
      <c r="B37">
        <v>748</v>
      </c>
      <c r="C37">
        <v>3101</v>
      </c>
      <c r="D37">
        <v>10685</v>
      </c>
      <c r="E37">
        <v>15911</v>
      </c>
      <c r="F37">
        <v>26617</v>
      </c>
      <c r="G37">
        <v>26304</v>
      </c>
      <c r="H37">
        <v>24322</v>
      </c>
      <c r="I37">
        <v>35430</v>
      </c>
    </row>
    <row r="38" spans="1:10">
      <c r="A38" t="s">
        <v>12</v>
      </c>
      <c r="B38">
        <v>655</v>
      </c>
      <c r="C38">
        <v>3041</v>
      </c>
      <c r="D38">
        <v>10575</v>
      </c>
      <c r="E38">
        <v>15976</v>
      </c>
      <c r="F38">
        <v>27251</v>
      </c>
      <c r="G38">
        <v>26691</v>
      </c>
      <c r="H38">
        <v>23372</v>
      </c>
      <c r="I38">
        <v>35348</v>
      </c>
    </row>
    <row r="39" spans="1:10">
      <c r="A39" t="s">
        <v>13</v>
      </c>
      <c r="B39">
        <f t="shared" ref="B39:F39" si="28">(SUM(B34:B38) -MAX(B34:B38) -MIN(B34:B38))/((COUNT(B34:B38)-2)*1000)</f>
        <v>0.70666666666666667</v>
      </c>
      <c r="C39">
        <f t="shared" si="28"/>
        <v>3.145</v>
      </c>
      <c r="D39">
        <f t="shared" si="28"/>
        <v>10.649666666666667</v>
      </c>
      <c r="E39">
        <f t="shared" si="28"/>
        <v>15.668666666666667</v>
      </c>
      <c r="F39">
        <f t="shared" si="28"/>
        <v>27.352333333333334</v>
      </c>
      <c r="G39">
        <f t="shared" ref="G39" si="29">(SUM(G34:G38) -MAX(G34:G38) -MIN(G34:G38))/((COUNT(G34:G38)-2)*1000)</f>
        <v>26.614000000000001</v>
      </c>
      <c r="H39">
        <f t="shared" ref="H39" si="30">(SUM(H34:H38) -MAX(H34:H38) -MIN(H34:H38))/((COUNT(H34:H38)-2)*1000)</f>
        <v>23.880333333333333</v>
      </c>
      <c r="I39">
        <f t="shared" ref="I39" si="31">(SUM(I34:I38) -MAX(I34:I38) -MIN(I34:I38))/((COUNT(I34:I38)-2)*1000)</f>
        <v>35.802999999999997</v>
      </c>
      <c r="J39" t="s">
        <v>17</v>
      </c>
    </row>
    <row r="40" spans="1:10">
      <c r="A40" t="s">
        <v>15</v>
      </c>
      <c r="B40">
        <f>STDEV(B34:B38)/1000</f>
        <v>9.3809914188213855E-2</v>
      </c>
      <c r="C40">
        <f t="shared" ref="C40:I40" si="32">STDEV(C34:C38)/1000</f>
        <v>0.11191157223450689</v>
      </c>
      <c r="D40">
        <f t="shared" si="32"/>
        <v>0.65801519739288694</v>
      </c>
      <c r="E40">
        <f t="shared" si="32"/>
        <v>1.2057459516830284</v>
      </c>
      <c r="F40">
        <f t="shared" si="32"/>
        <v>1.8381077226321638</v>
      </c>
      <c r="G40">
        <f t="shared" si="32"/>
        <v>0.41929404956426464</v>
      </c>
      <c r="H40">
        <f t="shared" si="32"/>
        <v>1.6422625551354304</v>
      </c>
      <c r="I40">
        <f t="shared" si="32"/>
        <v>1.7915053167657506</v>
      </c>
    </row>
    <row r="41" spans="1:10">
      <c r="A41" t="s">
        <v>16</v>
      </c>
      <c r="B41">
        <f>CONFIDENCE(0.05,B40,5)</f>
        <v>8.2226504315524307E-2</v>
      </c>
      <c r="C41">
        <f t="shared" ref="C41:F41" si="33">CONFIDENCE(0.05,C40,5)</f>
        <v>9.8093015614909587E-2</v>
      </c>
      <c r="D41">
        <f t="shared" si="33"/>
        <v>0.57676515255681404</v>
      </c>
      <c r="E41">
        <f t="shared" si="33"/>
        <v>1.0568635048591362</v>
      </c>
      <c r="F41">
        <f t="shared" si="33"/>
        <v>1.6111428508949788</v>
      </c>
      <c r="G41">
        <f t="shared" ref="G41" si="34">CONFIDENCE(0.05,G40,5)</f>
        <v>0.36752068557271234</v>
      </c>
      <c r="H41">
        <f t="shared" ref="H41" si="35">CONFIDENCE(0.05,H40,5)</f>
        <v>1.4394801471210956</v>
      </c>
      <c r="I41">
        <f t="shared" ref="I41" si="36">CONFIDENCE(0.05,I40,5)</f>
        <v>1.570294791707969</v>
      </c>
    </row>
    <row r="43" spans="1:10">
      <c r="A43" t="s">
        <v>4</v>
      </c>
    </row>
    <row r="44" spans="1:10">
      <c r="A44" t="s">
        <v>8</v>
      </c>
      <c r="B44">
        <v>1015</v>
      </c>
      <c r="C44">
        <v>3901</v>
      </c>
      <c r="D44">
        <v>9343</v>
      </c>
      <c r="E44">
        <v>17037</v>
      </c>
      <c r="F44">
        <v>15987</v>
      </c>
      <c r="G44">
        <v>29139</v>
      </c>
      <c r="H44">
        <v>41368</v>
      </c>
      <c r="I44">
        <v>60745</v>
      </c>
    </row>
    <row r="45" spans="1:10">
      <c r="A45" t="s">
        <v>9</v>
      </c>
      <c r="B45">
        <v>999</v>
      </c>
      <c r="C45">
        <v>3856</v>
      </c>
      <c r="D45">
        <v>9050</v>
      </c>
      <c r="E45">
        <v>19827</v>
      </c>
      <c r="F45">
        <v>15699</v>
      </c>
      <c r="G45">
        <v>29611</v>
      </c>
      <c r="H45">
        <v>42683</v>
      </c>
      <c r="I45">
        <v>65490</v>
      </c>
    </row>
    <row r="46" spans="1:10">
      <c r="A46" t="s">
        <v>10</v>
      </c>
      <c r="B46">
        <v>1013</v>
      </c>
      <c r="C46">
        <v>3915</v>
      </c>
      <c r="D46">
        <v>8876</v>
      </c>
      <c r="E46">
        <v>17082</v>
      </c>
      <c r="F46">
        <v>15664</v>
      </c>
      <c r="G46">
        <v>30595</v>
      </c>
      <c r="H46">
        <v>41717</v>
      </c>
      <c r="I46">
        <v>65025</v>
      </c>
    </row>
    <row r="47" spans="1:10">
      <c r="A47" t="s">
        <v>11</v>
      </c>
      <c r="B47">
        <v>999</v>
      </c>
      <c r="C47">
        <v>3821</v>
      </c>
      <c r="D47">
        <v>8923</v>
      </c>
      <c r="E47">
        <v>16896</v>
      </c>
      <c r="F47">
        <v>15851</v>
      </c>
      <c r="G47">
        <v>31152</v>
      </c>
      <c r="H47">
        <v>42900</v>
      </c>
      <c r="I47">
        <v>63041</v>
      </c>
    </row>
    <row r="48" spans="1:10">
      <c r="A48" t="s">
        <v>12</v>
      </c>
      <c r="B48">
        <v>968</v>
      </c>
      <c r="C48">
        <v>3961</v>
      </c>
      <c r="D48">
        <v>8786</v>
      </c>
      <c r="E48">
        <v>16880</v>
      </c>
      <c r="F48">
        <v>15788</v>
      </c>
      <c r="G48">
        <v>30998</v>
      </c>
      <c r="H48">
        <v>45240</v>
      </c>
      <c r="I48">
        <v>62463</v>
      </c>
    </row>
    <row r="49" spans="1:10">
      <c r="A49" t="s">
        <v>13</v>
      </c>
      <c r="B49">
        <f t="shared" ref="B49:F49" si="37">(SUM(B44:B48) -MAX(B44:B48) -MIN(B44:B48))/((COUNT(B44:B48)-2)*1000)</f>
        <v>1.0036666666666667</v>
      </c>
      <c r="C49">
        <f t="shared" si="37"/>
        <v>3.8906666666666667</v>
      </c>
      <c r="D49">
        <f t="shared" si="37"/>
        <v>8.9496666666666673</v>
      </c>
      <c r="E49">
        <f t="shared" si="37"/>
        <v>17.004999999999999</v>
      </c>
      <c r="F49">
        <f t="shared" si="37"/>
        <v>15.779333333333334</v>
      </c>
      <c r="G49">
        <f t="shared" ref="G49" si="38">(SUM(G44:G48) -MAX(G44:G48) -MIN(G44:G48))/((COUNT(G44:G48)-2)*1000)</f>
        <v>30.401333333333334</v>
      </c>
      <c r="H49">
        <f t="shared" ref="H49" si="39">(SUM(H44:H48) -MAX(H44:H48) -MIN(H44:H48))/((COUNT(H44:H48)-2)*1000)</f>
        <v>42.43333333333333</v>
      </c>
      <c r="I49">
        <f t="shared" ref="I49" si="40">(SUM(I44:I48) -MAX(I44:I48) -MIN(I44:I48))/((COUNT(I44:I48)-2)*1000)</f>
        <v>63.509666666666668</v>
      </c>
      <c r="J49" t="s">
        <v>17</v>
      </c>
    </row>
    <row r="50" spans="1:10">
      <c r="A50" t="s">
        <v>15</v>
      </c>
      <c r="B50">
        <f>STDEV(B44:B48)/1000</f>
        <v>1.8793615937332375E-2</v>
      </c>
      <c r="C50">
        <f t="shared" ref="C50:I50" si="41">STDEV(C44:C48)/1000</f>
        <v>5.4085118101001271E-2</v>
      </c>
      <c r="D50">
        <f t="shared" si="41"/>
        <v>0.21630603320295305</v>
      </c>
      <c r="E50">
        <f t="shared" si="41"/>
        <v>1.2790016809996818</v>
      </c>
      <c r="F50">
        <f t="shared" si="41"/>
        <v>0.12882818014700076</v>
      </c>
      <c r="G50">
        <f t="shared" si="41"/>
        <v>0.88356805057675103</v>
      </c>
      <c r="H50">
        <f t="shared" si="41"/>
        <v>1.5165016650172827</v>
      </c>
      <c r="I50">
        <f t="shared" si="41"/>
        <v>1.9399394835921582</v>
      </c>
    </row>
    <row r="51" spans="1:10">
      <c r="A51" t="s">
        <v>16</v>
      </c>
      <c r="B51">
        <f>CONFIDENCE(0.05,B50,5)</f>
        <v>1.6473027988011105E-2</v>
      </c>
      <c r="C51">
        <f t="shared" ref="C51:F51" si="42">CONFIDENCE(0.05,C50,5)</f>
        <v>4.7406825125274089E-2</v>
      </c>
      <c r="D51">
        <f t="shared" si="42"/>
        <v>0.1895971137650948</v>
      </c>
      <c r="E51">
        <f t="shared" si="42"/>
        <v>1.1210738028315597</v>
      </c>
      <c r="F51">
        <f t="shared" si="42"/>
        <v>0.11292080376030662</v>
      </c>
      <c r="G51">
        <f t="shared" ref="G51" si="43">CONFIDENCE(0.05,G50,5)</f>
        <v>0.77446731246383127</v>
      </c>
      <c r="H51">
        <f t="shared" ref="H51" si="44">CONFIDENCE(0.05,H50,5)</f>
        <v>1.3292478922095647</v>
      </c>
      <c r="I51">
        <f t="shared" ref="I51" si="45">CONFIDENCE(0.05,I50,5)</f>
        <v>1.70040068472302</v>
      </c>
    </row>
    <row r="53" spans="1:10">
      <c r="A53" t="s">
        <v>5</v>
      </c>
    </row>
    <row r="54" spans="1:10">
      <c r="A54" t="s">
        <v>8</v>
      </c>
      <c r="B54">
        <v>1296</v>
      </c>
      <c r="C54">
        <v>5743</v>
      </c>
      <c r="D54">
        <v>13897</v>
      </c>
      <c r="E54">
        <v>28750</v>
      </c>
      <c r="F54">
        <v>29127</v>
      </c>
      <c r="G54">
        <v>60049</v>
      </c>
      <c r="H54">
        <v>98345</v>
      </c>
      <c r="I54">
        <v>132273</v>
      </c>
    </row>
    <row r="55" spans="1:10">
      <c r="A55" t="s">
        <v>9</v>
      </c>
      <c r="B55">
        <v>1248</v>
      </c>
      <c r="C55">
        <v>5755</v>
      </c>
      <c r="D55">
        <v>14289</v>
      </c>
      <c r="E55">
        <v>29889</v>
      </c>
      <c r="F55">
        <v>31077</v>
      </c>
      <c r="G55">
        <v>58373</v>
      </c>
      <c r="H55">
        <v>107964</v>
      </c>
      <c r="I55">
        <v>157731</v>
      </c>
    </row>
    <row r="56" spans="1:10">
      <c r="A56" t="s">
        <v>10</v>
      </c>
      <c r="B56">
        <v>1234</v>
      </c>
      <c r="C56">
        <v>5678</v>
      </c>
      <c r="D56">
        <v>14633</v>
      </c>
      <c r="E56">
        <v>30720</v>
      </c>
      <c r="F56">
        <v>30357</v>
      </c>
      <c r="G56">
        <v>62517</v>
      </c>
      <c r="H56">
        <v>94803</v>
      </c>
      <c r="I56">
        <v>143628</v>
      </c>
    </row>
    <row r="57" spans="1:10">
      <c r="A57" t="s">
        <v>11</v>
      </c>
      <c r="B57">
        <v>1279</v>
      </c>
      <c r="C57">
        <v>5366</v>
      </c>
      <c r="D57">
        <v>14415</v>
      </c>
      <c r="E57">
        <v>30544</v>
      </c>
      <c r="F57">
        <v>30545</v>
      </c>
      <c r="G57">
        <v>60874</v>
      </c>
      <c r="H57">
        <v>101306</v>
      </c>
      <c r="I57">
        <v>135409</v>
      </c>
    </row>
    <row r="58" spans="1:10">
      <c r="A58" t="s">
        <v>12</v>
      </c>
      <c r="B58">
        <v>1245</v>
      </c>
      <c r="C58">
        <v>5413</v>
      </c>
      <c r="D58">
        <v>14054</v>
      </c>
      <c r="E58">
        <v>30887</v>
      </c>
      <c r="F58">
        <v>30810</v>
      </c>
      <c r="G58">
        <v>61525</v>
      </c>
      <c r="H58">
        <v>97733</v>
      </c>
      <c r="I58">
        <v>142695</v>
      </c>
    </row>
    <row r="59" spans="1:10">
      <c r="A59" t="s">
        <v>13</v>
      </c>
      <c r="B59">
        <f t="shared" ref="B59:F59" si="46">(SUM(B54:B58) -MAX(B54:B58) -MIN(B54:B58))/((COUNT(B54:B58)-2)*1000)</f>
        <v>1.2573333333333334</v>
      </c>
      <c r="C59">
        <f t="shared" si="46"/>
        <v>5.6113333333333335</v>
      </c>
      <c r="D59">
        <f t="shared" si="46"/>
        <v>14.252666666666666</v>
      </c>
      <c r="E59">
        <f t="shared" si="46"/>
        <v>30.384333333333334</v>
      </c>
      <c r="F59">
        <f t="shared" si="46"/>
        <v>30.570666666666668</v>
      </c>
      <c r="G59">
        <f t="shared" ref="G59" si="47">(SUM(G54:G58) -MAX(G54:G58) -MIN(G54:G58))/((COUNT(G54:G58)-2)*1000)</f>
        <v>60.816000000000003</v>
      </c>
      <c r="H59">
        <f t="shared" ref="H59" si="48">(SUM(H54:H58) -MAX(H54:H58) -MIN(H54:H58))/((COUNT(H54:H58)-2)*1000)</f>
        <v>99.128</v>
      </c>
      <c r="I59">
        <f t="shared" ref="I59" si="49">(SUM(I54:I58) -MAX(I54:I58) -MIN(I54:I58))/((COUNT(I54:I58)-2)*1000)</f>
        <v>140.57733333333334</v>
      </c>
      <c r="J59" t="s">
        <v>17</v>
      </c>
    </row>
    <row r="60" spans="1:10">
      <c r="A60" t="s">
        <v>15</v>
      </c>
      <c r="B60">
        <f>STDEV(B54:B58)/1000</f>
        <v>2.5986534974868167E-2</v>
      </c>
      <c r="C60">
        <f t="shared" ref="C60:I60" si="50">STDEV(C54:C58)/1000</f>
        <v>0.18700133689361689</v>
      </c>
      <c r="D60">
        <f t="shared" si="50"/>
        <v>0.29076244599330897</v>
      </c>
      <c r="E60">
        <f t="shared" si="50"/>
        <v>0.87337076891776044</v>
      </c>
      <c r="F60">
        <f t="shared" si="50"/>
        <v>0.75306387511289352</v>
      </c>
      <c r="G60">
        <f t="shared" si="50"/>
        <v>1.5689065619087041</v>
      </c>
      <c r="H60">
        <f t="shared" si="50"/>
        <v>5.0003373586189932</v>
      </c>
      <c r="I60">
        <f t="shared" si="50"/>
        <v>9.8495030433012598</v>
      </c>
    </row>
    <row r="61" spans="1:10">
      <c r="A61" t="s">
        <v>16</v>
      </c>
      <c r="B61">
        <f>CONFIDENCE(0.05,B60,5)</f>
        <v>2.2777783656953637E-2</v>
      </c>
      <c r="C61">
        <f t="shared" ref="C61:F61" si="51">CONFIDENCE(0.05,C60,5)</f>
        <v>0.1639108869052103</v>
      </c>
      <c r="D61">
        <f t="shared" si="51"/>
        <v>0.25485983786631627</v>
      </c>
      <c r="E61">
        <f t="shared" si="51"/>
        <v>0.76552916523711789</v>
      </c>
      <c r="F61">
        <f t="shared" si="51"/>
        <v>0.66007746103039888</v>
      </c>
      <c r="G61">
        <f t="shared" ref="G61" si="52">CONFIDENCE(0.05,G60,5)</f>
        <v>1.3751819655714872</v>
      </c>
      <c r="H61">
        <f t="shared" ref="H61" si="53">CONFIDENCE(0.05,H60,5)</f>
        <v>4.3829084053167131</v>
      </c>
      <c r="I61">
        <f t="shared" ref="I61" si="54">CONFIDENCE(0.05,I60,5)</f>
        <v>8.633311430931192</v>
      </c>
    </row>
    <row r="63" spans="1:10">
      <c r="A63" t="s">
        <v>6</v>
      </c>
    </row>
    <row r="64" spans="1:10">
      <c r="A64" t="s">
        <v>8</v>
      </c>
      <c r="B64">
        <v>2230</v>
      </c>
      <c r="C64">
        <v>15647</v>
      </c>
      <c r="D64">
        <v>48858</v>
      </c>
      <c r="E64">
        <v>99107</v>
      </c>
      <c r="F64">
        <v>100326</v>
      </c>
      <c r="G64">
        <v>252191</v>
      </c>
      <c r="H64">
        <v>315210</v>
      </c>
      <c r="I64">
        <v>591327</v>
      </c>
    </row>
    <row r="65" spans="1:10">
      <c r="A65" t="s">
        <v>9</v>
      </c>
      <c r="B65">
        <v>2264</v>
      </c>
      <c r="C65">
        <v>16492</v>
      </c>
      <c r="D65">
        <v>54147</v>
      </c>
      <c r="E65">
        <v>109652</v>
      </c>
      <c r="F65">
        <v>129201</v>
      </c>
      <c r="G65">
        <v>321311</v>
      </c>
      <c r="H65">
        <v>369192</v>
      </c>
      <c r="I65">
        <v>670310</v>
      </c>
    </row>
    <row r="66" spans="1:10">
      <c r="A66" t="s">
        <v>10</v>
      </c>
      <c r="B66">
        <v>2310</v>
      </c>
      <c r="C66">
        <v>16488</v>
      </c>
      <c r="D66">
        <v>53928</v>
      </c>
      <c r="E66">
        <v>109574</v>
      </c>
      <c r="F66">
        <v>125860</v>
      </c>
      <c r="G66">
        <v>326434</v>
      </c>
      <c r="H66">
        <v>342297</v>
      </c>
      <c r="I66">
        <v>643816</v>
      </c>
    </row>
    <row r="67" spans="1:10">
      <c r="A67" t="s">
        <v>11</v>
      </c>
      <c r="B67">
        <v>2262</v>
      </c>
      <c r="C67">
        <v>15338</v>
      </c>
      <c r="D67">
        <v>54425</v>
      </c>
      <c r="E67">
        <v>110544</v>
      </c>
      <c r="F67">
        <v>122071</v>
      </c>
      <c r="G67">
        <v>284405</v>
      </c>
      <c r="H67">
        <v>341096</v>
      </c>
      <c r="I67">
        <v>645549</v>
      </c>
    </row>
    <row r="68" spans="1:10">
      <c r="A68" t="s">
        <v>12</v>
      </c>
      <c r="B68">
        <v>2248</v>
      </c>
      <c r="C68">
        <v>16380</v>
      </c>
      <c r="D68">
        <v>54771</v>
      </c>
      <c r="E68">
        <v>110482</v>
      </c>
      <c r="F68">
        <v>123960</v>
      </c>
      <c r="G68">
        <v>285919</v>
      </c>
      <c r="H68">
        <v>341875</v>
      </c>
      <c r="I68">
        <v>1077184</v>
      </c>
    </row>
    <row r="69" spans="1:10">
      <c r="A69" t="s">
        <v>13</v>
      </c>
      <c r="B69">
        <f t="shared" ref="B69:F69" si="55">(SUM(B64:B68) -MAX(B64:B68) -MIN(B64:B68))/((COUNT(B64:B68)-2)*1000)</f>
        <v>2.258</v>
      </c>
      <c r="C69">
        <f t="shared" si="55"/>
        <v>16.171666666666667</v>
      </c>
      <c r="D69">
        <f t="shared" si="55"/>
        <v>54.166666666666664</v>
      </c>
      <c r="E69">
        <f t="shared" si="55"/>
        <v>109.90266666666666</v>
      </c>
      <c r="F69">
        <f t="shared" si="55"/>
        <v>123.96366666666667</v>
      </c>
      <c r="G69">
        <f t="shared" ref="G69" si="56">(SUM(G64:G68) -MAX(G64:G68) -MIN(G64:G68))/((COUNT(G64:G68)-2)*1000)</f>
        <v>297.21166666666664</v>
      </c>
      <c r="H69">
        <f t="shared" ref="H69" si="57">(SUM(H64:H68) -MAX(H64:H68) -MIN(H64:H68))/((COUNT(H64:H68)-2)*1000)</f>
        <v>341.75599999999997</v>
      </c>
      <c r="I69">
        <f t="shared" ref="I69" si="58">(SUM(I64:I68) -MAX(I64:I68) -MIN(I64:I68))/((COUNT(I64:I68)-2)*1000)</f>
        <v>653.22500000000002</v>
      </c>
      <c r="J69" t="s">
        <v>17</v>
      </c>
    </row>
    <row r="70" spans="1:10">
      <c r="A70" t="s">
        <v>15</v>
      </c>
      <c r="B70">
        <f>STDEV(B64:B68)/1000</f>
        <v>2.968501305373111E-2</v>
      </c>
      <c r="C70">
        <f t="shared" ref="C70:I70" si="59">STDEV(C64:C68)/1000</f>
        <v>0.53936444080046653</v>
      </c>
      <c r="D70">
        <f t="shared" si="59"/>
        <v>2.4619654140543501</v>
      </c>
      <c r="E70">
        <f t="shared" si="59"/>
        <v>4.9204195146349834</v>
      </c>
      <c r="F70">
        <f t="shared" si="59"/>
        <v>11.463341279923549</v>
      </c>
      <c r="G70">
        <f t="shared" si="59"/>
        <v>30.426964291562182</v>
      </c>
      <c r="H70">
        <f t="shared" si="59"/>
        <v>19.09193700230545</v>
      </c>
      <c r="I70">
        <f t="shared" si="59"/>
        <v>198.61665968820429</v>
      </c>
    </row>
    <row r="71" spans="1:10">
      <c r="A71" t="s">
        <v>16</v>
      </c>
      <c r="B71">
        <f>CONFIDENCE(0.05,B70,5)</f>
        <v>2.6019583058905379E-2</v>
      </c>
      <c r="C71">
        <f t="shared" ref="C71:F71" si="60">CONFIDENCE(0.05,C70,5)</f>
        <v>0.4727650899470921</v>
      </c>
      <c r="D71">
        <f t="shared" si="60"/>
        <v>2.1579681795385941</v>
      </c>
      <c r="E71">
        <f t="shared" si="60"/>
        <v>4.3128586136704463</v>
      </c>
      <c r="F71">
        <f t="shared" si="60"/>
        <v>10.04787702217499</v>
      </c>
      <c r="G71">
        <f t="shared" ref="G71" si="61">CONFIDENCE(0.05,G70,5)</f>
        <v>26.669920042873009</v>
      </c>
      <c r="H71">
        <f t="shared" ref="H71" si="62">CONFIDENCE(0.05,H70,5)</f>
        <v>16.734513125788816</v>
      </c>
      <c r="I71">
        <f t="shared" ref="I71" si="63">CONFIDENCE(0.05,I70,5)</f>
        <v>174.09197915073912</v>
      </c>
    </row>
    <row r="73" spans="1:10">
      <c r="A73" s="1" t="s">
        <v>33</v>
      </c>
    </row>
    <row r="74" spans="1:10">
      <c r="A74" t="s">
        <v>27</v>
      </c>
    </row>
    <row r="75" spans="1:10">
      <c r="A75" t="s">
        <v>8</v>
      </c>
    </row>
    <row r="76" spans="1:10">
      <c r="A76" t="s">
        <v>9</v>
      </c>
    </row>
    <row r="77" spans="1:10">
      <c r="A77" t="s">
        <v>10</v>
      </c>
    </row>
    <row r="78" spans="1:10">
      <c r="A78" t="s">
        <v>11</v>
      </c>
    </row>
    <row r="79" spans="1:10">
      <c r="A79" t="s">
        <v>12</v>
      </c>
    </row>
    <row r="80" spans="1:10">
      <c r="A80" t="s">
        <v>13</v>
      </c>
      <c r="B80">
        <f t="shared" ref="B80:H80" si="64">(SUM(B75:B79) -MAX(B75:B79) -MIN(B75:B79))/((COUNT(B75:B79)-2)*1000)</f>
        <v>0</v>
      </c>
      <c r="C80">
        <f t="shared" si="64"/>
        <v>0</v>
      </c>
      <c r="D80">
        <f t="shared" si="64"/>
        <v>0</v>
      </c>
      <c r="E80">
        <f t="shared" si="64"/>
        <v>0</v>
      </c>
      <c r="F80">
        <f t="shared" si="64"/>
        <v>0</v>
      </c>
      <c r="G80">
        <f t="shared" si="64"/>
        <v>0</v>
      </c>
      <c r="H80">
        <f t="shared" si="64"/>
        <v>0</v>
      </c>
    </row>
    <row r="81" spans="1:8">
      <c r="A81" t="s">
        <v>15</v>
      </c>
      <c r="B81" t="e">
        <f>STDEV(B75:B79)/1000</f>
        <v>#DIV/0!</v>
      </c>
      <c r="C81" t="e">
        <f t="shared" ref="C81:H81" si="65">STDEV(C75:C79)/1000</f>
        <v>#DIV/0!</v>
      </c>
      <c r="D81" t="e">
        <f t="shared" si="65"/>
        <v>#DIV/0!</v>
      </c>
      <c r="E81" t="e">
        <f t="shared" si="65"/>
        <v>#DIV/0!</v>
      </c>
      <c r="F81" t="e">
        <f t="shared" si="65"/>
        <v>#DIV/0!</v>
      </c>
      <c r="G81" t="e">
        <f t="shared" si="65"/>
        <v>#DIV/0!</v>
      </c>
      <c r="H81" t="e">
        <f t="shared" si="65"/>
        <v>#DIV/0!</v>
      </c>
    </row>
    <row r="82" spans="1:8">
      <c r="A82" t="s">
        <v>16</v>
      </c>
      <c r="B82" t="e">
        <f>CONFIDENCE(0.05,B81,5)</f>
        <v>#DIV/0!</v>
      </c>
      <c r="C82" t="e">
        <f t="shared" ref="C82:H82" si="66">CONFIDENCE(0.05,C81,5)</f>
        <v>#DIV/0!</v>
      </c>
      <c r="D82" t="e">
        <f t="shared" si="66"/>
        <v>#DIV/0!</v>
      </c>
      <c r="E82" t="e">
        <f t="shared" si="66"/>
        <v>#DIV/0!</v>
      </c>
      <c r="F82" t="e">
        <f t="shared" si="66"/>
        <v>#DIV/0!</v>
      </c>
      <c r="G82" t="e">
        <f t="shared" si="66"/>
        <v>#DIV/0!</v>
      </c>
      <c r="H82" t="e">
        <f t="shared" si="66"/>
        <v>#DIV/0!</v>
      </c>
    </row>
    <row r="84" spans="1:8">
      <c r="A84" t="s">
        <v>28</v>
      </c>
    </row>
    <row r="85" spans="1:8">
      <c r="A85" t="s">
        <v>8</v>
      </c>
    </row>
    <row r="86" spans="1:8">
      <c r="A86" t="s">
        <v>9</v>
      </c>
    </row>
    <row r="87" spans="1:8">
      <c r="A87" t="s">
        <v>10</v>
      </c>
    </row>
    <row r="88" spans="1:8">
      <c r="A88" t="s">
        <v>11</v>
      </c>
    </row>
    <row r="89" spans="1:8">
      <c r="A89" t="s">
        <v>12</v>
      </c>
    </row>
    <row r="90" spans="1:8">
      <c r="A90" t="s">
        <v>13</v>
      </c>
      <c r="B90">
        <f>(SUM(B85:B89) -MAX(B85:B89) -MIN(B85:B89))/((COUNT(B85:B89)-2)*1000)</f>
        <v>0</v>
      </c>
      <c r="C90">
        <f t="shared" ref="C90:H90" si="67">(SUM(C85:C89) -MAX(C85:C89) -MIN(C85:C89))/((COUNT(C85:C89)-2)*1000)</f>
        <v>0</v>
      </c>
      <c r="D90">
        <f t="shared" si="67"/>
        <v>0</v>
      </c>
      <c r="E90">
        <f t="shared" si="67"/>
        <v>0</v>
      </c>
      <c r="F90">
        <f t="shared" si="67"/>
        <v>0</v>
      </c>
      <c r="G90">
        <f t="shared" si="67"/>
        <v>0</v>
      </c>
      <c r="H90">
        <f t="shared" si="67"/>
        <v>0</v>
      </c>
    </row>
    <row r="91" spans="1:8">
      <c r="A91" t="s">
        <v>15</v>
      </c>
      <c r="B91" t="e">
        <f>STDEV(B85:B89)/1000</f>
        <v>#DIV/0!</v>
      </c>
      <c r="C91" t="e">
        <f t="shared" ref="C91:H91" si="68">STDEV(C85:C89)/1000</f>
        <v>#DIV/0!</v>
      </c>
      <c r="D91" t="e">
        <f t="shared" si="68"/>
        <v>#DIV/0!</v>
      </c>
      <c r="E91" t="e">
        <f t="shared" si="68"/>
        <v>#DIV/0!</v>
      </c>
      <c r="F91" t="e">
        <f t="shared" si="68"/>
        <v>#DIV/0!</v>
      </c>
      <c r="G91" t="e">
        <f t="shared" si="68"/>
        <v>#DIV/0!</v>
      </c>
      <c r="H91" t="e">
        <f t="shared" si="68"/>
        <v>#DIV/0!</v>
      </c>
    </row>
    <row r="92" spans="1:8">
      <c r="A92" t="s">
        <v>16</v>
      </c>
      <c r="B92" t="e">
        <f>CONFIDENCE(0.05,B91,5)</f>
        <v>#DIV/0!</v>
      </c>
      <c r="C92" t="e">
        <f t="shared" ref="C92:H92" si="69">CONFIDENCE(0.05,C91,5)</f>
        <v>#DIV/0!</v>
      </c>
      <c r="D92" t="e">
        <f t="shared" si="69"/>
        <v>#DIV/0!</v>
      </c>
      <c r="E92" t="e">
        <f t="shared" si="69"/>
        <v>#DIV/0!</v>
      </c>
      <c r="F92" t="e">
        <f t="shared" si="69"/>
        <v>#DIV/0!</v>
      </c>
      <c r="G92" t="e">
        <f t="shared" si="69"/>
        <v>#DIV/0!</v>
      </c>
      <c r="H92" t="e">
        <f t="shared" si="69"/>
        <v>#DIV/0!</v>
      </c>
    </row>
    <row r="94" spans="1:8">
      <c r="A94" t="s">
        <v>29</v>
      </c>
    </row>
    <row r="95" spans="1:8">
      <c r="A95" t="s">
        <v>8</v>
      </c>
    </row>
    <row r="96" spans="1:8">
      <c r="A96" t="s">
        <v>9</v>
      </c>
    </row>
    <row r="97" spans="1:8">
      <c r="A97" t="s">
        <v>10</v>
      </c>
    </row>
    <row r="98" spans="1:8">
      <c r="A98" t="s">
        <v>11</v>
      </c>
    </row>
    <row r="99" spans="1:8">
      <c r="A99" t="s">
        <v>12</v>
      </c>
    </row>
    <row r="100" spans="1:8">
      <c r="A100" t="s">
        <v>13</v>
      </c>
      <c r="B100">
        <f t="shared" ref="B100:H100" si="70">(SUM(B95:B99) -MAX(B95:B99) -MIN(B95:B99))/((COUNT(B95:B99)-2)*1000)</f>
        <v>0</v>
      </c>
      <c r="C100">
        <f t="shared" si="70"/>
        <v>0</v>
      </c>
      <c r="D100">
        <f t="shared" si="70"/>
        <v>0</v>
      </c>
      <c r="E100">
        <f t="shared" si="70"/>
        <v>0</v>
      </c>
      <c r="F100">
        <f t="shared" si="70"/>
        <v>0</v>
      </c>
      <c r="G100">
        <f t="shared" si="70"/>
        <v>0</v>
      </c>
      <c r="H100">
        <f t="shared" si="70"/>
        <v>0</v>
      </c>
    </row>
    <row r="101" spans="1:8">
      <c r="A101" t="s">
        <v>15</v>
      </c>
      <c r="B101" t="e">
        <f>STDEV(B95:B99)/1000</f>
        <v>#DIV/0!</v>
      </c>
      <c r="C101" t="e">
        <f t="shared" ref="C101:H101" si="71">STDEV(C95:C99)/1000</f>
        <v>#DIV/0!</v>
      </c>
      <c r="D101" t="e">
        <f t="shared" si="71"/>
        <v>#DIV/0!</v>
      </c>
      <c r="E101" t="e">
        <f t="shared" si="71"/>
        <v>#DIV/0!</v>
      </c>
      <c r="F101" t="e">
        <f t="shared" si="71"/>
        <v>#DIV/0!</v>
      </c>
      <c r="G101" t="e">
        <f t="shared" si="71"/>
        <v>#DIV/0!</v>
      </c>
      <c r="H101" t="e">
        <f t="shared" si="71"/>
        <v>#DIV/0!</v>
      </c>
    </row>
    <row r="102" spans="1:8">
      <c r="A102" t="s">
        <v>16</v>
      </c>
      <c r="B102" t="e">
        <f>CONFIDENCE(0.05,B101,5)</f>
        <v>#DIV/0!</v>
      </c>
      <c r="C102" t="e">
        <f t="shared" ref="C102:H102" si="72">CONFIDENCE(0.05,C101,5)</f>
        <v>#DIV/0!</v>
      </c>
      <c r="D102" t="e">
        <f t="shared" si="72"/>
        <v>#DIV/0!</v>
      </c>
      <c r="E102" t="e">
        <f t="shared" si="72"/>
        <v>#DIV/0!</v>
      </c>
      <c r="F102" t="e">
        <f t="shared" si="72"/>
        <v>#DIV/0!</v>
      </c>
      <c r="G102" t="e">
        <f t="shared" si="72"/>
        <v>#DIV/0!</v>
      </c>
      <c r="H102" t="e">
        <f t="shared" si="72"/>
        <v>#DIV/0!</v>
      </c>
    </row>
    <row r="104" spans="1:8">
      <c r="A104" t="s">
        <v>30</v>
      </c>
    </row>
    <row r="105" spans="1:8">
      <c r="A105" t="s">
        <v>8</v>
      </c>
    </row>
    <row r="106" spans="1:8">
      <c r="A106" t="s">
        <v>9</v>
      </c>
    </row>
    <row r="107" spans="1:8">
      <c r="A107" t="s">
        <v>10</v>
      </c>
    </row>
    <row r="108" spans="1:8">
      <c r="A108" t="s">
        <v>11</v>
      </c>
    </row>
    <row r="109" spans="1:8">
      <c r="A109" t="s">
        <v>12</v>
      </c>
    </row>
    <row r="110" spans="1:8">
      <c r="A110" t="s">
        <v>13</v>
      </c>
      <c r="B110">
        <f t="shared" ref="B110:H110" si="73">(SUM(B105:B109) -MAX(B105:B109) -MIN(B105:B109))/((COUNT(B105:B109)-2)*1000)</f>
        <v>0</v>
      </c>
      <c r="C110">
        <f t="shared" si="73"/>
        <v>0</v>
      </c>
      <c r="D110">
        <f t="shared" si="73"/>
        <v>0</v>
      </c>
      <c r="E110">
        <f t="shared" si="73"/>
        <v>0</v>
      </c>
      <c r="F110">
        <f t="shared" si="73"/>
        <v>0</v>
      </c>
      <c r="G110">
        <f t="shared" si="73"/>
        <v>0</v>
      </c>
      <c r="H110">
        <f t="shared" si="73"/>
        <v>0</v>
      </c>
    </row>
    <row r="111" spans="1:8">
      <c r="A111" t="s">
        <v>15</v>
      </c>
      <c r="B111" t="e">
        <f>STDEV(B105:B109)/1000</f>
        <v>#DIV/0!</v>
      </c>
      <c r="C111" t="e">
        <f t="shared" ref="C111:H111" si="74">STDEV(C105:C109)/1000</f>
        <v>#DIV/0!</v>
      </c>
      <c r="D111" t="e">
        <f t="shared" si="74"/>
        <v>#DIV/0!</v>
      </c>
      <c r="E111" t="e">
        <f t="shared" si="74"/>
        <v>#DIV/0!</v>
      </c>
      <c r="F111" t="e">
        <f t="shared" si="74"/>
        <v>#DIV/0!</v>
      </c>
      <c r="G111" t="e">
        <f t="shared" si="74"/>
        <v>#DIV/0!</v>
      </c>
      <c r="H111" t="e">
        <f t="shared" si="74"/>
        <v>#DIV/0!</v>
      </c>
    </row>
    <row r="112" spans="1:8">
      <c r="A112" t="s">
        <v>16</v>
      </c>
      <c r="B112" t="e">
        <f>CONFIDENCE(0.05,B111,5)</f>
        <v>#DIV/0!</v>
      </c>
      <c r="C112" t="e">
        <f t="shared" ref="C112:H112" si="75">CONFIDENCE(0.05,C111,5)</f>
        <v>#DIV/0!</v>
      </c>
      <c r="D112" t="e">
        <f t="shared" si="75"/>
        <v>#DIV/0!</v>
      </c>
      <c r="E112" t="e">
        <f t="shared" si="75"/>
        <v>#DIV/0!</v>
      </c>
      <c r="F112" t="e">
        <f t="shared" si="75"/>
        <v>#DIV/0!</v>
      </c>
      <c r="G112" t="e">
        <f t="shared" si="75"/>
        <v>#DIV/0!</v>
      </c>
      <c r="H112" t="e">
        <f t="shared" si="75"/>
        <v>#DIV/0!</v>
      </c>
    </row>
    <row r="114" spans="1:8">
      <c r="A114" t="s">
        <v>31</v>
      </c>
    </row>
    <row r="115" spans="1:8">
      <c r="A115" t="s">
        <v>8</v>
      </c>
    </row>
    <row r="116" spans="1:8">
      <c r="A116" t="s">
        <v>9</v>
      </c>
    </row>
    <row r="117" spans="1:8">
      <c r="A117" t="s">
        <v>10</v>
      </c>
    </row>
    <row r="118" spans="1:8">
      <c r="A118" t="s">
        <v>11</v>
      </c>
    </row>
    <row r="119" spans="1:8">
      <c r="A119" t="s">
        <v>12</v>
      </c>
    </row>
    <row r="120" spans="1:8">
      <c r="A120" t="s">
        <v>13</v>
      </c>
      <c r="B120">
        <f t="shared" ref="B120:H120" si="76">(SUM(B115:B119) -MAX(B115:B119) -MIN(B115:B119))/((COUNT(B115:B119)-2)*1000)</f>
        <v>0</v>
      </c>
      <c r="C120">
        <f t="shared" si="76"/>
        <v>0</v>
      </c>
      <c r="D120">
        <f t="shared" si="76"/>
        <v>0</v>
      </c>
      <c r="E120">
        <f t="shared" si="76"/>
        <v>0</v>
      </c>
      <c r="F120">
        <f t="shared" si="76"/>
        <v>0</v>
      </c>
      <c r="G120">
        <f t="shared" si="76"/>
        <v>0</v>
      </c>
      <c r="H120">
        <f t="shared" si="76"/>
        <v>0</v>
      </c>
    </row>
    <row r="121" spans="1:8">
      <c r="A121" t="s">
        <v>15</v>
      </c>
      <c r="B121" t="e">
        <f>STDEV(B115:B119)/1000</f>
        <v>#DIV/0!</v>
      </c>
      <c r="C121" t="e">
        <f t="shared" ref="C121:H121" si="77">STDEV(C115:C119)/1000</f>
        <v>#DIV/0!</v>
      </c>
      <c r="D121" t="e">
        <f t="shared" si="77"/>
        <v>#DIV/0!</v>
      </c>
      <c r="E121" t="e">
        <f t="shared" si="77"/>
        <v>#DIV/0!</v>
      </c>
      <c r="F121" t="e">
        <f t="shared" si="77"/>
        <v>#DIV/0!</v>
      </c>
      <c r="G121" t="e">
        <f t="shared" si="77"/>
        <v>#DIV/0!</v>
      </c>
      <c r="H121" t="e">
        <f t="shared" si="77"/>
        <v>#DIV/0!</v>
      </c>
    </row>
    <row r="122" spans="1:8">
      <c r="A122" t="s">
        <v>16</v>
      </c>
      <c r="B122" t="e">
        <f>CONFIDENCE(0.05,B121,5)</f>
        <v>#DIV/0!</v>
      </c>
      <c r="C122" t="e">
        <f t="shared" ref="C122:H122" si="78">CONFIDENCE(0.05,C121,5)</f>
        <v>#DIV/0!</v>
      </c>
      <c r="D122" t="e">
        <f t="shared" si="78"/>
        <v>#DIV/0!</v>
      </c>
      <c r="E122" t="e">
        <f t="shared" si="78"/>
        <v>#DIV/0!</v>
      </c>
      <c r="F122" t="e">
        <f t="shared" si="78"/>
        <v>#DIV/0!</v>
      </c>
      <c r="G122" t="e">
        <f t="shared" si="78"/>
        <v>#DIV/0!</v>
      </c>
      <c r="H122" t="e">
        <f t="shared" si="78"/>
        <v>#DIV/0!</v>
      </c>
    </row>
    <row r="124" spans="1:8">
      <c r="A124" t="s">
        <v>32</v>
      </c>
    </row>
    <row r="125" spans="1:8">
      <c r="A125" t="s">
        <v>8</v>
      </c>
    </row>
    <row r="126" spans="1:8">
      <c r="A126" t="s">
        <v>9</v>
      </c>
    </row>
    <row r="127" spans="1:8">
      <c r="A127" t="s">
        <v>10</v>
      </c>
    </row>
    <row r="128" spans="1:8">
      <c r="A128" t="s">
        <v>11</v>
      </c>
    </row>
    <row r="129" spans="1:8">
      <c r="A129" t="s">
        <v>12</v>
      </c>
    </row>
    <row r="130" spans="1:8">
      <c r="A130" t="s">
        <v>13</v>
      </c>
      <c r="B130">
        <f t="shared" ref="B130:H130" si="79">(SUM(B125:B129) -MAX(B125:B129) -MIN(B125:B129))/((COUNT(B125:B129)-2)*1000)</f>
        <v>0</v>
      </c>
      <c r="C130">
        <f t="shared" si="79"/>
        <v>0</v>
      </c>
      <c r="D130">
        <f t="shared" si="79"/>
        <v>0</v>
      </c>
      <c r="E130">
        <f t="shared" si="79"/>
        <v>0</v>
      </c>
      <c r="F130">
        <f t="shared" si="79"/>
        <v>0</v>
      </c>
      <c r="G130">
        <f t="shared" si="79"/>
        <v>0</v>
      </c>
      <c r="H130">
        <f t="shared" si="79"/>
        <v>0</v>
      </c>
    </row>
    <row r="131" spans="1:8">
      <c r="A131" t="s">
        <v>15</v>
      </c>
      <c r="B131" t="e">
        <f>STDEV(B125:B129)/1000</f>
        <v>#DIV/0!</v>
      </c>
      <c r="C131" t="e">
        <f t="shared" ref="C131:H131" si="80">STDEV(C125:C129)/1000</f>
        <v>#DIV/0!</v>
      </c>
      <c r="D131" t="e">
        <f t="shared" si="80"/>
        <v>#DIV/0!</v>
      </c>
      <c r="E131" t="e">
        <f t="shared" si="80"/>
        <v>#DIV/0!</v>
      </c>
      <c r="F131" t="e">
        <f t="shared" si="80"/>
        <v>#DIV/0!</v>
      </c>
      <c r="G131" t="e">
        <f t="shared" si="80"/>
        <v>#DIV/0!</v>
      </c>
      <c r="H131" t="e">
        <f t="shared" si="80"/>
        <v>#DIV/0!</v>
      </c>
    </row>
    <row r="132" spans="1:8">
      <c r="A132" t="s">
        <v>16</v>
      </c>
      <c r="B132" t="e">
        <f>CONFIDENCE(0.05,B131,5)</f>
        <v>#DIV/0!</v>
      </c>
      <c r="C132" t="e">
        <f t="shared" ref="C132:H132" si="81">CONFIDENCE(0.05,C131,5)</f>
        <v>#DIV/0!</v>
      </c>
      <c r="D132" t="e">
        <f t="shared" si="81"/>
        <v>#DIV/0!</v>
      </c>
      <c r="E132" t="e">
        <f t="shared" si="81"/>
        <v>#DIV/0!</v>
      </c>
      <c r="F132" t="e">
        <f t="shared" si="81"/>
        <v>#DIV/0!</v>
      </c>
      <c r="G132" t="e">
        <f t="shared" si="81"/>
        <v>#DIV/0!</v>
      </c>
      <c r="H132" t="e">
        <f t="shared" si="81"/>
        <v>#DIV/0!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32"/>
  <sheetViews>
    <sheetView topLeftCell="A55" workbookViewId="0">
      <selection activeCell="A73" sqref="A73:XFD73"/>
    </sheetView>
  </sheetViews>
  <sheetFormatPr defaultRowHeight="14.4"/>
  <cols>
    <col min="1" max="1" width="24.109375" customWidth="1"/>
    <col min="2" max="7" width="12.6640625" customWidth="1"/>
    <col min="8" max="8" width="18.5546875" bestFit="1" customWidth="1"/>
  </cols>
  <sheetData>
    <row r="1" spans="1:8">
      <c r="A1" t="s">
        <v>19</v>
      </c>
      <c r="B1" t="s">
        <v>25</v>
      </c>
    </row>
    <row r="2" spans="1:8">
      <c r="A2" t="s">
        <v>14</v>
      </c>
      <c r="B2">
        <v>2</v>
      </c>
      <c r="C2">
        <v>4</v>
      </c>
      <c r="D2">
        <v>6</v>
      </c>
      <c r="E2">
        <v>8</v>
      </c>
      <c r="F2">
        <v>10</v>
      </c>
      <c r="G2">
        <v>12</v>
      </c>
    </row>
    <row r="3" spans="1:8">
      <c r="A3" t="s">
        <v>7</v>
      </c>
    </row>
    <row r="4" spans="1:8">
      <c r="A4" t="s">
        <v>8</v>
      </c>
      <c r="B4">
        <v>4727</v>
      </c>
      <c r="C4">
        <v>17159</v>
      </c>
      <c r="D4">
        <v>47844</v>
      </c>
      <c r="E4">
        <v>116520</v>
      </c>
      <c r="F4">
        <v>102742</v>
      </c>
      <c r="G4">
        <v>304096</v>
      </c>
    </row>
    <row r="5" spans="1:8">
      <c r="A5" t="s">
        <v>9</v>
      </c>
      <c r="B5">
        <v>13138</v>
      </c>
      <c r="C5">
        <v>40905</v>
      </c>
      <c r="D5">
        <v>125017</v>
      </c>
      <c r="E5">
        <v>302194</v>
      </c>
      <c r="F5">
        <v>281223</v>
      </c>
      <c r="G5">
        <v>800720</v>
      </c>
    </row>
    <row r="6" spans="1:8">
      <c r="A6" t="s">
        <v>10</v>
      </c>
      <c r="B6">
        <v>10797</v>
      </c>
      <c r="C6">
        <v>43353</v>
      </c>
      <c r="D6">
        <v>122896</v>
      </c>
      <c r="E6">
        <v>318103</v>
      </c>
      <c r="F6">
        <v>284904</v>
      </c>
      <c r="G6">
        <v>1460419</v>
      </c>
    </row>
    <row r="7" spans="1:8">
      <c r="A7" t="s">
        <v>11</v>
      </c>
      <c r="B7">
        <v>8499</v>
      </c>
      <c r="C7">
        <v>32760</v>
      </c>
      <c r="D7">
        <v>120882</v>
      </c>
      <c r="E7">
        <v>319658</v>
      </c>
      <c r="F7">
        <v>282285</v>
      </c>
      <c r="G7">
        <v>1121275</v>
      </c>
    </row>
    <row r="8" spans="1:8">
      <c r="A8" t="s">
        <v>12</v>
      </c>
      <c r="B8">
        <v>8687</v>
      </c>
      <c r="C8">
        <v>33042</v>
      </c>
      <c r="D8">
        <v>125568</v>
      </c>
      <c r="E8">
        <v>311926</v>
      </c>
      <c r="F8">
        <v>313299</v>
      </c>
      <c r="G8">
        <v>972275</v>
      </c>
    </row>
    <row r="9" spans="1:8">
      <c r="A9" t="s">
        <v>13</v>
      </c>
      <c r="B9">
        <f>(SUM(B4:B8) -MAX(B4:B8) -MIN(B4:B8))/((COUNT(B4:B8)-2)*1000)</f>
        <v>9.3276666666666674</v>
      </c>
      <c r="C9">
        <f t="shared" ref="C9:F9" si="0">(SUM(C4:C8) -MAX(C4:C8) -MIN(C4:C8))/((COUNT(C4:C8)-2)*1000)</f>
        <v>35.569000000000003</v>
      </c>
      <c r="D9">
        <f t="shared" si="0"/>
        <v>122.93166666666667</v>
      </c>
      <c r="E9">
        <f t="shared" si="0"/>
        <v>310.74099999999999</v>
      </c>
      <c r="F9">
        <f t="shared" si="0"/>
        <v>282.80399999999997</v>
      </c>
      <c r="G9">
        <f t="shared" ref="G9" si="1">(SUM(G4:G8) -MAX(G4:G8) -MIN(G4:G8))/((COUNT(G4:G8)-2)*1000)</f>
        <v>964.75666666666666</v>
      </c>
      <c r="H9" t="s">
        <v>17</v>
      </c>
    </row>
    <row r="10" spans="1:8">
      <c r="A10" t="s">
        <v>15</v>
      </c>
      <c r="B10">
        <f>STDEV(B4:B8)/1000</f>
        <v>3.1151216348643587</v>
      </c>
      <c r="C10">
        <f t="shared" ref="C10:F10" si="2">STDEV(C4:C8)/1000</f>
        <v>10.243113379241688</v>
      </c>
      <c r="D10">
        <f t="shared" si="2"/>
        <v>33.925727034214013</v>
      </c>
      <c r="E10">
        <f t="shared" si="2"/>
        <v>88.122712345910003</v>
      </c>
      <c r="F10">
        <f t="shared" si="2"/>
        <v>84.978512421082101</v>
      </c>
      <c r="G10">
        <f t="shared" ref="G10" si="3">STDEV(G4:G8)/1000</f>
        <v>426.66477390979912</v>
      </c>
    </row>
    <row r="11" spans="1:8">
      <c r="A11" t="s">
        <v>16</v>
      </c>
      <c r="B11">
        <f>CONFIDENCE(0.05,B10,5)</f>
        <v>2.7304743295963818</v>
      </c>
      <c r="C11">
        <f t="shared" ref="C11:F11" si="4">CONFIDENCE(0.05,C10,5)</f>
        <v>8.9783197625868958</v>
      </c>
      <c r="D11">
        <f t="shared" si="4"/>
        <v>29.736664450936882</v>
      </c>
      <c r="E11">
        <f t="shared" si="4"/>
        <v>77.241543707936316</v>
      </c>
      <c r="F11">
        <f t="shared" si="4"/>
        <v>74.485581601745466</v>
      </c>
      <c r="G11">
        <f t="shared" ref="G11" si="5">CONFIDENCE(0.05,G10,5)</f>
        <v>373.98129160194986</v>
      </c>
    </row>
    <row r="13" spans="1:8">
      <c r="A13" t="s">
        <v>1</v>
      </c>
    </row>
    <row r="14" spans="1:8">
      <c r="A14" t="s">
        <v>8</v>
      </c>
      <c r="B14">
        <v>406</v>
      </c>
      <c r="C14">
        <v>2027</v>
      </c>
      <c r="D14">
        <v>5633</v>
      </c>
      <c r="E14">
        <v>7550</v>
      </c>
      <c r="F14">
        <v>13682</v>
      </c>
      <c r="G14">
        <v>11963</v>
      </c>
    </row>
    <row r="15" spans="1:8">
      <c r="A15" t="s">
        <v>9</v>
      </c>
      <c r="B15">
        <v>435</v>
      </c>
      <c r="C15">
        <v>1947</v>
      </c>
      <c r="D15">
        <v>5585</v>
      </c>
      <c r="E15">
        <v>7333</v>
      </c>
      <c r="F15">
        <v>13358</v>
      </c>
      <c r="G15">
        <v>11546</v>
      </c>
    </row>
    <row r="16" spans="1:8">
      <c r="A16" t="s">
        <v>10</v>
      </c>
      <c r="B16">
        <v>405</v>
      </c>
      <c r="C16">
        <v>1873</v>
      </c>
      <c r="D16">
        <v>5551</v>
      </c>
      <c r="E16">
        <v>7312</v>
      </c>
      <c r="F16">
        <v>13400</v>
      </c>
      <c r="G16">
        <v>11714</v>
      </c>
    </row>
    <row r="17" spans="1:8">
      <c r="A17" t="s">
        <v>11</v>
      </c>
      <c r="B17">
        <v>436</v>
      </c>
      <c r="C17">
        <v>1840</v>
      </c>
      <c r="D17">
        <v>5633</v>
      </c>
      <c r="E17">
        <v>7303</v>
      </c>
      <c r="F17">
        <v>13979</v>
      </c>
      <c r="G17">
        <v>11666</v>
      </c>
    </row>
    <row r="18" spans="1:8">
      <c r="A18" t="s">
        <v>12</v>
      </c>
      <c r="B18">
        <v>343</v>
      </c>
      <c r="C18">
        <v>1809</v>
      </c>
      <c r="D18">
        <v>5518</v>
      </c>
      <c r="E18">
        <v>7237</v>
      </c>
      <c r="F18">
        <v>13944</v>
      </c>
      <c r="G18">
        <v>13917</v>
      </c>
    </row>
    <row r="19" spans="1:8">
      <c r="A19" t="s">
        <v>13</v>
      </c>
      <c r="B19">
        <f t="shared" ref="B19:F19" si="6">(SUM(B14:B18) -MAX(B14:B18) -MIN(B14:B18))/((COUNT(B14:B18)-2)*1000)</f>
        <v>0.41533333333333333</v>
      </c>
      <c r="C19">
        <f t="shared" si="6"/>
        <v>1.8866666666666667</v>
      </c>
      <c r="D19">
        <f t="shared" si="6"/>
        <v>5.589666666666667</v>
      </c>
      <c r="E19">
        <f t="shared" si="6"/>
        <v>7.3159999999999998</v>
      </c>
      <c r="F19">
        <f t="shared" si="6"/>
        <v>13.675333333333333</v>
      </c>
      <c r="G19">
        <f t="shared" ref="G19" si="7">(SUM(G14:G18) -MAX(G14:G18) -MIN(G14:G18))/((COUNT(G14:G18)-2)*1000)</f>
        <v>11.781000000000001</v>
      </c>
      <c r="H19" t="s">
        <v>17</v>
      </c>
    </row>
    <row r="20" spans="1:8">
      <c r="A20" t="s">
        <v>15</v>
      </c>
      <c r="B20">
        <f>STDEV(B14:B18)/1000</f>
        <v>3.7769034936042514E-2</v>
      </c>
      <c r="C20">
        <f t="shared" ref="C20:F20" si="8">STDEV(C14:C18)/1000</f>
        <v>8.7955670652893017E-2</v>
      </c>
      <c r="D20">
        <f t="shared" si="8"/>
        <v>5.0616202939375056E-2</v>
      </c>
      <c r="E20">
        <f t="shared" si="8"/>
        <v>0.11902310700027957</v>
      </c>
      <c r="F20">
        <f t="shared" si="8"/>
        <v>0.29193800711797002</v>
      </c>
      <c r="G20">
        <f t="shared" ref="G20" si="9">STDEV(G14:G18)/1000</f>
        <v>0.99320174184300947</v>
      </c>
    </row>
    <row r="21" spans="1:8">
      <c r="A21" t="s">
        <v>16</v>
      </c>
      <c r="B21">
        <f>CONFIDENCE(0.05,B20,5)</f>
        <v>3.3105410457265651E-2</v>
      </c>
      <c r="C21">
        <f t="shared" ref="C21:F21" si="10">CONFIDENCE(0.05,C20,5)</f>
        <v>7.7095127898790861E-2</v>
      </c>
      <c r="D21">
        <f t="shared" si="10"/>
        <v>4.4366242794760855E-2</v>
      </c>
      <c r="E21">
        <f t="shared" si="10"/>
        <v>0.10432643613520336</v>
      </c>
      <c r="F21">
        <f t="shared" si="10"/>
        <v>0.2558902436899072</v>
      </c>
      <c r="G21">
        <f t="shared" ref="G21" si="11">CONFIDENCE(0.05,G20,5)</f>
        <v>0.87056371406532074</v>
      </c>
    </row>
    <row r="23" spans="1:8">
      <c r="A23" t="s">
        <v>2</v>
      </c>
    </row>
    <row r="24" spans="1:8">
      <c r="A24" t="s">
        <v>8</v>
      </c>
      <c r="B24">
        <v>609</v>
      </c>
      <c r="C24">
        <v>2200</v>
      </c>
      <c r="D24">
        <v>7098</v>
      </c>
      <c r="E24">
        <v>9190</v>
      </c>
      <c r="F24">
        <v>16817</v>
      </c>
      <c r="G24">
        <v>14541</v>
      </c>
    </row>
    <row r="25" spans="1:8">
      <c r="A25" t="s">
        <v>9</v>
      </c>
      <c r="B25">
        <v>748</v>
      </c>
      <c r="C25">
        <v>2355</v>
      </c>
      <c r="D25">
        <v>7660</v>
      </c>
      <c r="E25">
        <v>9800</v>
      </c>
      <c r="F25">
        <v>17930</v>
      </c>
      <c r="G25">
        <v>16099</v>
      </c>
    </row>
    <row r="26" spans="1:8">
      <c r="A26" t="s">
        <v>10</v>
      </c>
      <c r="B26">
        <v>640</v>
      </c>
      <c r="C26">
        <v>2293</v>
      </c>
      <c r="D26">
        <v>7673</v>
      </c>
      <c r="E26">
        <v>10004</v>
      </c>
      <c r="F26">
        <v>18171</v>
      </c>
      <c r="G26">
        <v>15883</v>
      </c>
    </row>
    <row r="27" spans="1:8">
      <c r="A27" t="s">
        <v>11</v>
      </c>
      <c r="B27">
        <v>717</v>
      </c>
      <c r="C27">
        <v>2355</v>
      </c>
      <c r="D27">
        <v>7691</v>
      </c>
      <c r="E27">
        <v>10092</v>
      </c>
      <c r="F27">
        <v>18019</v>
      </c>
      <c r="G27">
        <v>16832</v>
      </c>
    </row>
    <row r="28" spans="1:8">
      <c r="A28" t="s">
        <v>12</v>
      </c>
      <c r="B28">
        <v>670</v>
      </c>
      <c r="C28">
        <v>2293</v>
      </c>
      <c r="D28">
        <v>7611</v>
      </c>
      <c r="E28">
        <v>9938</v>
      </c>
      <c r="F28">
        <v>18235</v>
      </c>
      <c r="G28">
        <v>16880</v>
      </c>
    </row>
    <row r="29" spans="1:8">
      <c r="A29" t="s">
        <v>13</v>
      </c>
      <c r="B29">
        <f t="shared" ref="B29:F29" si="12">(SUM(B24:B28) -MAX(B24:B28) -MIN(B24:B28))/((COUNT(B24:B28)-2)*1000)</f>
        <v>0.67566666666666664</v>
      </c>
      <c r="C29">
        <f t="shared" si="12"/>
        <v>2.3136666666666668</v>
      </c>
      <c r="D29">
        <f t="shared" si="12"/>
        <v>7.6479999999999997</v>
      </c>
      <c r="E29">
        <f t="shared" si="12"/>
        <v>9.9139999999999997</v>
      </c>
      <c r="F29">
        <f t="shared" si="12"/>
        <v>18.04</v>
      </c>
      <c r="G29">
        <f t="shared" ref="G29" si="13">(SUM(G24:G28) -MAX(G24:G28) -MIN(G24:G28))/((COUNT(G24:G28)-2)*1000)</f>
        <v>16.271333333333335</v>
      </c>
      <c r="H29" t="s">
        <v>17</v>
      </c>
    </row>
    <row r="30" spans="1:8">
      <c r="A30" t="s">
        <v>15</v>
      </c>
      <c r="B30">
        <f>STDEV(B24:B28)/1000</f>
        <v>5.6308969090189828E-2</v>
      </c>
      <c r="C30">
        <f t="shared" ref="C30:F30" si="14">STDEV(C24:C28)/1000</f>
        <v>6.3531094748950981E-2</v>
      </c>
      <c r="D30">
        <f t="shared" si="14"/>
        <v>0.25252584026193642</v>
      </c>
      <c r="E30">
        <f t="shared" si="14"/>
        <v>0.35982940402363311</v>
      </c>
      <c r="F30">
        <f t="shared" si="14"/>
        <v>0.58139900240713516</v>
      </c>
      <c r="G30">
        <f t="shared" ref="G30" si="15">STDEV(G24:G28)/1000</f>
        <v>0.9497039012239552</v>
      </c>
    </row>
    <row r="31" spans="1:8">
      <c r="A31" t="s">
        <v>16</v>
      </c>
      <c r="B31">
        <f>CONFIDENCE(0.05,B30,5)</f>
        <v>4.9356080644181385E-2</v>
      </c>
      <c r="C31">
        <f t="shared" ref="C31:F31" si="16">CONFIDENCE(0.05,C30,5)</f>
        <v>5.5686436574962035E-2</v>
      </c>
      <c r="D31">
        <f t="shared" si="16"/>
        <v>0.22134459106762852</v>
      </c>
      <c r="E31">
        <f t="shared" si="16"/>
        <v>0.3153985833889521</v>
      </c>
      <c r="F31">
        <f t="shared" si="16"/>
        <v>0.50960933067859204</v>
      </c>
      <c r="G31">
        <f t="shared" ref="G31" si="17">CONFIDENCE(0.05,G30,5)</f>
        <v>0.83243687629631202</v>
      </c>
    </row>
    <row r="33" spans="1:8">
      <c r="A33" t="s">
        <v>3</v>
      </c>
    </row>
    <row r="34" spans="1:8">
      <c r="A34" t="s">
        <v>8</v>
      </c>
      <c r="B34">
        <v>1327</v>
      </c>
      <c r="C34">
        <v>4009</v>
      </c>
      <c r="D34">
        <v>12245</v>
      </c>
      <c r="E34">
        <v>18005</v>
      </c>
      <c r="F34">
        <v>30611</v>
      </c>
      <c r="G34">
        <v>35181</v>
      </c>
    </row>
    <row r="35" spans="1:8">
      <c r="A35" t="s">
        <v>9</v>
      </c>
      <c r="B35">
        <v>1827</v>
      </c>
      <c r="C35">
        <v>4743</v>
      </c>
      <c r="D35">
        <v>15806</v>
      </c>
      <c r="E35">
        <v>19720</v>
      </c>
      <c r="F35">
        <v>33262</v>
      </c>
      <c r="G35">
        <v>37333</v>
      </c>
    </row>
    <row r="36" spans="1:8">
      <c r="A36" t="s">
        <v>10</v>
      </c>
      <c r="B36">
        <v>1028</v>
      </c>
      <c r="C36">
        <v>4774</v>
      </c>
      <c r="D36">
        <v>14008</v>
      </c>
      <c r="E36">
        <v>19624</v>
      </c>
      <c r="F36">
        <v>37474</v>
      </c>
      <c r="G36">
        <v>32439</v>
      </c>
    </row>
    <row r="37" spans="1:8">
      <c r="A37" t="s">
        <v>11</v>
      </c>
      <c r="B37">
        <v>811</v>
      </c>
      <c r="C37">
        <v>4605</v>
      </c>
      <c r="D37">
        <v>13757</v>
      </c>
      <c r="E37">
        <v>20249</v>
      </c>
      <c r="F37">
        <v>35444</v>
      </c>
      <c r="G37">
        <v>32749</v>
      </c>
    </row>
    <row r="38" spans="1:8">
      <c r="A38" t="s">
        <v>12</v>
      </c>
      <c r="B38">
        <v>766</v>
      </c>
      <c r="C38">
        <v>4587</v>
      </c>
      <c r="D38">
        <v>14053</v>
      </c>
      <c r="E38">
        <v>19781</v>
      </c>
      <c r="F38">
        <v>35798</v>
      </c>
      <c r="G38">
        <v>32429</v>
      </c>
    </row>
    <row r="39" spans="1:8">
      <c r="A39" t="s">
        <v>13</v>
      </c>
      <c r="B39">
        <f t="shared" ref="B39:F39" si="18">(SUM(B34:B38) -MAX(B34:B38) -MIN(B34:B38))/((COUNT(B34:B38)-2)*1000)</f>
        <v>1.0553333333333332</v>
      </c>
      <c r="C39">
        <f t="shared" si="18"/>
        <v>4.6449999999999996</v>
      </c>
      <c r="D39">
        <f t="shared" si="18"/>
        <v>13.939333333333334</v>
      </c>
      <c r="E39">
        <f t="shared" si="18"/>
        <v>19.708333333333332</v>
      </c>
      <c r="F39">
        <f t="shared" si="18"/>
        <v>34.834666666666664</v>
      </c>
      <c r="G39">
        <f t="shared" ref="G39" si="19">(SUM(G34:G38) -MAX(G34:G38) -MIN(G34:G38))/((COUNT(G34:G38)-2)*1000)</f>
        <v>33.456333333333333</v>
      </c>
      <c r="H39" t="s">
        <v>17</v>
      </c>
    </row>
    <row r="40" spans="1:8">
      <c r="A40" t="s">
        <v>15</v>
      </c>
      <c r="B40">
        <f>STDEV(B34:B38)/1000</f>
        <v>0.43786493351260725</v>
      </c>
      <c r="C40">
        <f t="shared" ref="C40:F40" si="20">STDEV(C34:C38)/1000</f>
        <v>0.30995773905486013</v>
      </c>
      <c r="D40">
        <f t="shared" si="20"/>
        <v>1.2649259662130383</v>
      </c>
      <c r="E40">
        <f t="shared" si="20"/>
        <v>0.85671389623373573</v>
      </c>
      <c r="F40">
        <f t="shared" si="20"/>
        <v>2.6493393893572881</v>
      </c>
      <c r="G40">
        <f t="shared" ref="G40" si="21">STDEV(G34:G38)/1000</f>
        <v>2.1777270719720705</v>
      </c>
    </row>
    <row r="41" spans="1:8">
      <c r="A41" t="s">
        <v>16</v>
      </c>
      <c r="B41">
        <f>CONFIDENCE(0.05,B40,5)</f>
        <v>0.38379848395186644</v>
      </c>
      <c r="C41">
        <f t="shared" ref="C41:F41" si="22">CONFIDENCE(0.05,C40,5)</f>
        <v>0.27168494490773915</v>
      </c>
      <c r="D41">
        <f t="shared" si="22"/>
        <v>1.1087361215463394</v>
      </c>
      <c r="E41">
        <f t="shared" si="22"/>
        <v>0.75092904087405588</v>
      </c>
      <c r="F41">
        <f t="shared" si="22"/>
        <v>2.3222056924090588</v>
      </c>
      <c r="G41">
        <f t="shared" ref="G41" si="23">CONFIDENCE(0.05,G40,5)</f>
        <v>1.9088268658073593</v>
      </c>
    </row>
    <row r="43" spans="1:8">
      <c r="A43" t="s">
        <v>4</v>
      </c>
    </row>
    <row r="44" spans="1:8">
      <c r="A44" t="s">
        <v>8</v>
      </c>
      <c r="B44">
        <v>1139</v>
      </c>
      <c r="C44">
        <v>5086</v>
      </c>
      <c r="D44">
        <v>11108</v>
      </c>
      <c r="E44">
        <v>19888</v>
      </c>
      <c r="F44">
        <v>18815</v>
      </c>
      <c r="G44">
        <v>33321</v>
      </c>
    </row>
    <row r="45" spans="1:8">
      <c r="A45" t="s">
        <v>9</v>
      </c>
      <c r="B45">
        <v>1029</v>
      </c>
      <c r="C45">
        <v>5009</v>
      </c>
      <c r="D45">
        <v>11247</v>
      </c>
      <c r="E45">
        <v>20014</v>
      </c>
      <c r="F45">
        <v>18960</v>
      </c>
      <c r="G45">
        <v>36786</v>
      </c>
    </row>
    <row r="46" spans="1:8">
      <c r="A46" t="s">
        <v>10</v>
      </c>
      <c r="B46">
        <v>1045</v>
      </c>
      <c r="C46">
        <v>5119</v>
      </c>
      <c r="D46">
        <v>11108</v>
      </c>
      <c r="E46">
        <v>20298</v>
      </c>
      <c r="F46">
        <v>18600</v>
      </c>
      <c r="G46">
        <v>32913</v>
      </c>
    </row>
    <row r="47" spans="1:8">
      <c r="A47" t="s">
        <v>11</v>
      </c>
      <c r="B47">
        <v>1030</v>
      </c>
      <c r="C47">
        <v>4835</v>
      </c>
      <c r="D47">
        <v>11215</v>
      </c>
      <c r="E47">
        <v>20149</v>
      </c>
      <c r="F47">
        <v>18627</v>
      </c>
      <c r="G47">
        <v>40979</v>
      </c>
    </row>
    <row r="48" spans="1:8">
      <c r="A48" t="s">
        <v>12</v>
      </c>
      <c r="B48">
        <v>1046</v>
      </c>
      <c r="C48">
        <v>5194</v>
      </c>
      <c r="D48">
        <v>11168</v>
      </c>
      <c r="E48">
        <v>20061</v>
      </c>
      <c r="F48">
        <v>18548</v>
      </c>
      <c r="G48">
        <v>33447</v>
      </c>
    </row>
    <row r="49" spans="1:8">
      <c r="A49" t="s">
        <v>13</v>
      </c>
      <c r="B49">
        <f t="shared" ref="B49:F49" si="24">(SUM(B44:B48) -MAX(B44:B48) -MIN(B44:B48))/((COUNT(B44:B48)-2)*1000)</f>
        <v>1.0403333333333333</v>
      </c>
      <c r="C49">
        <f t="shared" si="24"/>
        <v>5.0713333333333335</v>
      </c>
      <c r="D49">
        <f t="shared" si="24"/>
        <v>11.163666666666666</v>
      </c>
      <c r="E49">
        <f t="shared" si="24"/>
        <v>20.074666666666666</v>
      </c>
      <c r="F49">
        <f t="shared" si="24"/>
        <v>18.680666666666667</v>
      </c>
      <c r="G49">
        <f t="shared" ref="G49" si="25">(SUM(G44:G48) -MAX(G44:G48) -MIN(G44:G48))/((COUNT(G44:G48)-2)*1000)</f>
        <v>34.518000000000001</v>
      </c>
      <c r="H49" t="s">
        <v>17</v>
      </c>
    </row>
    <row r="50" spans="1:8">
      <c r="A50" t="s">
        <v>15</v>
      </c>
      <c r="B50">
        <f>STDEV(B44:B48)/1000</f>
        <v>4.6094468214743008E-2</v>
      </c>
      <c r="C50">
        <f t="shared" ref="C50:F50" si="26">STDEV(C44:C48)/1000</f>
        <v>0.13664662454667786</v>
      </c>
      <c r="D50">
        <f t="shared" si="26"/>
        <v>6.2535589866795679E-2</v>
      </c>
      <c r="E50">
        <f t="shared" si="26"/>
        <v>0.15317147253976507</v>
      </c>
      <c r="F50">
        <f t="shared" si="26"/>
        <v>0.17230641311338357</v>
      </c>
      <c r="G50">
        <f t="shared" ref="G50" si="27">STDEV(G44:G48)/1000</f>
        <v>3.439770079525672</v>
      </c>
    </row>
    <row r="51" spans="1:8">
      <c r="A51" t="s">
        <v>16</v>
      </c>
      <c r="B51">
        <f>CONFIDENCE(0.05,B50,5)</f>
        <v>4.0402840386113019E-2</v>
      </c>
      <c r="C51">
        <f t="shared" ref="C51:F51" si="28">CONFIDENCE(0.05,C50,5)</f>
        <v>0.11977384650886834</v>
      </c>
      <c r="D51">
        <f t="shared" si="28"/>
        <v>5.4813854106498874E-2</v>
      </c>
      <c r="E51">
        <f t="shared" si="28"/>
        <v>0.13425824825441096</v>
      </c>
      <c r="F51">
        <f t="shared" si="28"/>
        <v>0.15103045497978099</v>
      </c>
      <c r="G51">
        <f t="shared" ref="G51" si="29">CONFIDENCE(0.05,G50,5)</f>
        <v>3.015036009105152</v>
      </c>
    </row>
    <row r="53" spans="1:8">
      <c r="A53" t="s">
        <v>5</v>
      </c>
    </row>
    <row r="54" spans="1:8">
      <c r="A54" t="s">
        <v>8</v>
      </c>
      <c r="B54">
        <v>1577</v>
      </c>
      <c r="C54">
        <v>8159</v>
      </c>
      <c r="D54">
        <v>18565</v>
      </c>
      <c r="E54">
        <v>37879</v>
      </c>
      <c r="F54">
        <v>36909</v>
      </c>
      <c r="G54">
        <v>73724</v>
      </c>
    </row>
    <row r="55" spans="1:8">
      <c r="A55" t="s">
        <v>9</v>
      </c>
      <c r="B55">
        <v>1623</v>
      </c>
      <c r="C55">
        <v>8956</v>
      </c>
      <c r="D55">
        <v>21029</v>
      </c>
      <c r="E55">
        <v>38750</v>
      </c>
      <c r="F55">
        <v>37347</v>
      </c>
      <c r="G55">
        <v>76251</v>
      </c>
    </row>
    <row r="56" spans="1:8">
      <c r="A56" t="s">
        <v>10</v>
      </c>
      <c r="B56">
        <v>1497</v>
      </c>
      <c r="C56">
        <v>9625</v>
      </c>
      <c r="D56">
        <v>19951</v>
      </c>
      <c r="E56">
        <v>41572</v>
      </c>
      <c r="F56">
        <v>42870</v>
      </c>
      <c r="G56">
        <v>87688</v>
      </c>
    </row>
    <row r="57" spans="1:8">
      <c r="A57" t="s">
        <v>11</v>
      </c>
      <c r="B57">
        <v>1483</v>
      </c>
      <c r="C57">
        <v>7314</v>
      </c>
      <c r="D57">
        <v>19639</v>
      </c>
      <c r="E57">
        <v>40408</v>
      </c>
      <c r="F57">
        <v>43460</v>
      </c>
      <c r="G57">
        <v>114226</v>
      </c>
    </row>
    <row r="58" spans="1:8">
      <c r="A58" t="s">
        <v>12</v>
      </c>
      <c r="B58">
        <v>1557</v>
      </c>
      <c r="C58">
        <v>6988</v>
      </c>
      <c r="D58">
        <v>19735</v>
      </c>
      <c r="E58">
        <v>40311</v>
      </c>
      <c r="F58">
        <v>40621</v>
      </c>
      <c r="G58">
        <v>93244</v>
      </c>
    </row>
    <row r="59" spans="1:8">
      <c r="A59" t="s">
        <v>13</v>
      </c>
      <c r="B59">
        <f t="shared" ref="B59:F59" si="30">(SUM(B54:B58) -MAX(B54:B58) -MIN(B54:B58))/((COUNT(B54:B58)-2)*1000)</f>
        <v>1.5436666666666667</v>
      </c>
      <c r="C59">
        <f t="shared" si="30"/>
        <v>8.1430000000000007</v>
      </c>
      <c r="D59">
        <f t="shared" si="30"/>
        <v>19.774999999999999</v>
      </c>
      <c r="E59">
        <f t="shared" si="30"/>
        <v>39.823</v>
      </c>
      <c r="F59">
        <f t="shared" si="30"/>
        <v>40.279333333333334</v>
      </c>
      <c r="G59">
        <f t="shared" ref="G59" si="31">(SUM(G54:G58) -MAX(G54:G58) -MIN(G54:G58))/((COUNT(G54:G58)-2)*1000)</f>
        <v>85.727666666666664</v>
      </c>
      <c r="H59" t="s">
        <v>17</v>
      </c>
    </row>
    <row r="60" spans="1:8">
      <c r="A60" t="s">
        <v>15</v>
      </c>
      <c r="B60">
        <f>STDEV(B54:B58)/1000</f>
        <v>5.7816952531241333E-2</v>
      </c>
      <c r="C60">
        <f t="shared" ref="C60:F60" si="32">STDEV(C54:C58)/1000</f>
        <v>1.1019788110485598</v>
      </c>
      <c r="D60">
        <f t="shared" si="32"/>
        <v>0.87853582738553582</v>
      </c>
      <c r="E60">
        <f t="shared" si="32"/>
        <v>1.4630644210013448</v>
      </c>
      <c r="F60">
        <f t="shared" si="32"/>
        <v>3.0370817078241328</v>
      </c>
      <c r="G60">
        <f t="shared" ref="G60" si="33">STDEV(G54:G58)/1000</f>
        <v>16.217071215234867</v>
      </c>
    </row>
    <row r="61" spans="1:8">
      <c r="A61" t="s">
        <v>16</v>
      </c>
      <c r="B61">
        <f>CONFIDENCE(0.05,B60,5)</f>
        <v>5.0677862121079269E-2</v>
      </c>
      <c r="C61">
        <f t="shared" ref="C61:F61" si="34">CONFIDENCE(0.05,C60,5)</f>
        <v>0.96590926712184433</v>
      </c>
      <c r="D61">
        <f t="shared" si="34"/>
        <v>0.77005645540751888</v>
      </c>
      <c r="E61">
        <f t="shared" si="34"/>
        <v>1.2824089433233039</v>
      </c>
      <c r="F61">
        <f t="shared" si="34"/>
        <v>2.6620705744806719</v>
      </c>
      <c r="G61">
        <f t="shared" ref="G61" si="35">CONFIDENCE(0.05,G60,5)</f>
        <v>14.214628462289015</v>
      </c>
    </row>
    <row r="63" spans="1:8">
      <c r="A63" t="s">
        <v>6</v>
      </c>
    </row>
    <row r="64" spans="1:8">
      <c r="A64" t="s">
        <v>8</v>
      </c>
      <c r="B64">
        <v>4491</v>
      </c>
      <c r="C64">
        <v>23525</v>
      </c>
      <c r="D64">
        <v>78483</v>
      </c>
      <c r="E64">
        <v>147344</v>
      </c>
      <c r="F64">
        <v>167828</v>
      </c>
      <c r="G64">
        <v>427504</v>
      </c>
    </row>
    <row r="65" spans="1:8">
      <c r="A65" t="s">
        <v>9</v>
      </c>
      <c r="B65">
        <v>4649</v>
      </c>
      <c r="C65">
        <v>25209</v>
      </c>
      <c r="D65">
        <v>90464</v>
      </c>
      <c r="E65">
        <v>160070</v>
      </c>
      <c r="F65">
        <v>172662</v>
      </c>
      <c r="G65">
        <v>419126</v>
      </c>
    </row>
    <row r="66" spans="1:8">
      <c r="A66" t="s">
        <v>10</v>
      </c>
      <c r="B66">
        <v>2605</v>
      </c>
      <c r="C66">
        <v>22868</v>
      </c>
      <c r="D66">
        <v>92589</v>
      </c>
      <c r="E66">
        <v>164692</v>
      </c>
      <c r="F66">
        <v>175985</v>
      </c>
      <c r="G66">
        <v>480669</v>
      </c>
    </row>
    <row r="67" spans="1:8">
      <c r="A67" t="s">
        <v>11</v>
      </c>
      <c r="B67">
        <v>2669</v>
      </c>
      <c r="C67">
        <v>25628</v>
      </c>
      <c r="D67">
        <v>92663</v>
      </c>
      <c r="E67">
        <v>167106</v>
      </c>
      <c r="F67">
        <v>175208</v>
      </c>
      <c r="G67">
        <v>496598</v>
      </c>
    </row>
    <row r="68" spans="1:8">
      <c r="A68" t="s">
        <v>12</v>
      </c>
      <c r="B68">
        <v>2655</v>
      </c>
      <c r="C68">
        <v>25285</v>
      </c>
      <c r="D68">
        <v>94369</v>
      </c>
      <c r="E68">
        <v>155971</v>
      </c>
      <c r="F68">
        <v>174766</v>
      </c>
      <c r="G68">
        <v>412843</v>
      </c>
    </row>
    <row r="69" spans="1:8">
      <c r="A69" t="s">
        <v>13</v>
      </c>
      <c r="B69">
        <f t="shared" ref="B69:F69" si="36">(SUM(B64:B68) -MAX(B64:B68) -MIN(B64:B68))/((COUNT(B64:B68)-2)*1000)</f>
        <v>3.2716666666666665</v>
      </c>
      <c r="C69">
        <f t="shared" si="36"/>
        <v>24.672999999999998</v>
      </c>
      <c r="D69">
        <f t="shared" si="36"/>
        <v>91.905333333333331</v>
      </c>
      <c r="E69">
        <f t="shared" si="36"/>
        <v>160.24433333333334</v>
      </c>
      <c r="F69">
        <f t="shared" si="36"/>
        <v>174.21199999999999</v>
      </c>
      <c r="G69">
        <f t="shared" ref="G69" si="37">(SUM(G64:G68) -MAX(G64:G68) -MIN(G64:G68))/((COUNT(G64:G68)-2)*1000)</f>
        <v>442.43299999999999</v>
      </c>
      <c r="H69" t="s">
        <v>17</v>
      </c>
    </row>
    <row r="70" spans="1:8">
      <c r="A70" t="s">
        <v>15</v>
      </c>
      <c r="B70">
        <f>STDEV(B64:B68)/1000</f>
        <v>1.0572063185584919</v>
      </c>
      <c r="C70">
        <f t="shared" ref="C70:F70" si="38">STDEV(C64:C68)/1000</f>
        <v>1.2252850688717298</v>
      </c>
      <c r="D70">
        <f t="shared" si="38"/>
        <v>6.4290184165235704</v>
      </c>
      <c r="E70">
        <f t="shared" si="38"/>
        <v>7.8147533422366724</v>
      </c>
      <c r="F70">
        <f t="shared" si="38"/>
        <v>3.2919657045596553</v>
      </c>
      <c r="G70">
        <f t="shared" ref="G70" si="39">STDEV(G64:G68)/1000</f>
        <v>38.460083807761002</v>
      </c>
    </row>
    <row r="71" spans="1:8">
      <c r="A71" t="s">
        <v>16</v>
      </c>
      <c r="B71">
        <f>CONFIDENCE(0.05,B70,5)</f>
        <v>0.92666516825650402</v>
      </c>
      <c r="C71">
        <f t="shared" ref="C71:F71" si="40">CONFIDENCE(0.05,C70,5)</f>
        <v>1.0739899814980003</v>
      </c>
      <c r="D71">
        <f t="shared" si="40"/>
        <v>5.6351795558648705</v>
      </c>
      <c r="E71">
        <f t="shared" si="40"/>
        <v>6.84980745351662</v>
      </c>
      <c r="F71">
        <f t="shared" si="40"/>
        <v>2.8854821428516053</v>
      </c>
      <c r="G71">
        <f t="shared" ref="G71" si="41">CONFIDENCE(0.05,G70,5)</f>
        <v>33.711130369966916</v>
      </c>
    </row>
    <row r="73" spans="1:8">
      <c r="A73" s="1" t="s">
        <v>33</v>
      </c>
    </row>
    <row r="74" spans="1:8">
      <c r="A74" t="s">
        <v>27</v>
      </c>
    </row>
    <row r="75" spans="1:8">
      <c r="A75" t="s">
        <v>8</v>
      </c>
    </row>
    <row r="76" spans="1:8">
      <c r="A76" t="s">
        <v>9</v>
      </c>
    </row>
    <row r="77" spans="1:8">
      <c r="A77" t="s">
        <v>10</v>
      </c>
    </row>
    <row r="78" spans="1:8">
      <c r="A78" t="s">
        <v>11</v>
      </c>
    </row>
    <row r="79" spans="1:8">
      <c r="A79" t="s">
        <v>12</v>
      </c>
    </row>
    <row r="80" spans="1:8">
      <c r="A80" t="s">
        <v>13</v>
      </c>
      <c r="B80">
        <f t="shared" ref="B80:H80" si="42">(SUM(B75:B79) -MAX(B75:B79) -MIN(B75:B79))/((COUNT(B75:B79)-2)*1000)</f>
        <v>0</v>
      </c>
      <c r="C80">
        <f t="shared" si="42"/>
        <v>0</v>
      </c>
      <c r="D80">
        <f t="shared" si="42"/>
        <v>0</v>
      </c>
      <c r="E80">
        <f t="shared" si="42"/>
        <v>0</v>
      </c>
      <c r="F80">
        <f t="shared" si="42"/>
        <v>0</v>
      </c>
      <c r="G80">
        <f t="shared" si="42"/>
        <v>0</v>
      </c>
      <c r="H80">
        <f t="shared" si="42"/>
        <v>0</v>
      </c>
    </row>
    <row r="81" spans="1:8">
      <c r="A81" t="s">
        <v>15</v>
      </c>
      <c r="B81" t="e">
        <f>STDEV(B75:B79)/1000</f>
        <v>#DIV/0!</v>
      </c>
      <c r="C81" t="e">
        <f t="shared" ref="C81:H81" si="43">STDEV(C75:C79)/1000</f>
        <v>#DIV/0!</v>
      </c>
      <c r="D81" t="e">
        <f t="shared" si="43"/>
        <v>#DIV/0!</v>
      </c>
      <c r="E81" t="e">
        <f t="shared" si="43"/>
        <v>#DIV/0!</v>
      </c>
      <c r="F81" t="e">
        <f t="shared" si="43"/>
        <v>#DIV/0!</v>
      </c>
      <c r="G81" t="e">
        <f t="shared" si="43"/>
        <v>#DIV/0!</v>
      </c>
      <c r="H81" t="e">
        <f t="shared" si="43"/>
        <v>#DIV/0!</v>
      </c>
    </row>
    <row r="82" spans="1:8">
      <c r="A82" t="s">
        <v>16</v>
      </c>
      <c r="B82" t="e">
        <f>CONFIDENCE(0.05,B81,5)</f>
        <v>#DIV/0!</v>
      </c>
      <c r="C82" t="e">
        <f t="shared" ref="C82:H82" si="44">CONFIDENCE(0.05,C81,5)</f>
        <v>#DIV/0!</v>
      </c>
      <c r="D82" t="e">
        <f t="shared" si="44"/>
        <v>#DIV/0!</v>
      </c>
      <c r="E82" t="e">
        <f t="shared" si="44"/>
        <v>#DIV/0!</v>
      </c>
      <c r="F82" t="e">
        <f t="shared" si="44"/>
        <v>#DIV/0!</v>
      </c>
      <c r="G82" t="e">
        <f t="shared" si="44"/>
        <v>#DIV/0!</v>
      </c>
      <c r="H82" t="e">
        <f t="shared" si="44"/>
        <v>#DIV/0!</v>
      </c>
    </row>
    <row r="84" spans="1:8">
      <c r="A84" t="s">
        <v>28</v>
      </c>
    </row>
    <row r="85" spans="1:8">
      <c r="A85" t="s">
        <v>8</v>
      </c>
    </row>
    <row r="86" spans="1:8">
      <c r="A86" t="s">
        <v>9</v>
      </c>
    </row>
    <row r="87" spans="1:8">
      <c r="A87" t="s">
        <v>10</v>
      </c>
    </row>
    <row r="88" spans="1:8">
      <c r="A88" t="s">
        <v>11</v>
      </c>
    </row>
    <row r="89" spans="1:8">
      <c r="A89" t="s">
        <v>12</v>
      </c>
    </row>
    <row r="90" spans="1:8">
      <c r="A90" t="s">
        <v>13</v>
      </c>
      <c r="B90">
        <f>(SUM(B85:B89) -MAX(B85:B89) -MIN(B85:B89))/((COUNT(B85:B89)-2)*1000)</f>
        <v>0</v>
      </c>
      <c r="C90">
        <f t="shared" ref="C90:H90" si="45">(SUM(C85:C89) -MAX(C85:C89) -MIN(C85:C89))/((COUNT(C85:C89)-2)*1000)</f>
        <v>0</v>
      </c>
      <c r="D90">
        <f t="shared" si="45"/>
        <v>0</v>
      </c>
      <c r="E90">
        <f t="shared" si="45"/>
        <v>0</v>
      </c>
      <c r="F90">
        <f t="shared" si="45"/>
        <v>0</v>
      </c>
      <c r="G90">
        <f t="shared" si="45"/>
        <v>0</v>
      </c>
      <c r="H90">
        <f t="shared" si="45"/>
        <v>0</v>
      </c>
    </row>
    <row r="91" spans="1:8">
      <c r="A91" t="s">
        <v>15</v>
      </c>
      <c r="B91" t="e">
        <f>STDEV(B85:B89)/1000</f>
        <v>#DIV/0!</v>
      </c>
      <c r="C91" t="e">
        <f t="shared" ref="C91:H91" si="46">STDEV(C85:C89)/1000</f>
        <v>#DIV/0!</v>
      </c>
      <c r="D91" t="e">
        <f t="shared" si="46"/>
        <v>#DIV/0!</v>
      </c>
      <c r="E91" t="e">
        <f t="shared" si="46"/>
        <v>#DIV/0!</v>
      </c>
      <c r="F91" t="e">
        <f t="shared" si="46"/>
        <v>#DIV/0!</v>
      </c>
      <c r="G91" t="e">
        <f t="shared" si="46"/>
        <v>#DIV/0!</v>
      </c>
      <c r="H91" t="e">
        <f t="shared" si="46"/>
        <v>#DIV/0!</v>
      </c>
    </row>
    <row r="92" spans="1:8">
      <c r="A92" t="s">
        <v>16</v>
      </c>
      <c r="B92" t="e">
        <f>CONFIDENCE(0.05,B91,5)</f>
        <v>#DIV/0!</v>
      </c>
      <c r="C92" t="e">
        <f t="shared" ref="C92:H92" si="47">CONFIDENCE(0.05,C91,5)</f>
        <v>#DIV/0!</v>
      </c>
      <c r="D92" t="e">
        <f t="shared" si="47"/>
        <v>#DIV/0!</v>
      </c>
      <c r="E92" t="e">
        <f t="shared" si="47"/>
        <v>#DIV/0!</v>
      </c>
      <c r="F92" t="e">
        <f t="shared" si="47"/>
        <v>#DIV/0!</v>
      </c>
      <c r="G92" t="e">
        <f t="shared" si="47"/>
        <v>#DIV/0!</v>
      </c>
      <c r="H92" t="e">
        <f t="shared" si="47"/>
        <v>#DIV/0!</v>
      </c>
    </row>
    <row r="94" spans="1:8">
      <c r="A94" t="s">
        <v>29</v>
      </c>
    </row>
    <row r="95" spans="1:8">
      <c r="A95" t="s">
        <v>8</v>
      </c>
    </row>
    <row r="96" spans="1:8">
      <c r="A96" t="s">
        <v>9</v>
      </c>
    </row>
    <row r="97" spans="1:8">
      <c r="A97" t="s">
        <v>10</v>
      </c>
    </row>
    <row r="98" spans="1:8">
      <c r="A98" t="s">
        <v>11</v>
      </c>
    </row>
    <row r="99" spans="1:8">
      <c r="A99" t="s">
        <v>12</v>
      </c>
    </row>
    <row r="100" spans="1:8">
      <c r="A100" t="s">
        <v>13</v>
      </c>
      <c r="B100">
        <f t="shared" ref="B100:H100" si="48">(SUM(B95:B99) -MAX(B95:B99) -MIN(B95:B99))/((COUNT(B95:B99)-2)*1000)</f>
        <v>0</v>
      </c>
      <c r="C100">
        <f t="shared" si="48"/>
        <v>0</v>
      </c>
      <c r="D100">
        <f t="shared" si="48"/>
        <v>0</v>
      </c>
      <c r="E100">
        <f t="shared" si="48"/>
        <v>0</v>
      </c>
      <c r="F100">
        <f t="shared" si="48"/>
        <v>0</v>
      </c>
      <c r="G100">
        <f t="shared" si="48"/>
        <v>0</v>
      </c>
      <c r="H100">
        <f t="shared" si="48"/>
        <v>0</v>
      </c>
    </row>
    <row r="101" spans="1:8">
      <c r="A101" t="s">
        <v>15</v>
      </c>
      <c r="B101" t="e">
        <f>STDEV(B95:B99)/1000</f>
        <v>#DIV/0!</v>
      </c>
      <c r="C101" t="e">
        <f t="shared" ref="C101:H101" si="49">STDEV(C95:C99)/1000</f>
        <v>#DIV/0!</v>
      </c>
      <c r="D101" t="e">
        <f t="shared" si="49"/>
        <v>#DIV/0!</v>
      </c>
      <c r="E101" t="e">
        <f t="shared" si="49"/>
        <v>#DIV/0!</v>
      </c>
      <c r="F101" t="e">
        <f t="shared" si="49"/>
        <v>#DIV/0!</v>
      </c>
      <c r="G101" t="e">
        <f t="shared" si="49"/>
        <v>#DIV/0!</v>
      </c>
      <c r="H101" t="e">
        <f t="shared" si="49"/>
        <v>#DIV/0!</v>
      </c>
    </row>
    <row r="102" spans="1:8">
      <c r="A102" t="s">
        <v>16</v>
      </c>
      <c r="B102" t="e">
        <f>CONFIDENCE(0.05,B101,5)</f>
        <v>#DIV/0!</v>
      </c>
      <c r="C102" t="e">
        <f t="shared" ref="C102:H102" si="50">CONFIDENCE(0.05,C101,5)</f>
        <v>#DIV/0!</v>
      </c>
      <c r="D102" t="e">
        <f t="shared" si="50"/>
        <v>#DIV/0!</v>
      </c>
      <c r="E102" t="e">
        <f t="shared" si="50"/>
        <v>#DIV/0!</v>
      </c>
      <c r="F102" t="e">
        <f t="shared" si="50"/>
        <v>#DIV/0!</v>
      </c>
      <c r="G102" t="e">
        <f t="shared" si="50"/>
        <v>#DIV/0!</v>
      </c>
      <c r="H102" t="e">
        <f t="shared" si="50"/>
        <v>#DIV/0!</v>
      </c>
    </row>
    <row r="104" spans="1:8">
      <c r="A104" t="s">
        <v>30</v>
      </c>
    </row>
    <row r="105" spans="1:8">
      <c r="A105" t="s">
        <v>8</v>
      </c>
    </row>
    <row r="106" spans="1:8">
      <c r="A106" t="s">
        <v>9</v>
      </c>
    </row>
    <row r="107" spans="1:8">
      <c r="A107" t="s">
        <v>10</v>
      </c>
    </row>
    <row r="108" spans="1:8">
      <c r="A108" t="s">
        <v>11</v>
      </c>
    </row>
    <row r="109" spans="1:8">
      <c r="A109" t="s">
        <v>12</v>
      </c>
    </row>
    <row r="110" spans="1:8">
      <c r="A110" t="s">
        <v>13</v>
      </c>
      <c r="B110">
        <f t="shared" ref="B110:H110" si="51">(SUM(B105:B109) -MAX(B105:B109) -MIN(B105:B109))/((COUNT(B105:B109)-2)*1000)</f>
        <v>0</v>
      </c>
      <c r="C110">
        <f t="shared" si="51"/>
        <v>0</v>
      </c>
      <c r="D110">
        <f t="shared" si="51"/>
        <v>0</v>
      </c>
      <c r="E110">
        <f t="shared" si="51"/>
        <v>0</v>
      </c>
      <c r="F110">
        <f t="shared" si="51"/>
        <v>0</v>
      </c>
      <c r="G110">
        <f t="shared" si="51"/>
        <v>0</v>
      </c>
      <c r="H110">
        <f t="shared" si="51"/>
        <v>0</v>
      </c>
    </row>
    <row r="111" spans="1:8">
      <c r="A111" t="s">
        <v>15</v>
      </c>
      <c r="B111" t="e">
        <f>STDEV(B105:B109)/1000</f>
        <v>#DIV/0!</v>
      </c>
      <c r="C111" t="e">
        <f t="shared" ref="C111:H111" si="52">STDEV(C105:C109)/1000</f>
        <v>#DIV/0!</v>
      </c>
      <c r="D111" t="e">
        <f t="shared" si="52"/>
        <v>#DIV/0!</v>
      </c>
      <c r="E111" t="e">
        <f t="shared" si="52"/>
        <v>#DIV/0!</v>
      </c>
      <c r="F111" t="e">
        <f t="shared" si="52"/>
        <v>#DIV/0!</v>
      </c>
      <c r="G111" t="e">
        <f t="shared" si="52"/>
        <v>#DIV/0!</v>
      </c>
      <c r="H111" t="e">
        <f t="shared" si="52"/>
        <v>#DIV/0!</v>
      </c>
    </row>
    <row r="112" spans="1:8">
      <c r="A112" t="s">
        <v>16</v>
      </c>
      <c r="B112" t="e">
        <f>CONFIDENCE(0.05,B111,5)</f>
        <v>#DIV/0!</v>
      </c>
      <c r="C112" t="e">
        <f t="shared" ref="C112:H112" si="53">CONFIDENCE(0.05,C111,5)</f>
        <v>#DIV/0!</v>
      </c>
      <c r="D112" t="e">
        <f t="shared" si="53"/>
        <v>#DIV/0!</v>
      </c>
      <c r="E112" t="e">
        <f t="shared" si="53"/>
        <v>#DIV/0!</v>
      </c>
      <c r="F112" t="e">
        <f t="shared" si="53"/>
        <v>#DIV/0!</v>
      </c>
      <c r="G112" t="e">
        <f t="shared" si="53"/>
        <v>#DIV/0!</v>
      </c>
      <c r="H112" t="e">
        <f t="shared" si="53"/>
        <v>#DIV/0!</v>
      </c>
    </row>
    <row r="114" spans="1:8">
      <c r="A114" t="s">
        <v>31</v>
      </c>
    </row>
    <row r="115" spans="1:8">
      <c r="A115" t="s">
        <v>8</v>
      </c>
    </row>
    <row r="116" spans="1:8">
      <c r="A116" t="s">
        <v>9</v>
      </c>
    </row>
    <row r="117" spans="1:8">
      <c r="A117" t="s">
        <v>10</v>
      </c>
    </row>
    <row r="118" spans="1:8">
      <c r="A118" t="s">
        <v>11</v>
      </c>
    </row>
    <row r="119" spans="1:8">
      <c r="A119" t="s">
        <v>12</v>
      </c>
    </row>
    <row r="120" spans="1:8">
      <c r="A120" t="s">
        <v>13</v>
      </c>
      <c r="B120">
        <f t="shared" ref="B120:H120" si="54">(SUM(B115:B119) -MAX(B115:B119) -MIN(B115:B119))/((COUNT(B115:B119)-2)*1000)</f>
        <v>0</v>
      </c>
      <c r="C120">
        <f t="shared" si="54"/>
        <v>0</v>
      </c>
      <c r="D120">
        <f t="shared" si="54"/>
        <v>0</v>
      </c>
      <c r="E120">
        <f t="shared" si="54"/>
        <v>0</v>
      </c>
      <c r="F120">
        <f t="shared" si="54"/>
        <v>0</v>
      </c>
      <c r="G120">
        <f t="shared" si="54"/>
        <v>0</v>
      </c>
      <c r="H120">
        <f t="shared" si="54"/>
        <v>0</v>
      </c>
    </row>
    <row r="121" spans="1:8">
      <c r="A121" t="s">
        <v>15</v>
      </c>
      <c r="B121" t="e">
        <f>STDEV(B115:B119)/1000</f>
        <v>#DIV/0!</v>
      </c>
      <c r="C121" t="e">
        <f t="shared" ref="C121:H121" si="55">STDEV(C115:C119)/1000</f>
        <v>#DIV/0!</v>
      </c>
      <c r="D121" t="e">
        <f t="shared" si="55"/>
        <v>#DIV/0!</v>
      </c>
      <c r="E121" t="e">
        <f t="shared" si="55"/>
        <v>#DIV/0!</v>
      </c>
      <c r="F121" t="e">
        <f t="shared" si="55"/>
        <v>#DIV/0!</v>
      </c>
      <c r="G121" t="e">
        <f t="shared" si="55"/>
        <v>#DIV/0!</v>
      </c>
      <c r="H121" t="e">
        <f t="shared" si="55"/>
        <v>#DIV/0!</v>
      </c>
    </row>
    <row r="122" spans="1:8">
      <c r="A122" t="s">
        <v>16</v>
      </c>
      <c r="B122" t="e">
        <f>CONFIDENCE(0.05,B121,5)</f>
        <v>#DIV/0!</v>
      </c>
      <c r="C122" t="e">
        <f t="shared" ref="C122:H122" si="56">CONFIDENCE(0.05,C121,5)</f>
        <v>#DIV/0!</v>
      </c>
      <c r="D122" t="e">
        <f t="shared" si="56"/>
        <v>#DIV/0!</v>
      </c>
      <c r="E122" t="e">
        <f t="shared" si="56"/>
        <v>#DIV/0!</v>
      </c>
      <c r="F122" t="e">
        <f t="shared" si="56"/>
        <v>#DIV/0!</v>
      </c>
      <c r="G122" t="e">
        <f t="shared" si="56"/>
        <v>#DIV/0!</v>
      </c>
      <c r="H122" t="e">
        <f t="shared" si="56"/>
        <v>#DIV/0!</v>
      </c>
    </row>
    <row r="124" spans="1:8">
      <c r="A124" t="s">
        <v>32</v>
      </c>
    </row>
    <row r="125" spans="1:8">
      <c r="A125" t="s">
        <v>8</v>
      </c>
    </row>
    <row r="126" spans="1:8">
      <c r="A126" t="s">
        <v>9</v>
      </c>
    </row>
    <row r="127" spans="1:8">
      <c r="A127" t="s">
        <v>10</v>
      </c>
    </row>
    <row r="128" spans="1:8">
      <c r="A128" t="s">
        <v>11</v>
      </c>
    </row>
    <row r="129" spans="1:8">
      <c r="A129" t="s">
        <v>12</v>
      </c>
    </row>
    <row r="130" spans="1:8">
      <c r="A130" t="s">
        <v>13</v>
      </c>
      <c r="B130">
        <f t="shared" ref="B130:H130" si="57">(SUM(B125:B129) -MAX(B125:B129) -MIN(B125:B129))/((COUNT(B125:B129)-2)*1000)</f>
        <v>0</v>
      </c>
      <c r="C130">
        <f t="shared" si="57"/>
        <v>0</v>
      </c>
      <c r="D130">
        <f t="shared" si="57"/>
        <v>0</v>
      </c>
      <c r="E130">
        <f t="shared" si="57"/>
        <v>0</v>
      </c>
      <c r="F130">
        <f t="shared" si="57"/>
        <v>0</v>
      </c>
      <c r="G130">
        <f t="shared" si="57"/>
        <v>0</v>
      </c>
      <c r="H130">
        <f t="shared" si="57"/>
        <v>0</v>
      </c>
    </row>
    <row r="131" spans="1:8">
      <c r="A131" t="s">
        <v>15</v>
      </c>
      <c r="B131" t="e">
        <f>STDEV(B125:B129)/1000</f>
        <v>#DIV/0!</v>
      </c>
      <c r="C131" t="e">
        <f t="shared" ref="C131:H131" si="58">STDEV(C125:C129)/1000</f>
        <v>#DIV/0!</v>
      </c>
      <c r="D131" t="e">
        <f t="shared" si="58"/>
        <v>#DIV/0!</v>
      </c>
      <c r="E131" t="e">
        <f t="shared" si="58"/>
        <v>#DIV/0!</v>
      </c>
      <c r="F131" t="e">
        <f t="shared" si="58"/>
        <v>#DIV/0!</v>
      </c>
      <c r="G131" t="e">
        <f t="shared" si="58"/>
        <v>#DIV/0!</v>
      </c>
      <c r="H131" t="e">
        <f t="shared" si="58"/>
        <v>#DIV/0!</v>
      </c>
    </row>
    <row r="132" spans="1:8">
      <c r="A132" t="s">
        <v>16</v>
      </c>
      <c r="B132" t="e">
        <f>CONFIDENCE(0.05,B131,5)</f>
        <v>#DIV/0!</v>
      </c>
      <c r="C132" t="e">
        <f t="shared" ref="C132:H132" si="59">CONFIDENCE(0.05,C131,5)</f>
        <v>#DIV/0!</v>
      </c>
      <c r="D132" t="e">
        <f t="shared" si="59"/>
        <v>#DIV/0!</v>
      </c>
      <c r="E132" t="e">
        <f t="shared" si="59"/>
        <v>#DIV/0!</v>
      </c>
      <c r="F132" t="e">
        <f t="shared" si="59"/>
        <v>#DIV/0!</v>
      </c>
      <c r="G132" t="e">
        <f t="shared" si="59"/>
        <v>#DIV/0!</v>
      </c>
      <c r="H132" t="e">
        <f t="shared" si="59"/>
        <v>#DIV/0!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32"/>
  <sheetViews>
    <sheetView topLeftCell="A64" workbookViewId="0">
      <selection activeCell="A73" sqref="A73:XFD73"/>
    </sheetView>
  </sheetViews>
  <sheetFormatPr defaultRowHeight="14.4"/>
  <cols>
    <col min="1" max="1" width="24.109375" customWidth="1"/>
    <col min="2" max="6" width="12.6640625" customWidth="1"/>
    <col min="7" max="7" width="10.6640625" customWidth="1"/>
    <col min="8" max="8" width="18.5546875" bestFit="1" customWidth="1"/>
  </cols>
  <sheetData>
    <row r="1" spans="1:7">
      <c r="A1" t="s">
        <v>19</v>
      </c>
      <c r="B1" t="s">
        <v>26</v>
      </c>
    </row>
    <row r="2" spans="1:7">
      <c r="A2" t="s">
        <v>14</v>
      </c>
      <c r="B2">
        <v>2</v>
      </c>
      <c r="C2">
        <v>4</v>
      </c>
      <c r="D2">
        <v>6</v>
      </c>
      <c r="E2">
        <v>8</v>
      </c>
      <c r="F2">
        <v>10</v>
      </c>
    </row>
    <row r="3" spans="1:7">
      <c r="A3" t="s">
        <v>7</v>
      </c>
    </row>
    <row r="4" spans="1:7">
      <c r="A4" t="s">
        <v>8</v>
      </c>
      <c r="B4">
        <v>4773</v>
      </c>
      <c r="C4">
        <v>21016</v>
      </c>
      <c r="D4">
        <v>60823</v>
      </c>
      <c r="E4">
        <v>171977</v>
      </c>
      <c r="F4">
        <v>149497</v>
      </c>
    </row>
    <row r="5" spans="1:7">
      <c r="A5" t="s">
        <v>9</v>
      </c>
      <c r="B5">
        <v>9688</v>
      </c>
      <c r="C5">
        <v>57391</v>
      </c>
      <c r="D5">
        <v>177297</v>
      </c>
      <c r="E5">
        <v>467629</v>
      </c>
      <c r="F5">
        <v>407570</v>
      </c>
    </row>
    <row r="6" spans="1:7">
      <c r="A6" t="s">
        <v>10</v>
      </c>
      <c r="B6">
        <v>9720</v>
      </c>
      <c r="C6">
        <v>58141</v>
      </c>
      <c r="D6">
        <v>200475</v>
      </c>
      <c r="E6">
        <v>426927</v>
      </c>
      <c r="F6">
        <v>412889</v>
      </c>
    </row>
    <row r="7" spans="1:7">
      <c r="A7" t="s">
        <v>11</v>
      </c>
      <c r="B7">
        <v>7941</v>
      </c>
      <c r="C7">
        <v>58159</v>
      </c>
      <c r="D7">
        <v>218498</v>
      </c>
      <c r="E7">
        <v>413370</v>
      </c>
      <c r="F7">
        <v>411126</v>
      </c>
    </row>
    <row r="8" spans="1:7">
      <c r="A8" t="s">
        <v>12</v>
      </c>
      <c r="B8">
        <v>8112</v>
      </c>
      <c r="C8">
        <v>56801</v>
      </c>
      <c r="D8">
        <v>222486</v>
      </c>
      <c r="E8">
        <v>410841</v>
      </c>
      <c r="F8">
        <v>549083</v>
      </c>
    </row>
    <row r="9" spans="1:7">
      <c r="A9" t="s">
        <v>13</v>
      </c>
      <c r="B9">
        <f>(SUM(B4:B8) -MAX(B4:B8) -MIN(B4:B8))/((COUNT(B4:B8)-2)*1000)</f>
        <v>8.5803333333333338</v>
      </c>
      <c r="C9">
        <f t="shared" ref="C9:F9" si="0">(SUM(C4:C8) -MAX(C4:C8) -MIN(C4:C8))/((COUNT(C4:C8)-2)*1000)</f>
        <v>57.444333333333333</v>
      </c>
      <c r="D9">
        <f t="shared" si="0"/>
        <v>198.75666666666666</v>
      </c>
      <c r="E9">
        <f t="shared" si="0"/>
        <v>417.04599999999999</v>
      </c>
      <c r="F9">
        <f t="shared" si="0"/>
        <v>410.52833333333331</v>
      </c>
      <c r="G9" t="s">
        <v>17</v>
      </c>
    </row>
    <row r="10" spans="1:7">
      <c r="A10" t="s">
        <v>15</v>
      </c>
      <c r="B10">
        <f>STDEV(B4:B8)/1000</f>
        <v>2.0140969936922111</v>
      </c>
      <c r="C10">
        <f t="shared" ref="C10:F10" si="1">STDEV(C4:C8)/1000</f>
        <v>16.380957597161412</v>
      </c>
      <c r="D10">
        <f t="shared" si="1"/>
        <v>66.770955352608198</v>
      </c>
      <c r="E10">
        <f t="shared" si="1"/>
        <v>117.47568149706564</v>
      </c>
      <c r="F10">
        <f t="shared" si="1"/>
        <v>145.21477847485085</v>
      </c>
    </row>
    <row r="11" spans="1:7">
      <c r="A11" t="s">
        <v>16</v>
      </c>
      <c r="B11">
        <f>CONFIDENCE(0.05,B10,5)</f>
        <v>1.7654014138787519</v>
      </c>
      <c r="C11">
        <f t="shared" ref="C11:F11" si="2">CONFIDENCE(0.05,C10,5)</f>
        <v>14.358278570141175</v>
      </c>
      <c r="D11">
        <f t="shared" si="2"/>
        <v>58.526247422393631</v>
      </c>
      <c r="E11">
        <f t="shared" si="2"/>
        <v>102.97008280177327</v>
      </c>
      <c r="F11">
        <f t="shared" si="2"/>
        <v>127.28402655804176</v>
      </c>
    </row>
    <row r="13" spans="1:7">
      <c r="A13" t="s">
        <v>1</v>
      </c>
    </row>
    <row r="14" spans="1:7">
      <c r="A14" t="s">
        <v>8</v>
      </c>
      <c r="B14">
        <v>423</v>
      </c>
      <c r="C14">
        <v>2198</v>
      </c>
      <c r="D14">
        <v>5940</v>
      </c>
      <c r="E14">
        <v>7674</v>
      </c>
      <c r="F14">
        <v>14543</v>
      </c>
    </row>
    <row r="15" spans="1:7">
      <c r="A15" t="s">
        <v>9</v>
      </c>
      <c r="B15">
        <v>328</v>
      </c>
      <c r="C15">
        <v>2138</v>
      </c>
      <c r="D15">
        <v>5820</v>
      </c>
      <c r="E15">
        <v>7399</v>
      </c>
      <c r="F15">
        <v>13741</v>
      </c>
    </row>
    <row r="16" spans="1:7">
      <c r="A16" t="s">
        <v>10</v>
      </c>
      <c r="B16">
        <v>359</v>
      </c>
      <c r="C16">
        <v>2025</v>
      </c>
      <c r="D16">
        <v>5817</v>
      </c>
      <c r="E16">
        <v>7360</v>
      </c>
      <c r="F16">
        <v>13839</v>
      </c>
    </row>
    <row r="17" spans="1:7">
      <c r="A17" t="s">
        <v>11</v>
      </c>
      <c r="B17">
        <v>357</v>
      </c>
      <c r="C17">
        <v>2077</v>
      </c>
      <c r="D17">
        <v>5846</v>
      </c>
      <c r="E17">
        <v>7298</v>
      </c>
      <c r="F17">
        <v>13539</v>
      </c>
    </row>
    <row r="18" spans="1:7">
      <c r="A18" t="s">
        <v>12</v>
      </c>
      <c r="B18">
        <v>345</v>
      </c>
      <c r="C18">
        <v>2090</v>
      </c>
      <c r="D18">
        <v>5725</v>
      </c>
      <c r="E18">
        <v>7442</v>
      </c>
      <c r="F18">
        <v>13838</v>
      </c>
    </row>
    <row r="19" spans="1:7">
      <c r="A19" t="s">
        <v>13</v>
      </c>
      <c r="B19">
        <f t="shared" ref="B19:F19" si="3">(SUM(B14:B18) -MAX(B14:B18) -MIN(B14:B18))/((COUNT(B14:B18)-2)*1000)</f>
        <v>0.35366666666666668</v>
      </c>
      <c r="C19">
        <f t="shared" si="3"/>
        <v>2.1016666666666666</v>
      </c>
      <c r="D19">
        <f t="shared" si="3"/>
        <v>5.8276666666666666</v>
      </c>
      <c r="E19">
        <f t="shared" si="3"/>
        <v>7.4003333333333332</v>
      </c>
      <c r="F19">
        <f t="shared" si="3"/>
        <v>13.805999999999999</v>
      </c>
      <c r="G19" t="s">
        <v>17</v>
      </c>
    </row>
    <row r="20" spans="1:7">
      <c r="A20" t="s">
        <v>15</v>
      </c>
      <c r="B20">
        <f>STDEV(B14:B18)/1000</f>
        <v>3.6052739146977278E-2</v>
      </c>
      <c r="C20">
        <f t="shared" ref="C20:F20" si="4">STDEV(C14:C18)/1000</f>
        <v>6.5469840384713124E-2</v>
      </c>
      <c r="D20">
        <f t="shared" si="4"/>
        <v>7.689148197295341E-2</v>
      </c>
      <c r="E20">
        <f t="shared" si="4"/>
        <v>0.14392637006468625</v>
      </c>
      <c r="F20">
        <f t="shared" si="4"/>
        <v>0.37967617781472679</v>
      </c>
    </row>
    <row r="21" spans="1:7">
      <c r="A21" t="s">
        <v>16</v>
      </c>
      <c r="B21">
        <f>CONFIDENCE(0.05,B20,5)</f>
        <v>3.1601038511853301E-2</v>
      </c>
      <c r="C21">
        <f t="shared" ref="C21:F21" si="5">CONFIDENCE(0.05,C20,5)</f>
        <v>5.7385790825152022E-2</v>
      </c>
      <c r="D21">
        <f t="shared" si="5"/>
        <v>6.7397117127631537E-2</v>
      </c>
      <c r="E21">
        <f t="shared" si="5"/>
        <v>0.12615470754506403</v>
      </c>
      <c r="F21">
        <f t="shared" si="5"/>
        <v>0.33279472797457021</v>
      </c>
    </row>
    <row r="23" spans="1:7">
      <c r="A23" t="s">
        <v>2</v>
      </c>
    </row>
    <row r="24" spans="1:7">
      <c r="A24" t="s">
        <v>8</v>
      </c>
      <c r="B24">
        <v>419</v>
      </c>
      <c r="C24">
        <v>2669</v>
      </c>
      <c r="D24">
        <v>7802</v>
      </c>
      <c r="E24">
        <v>9858</v>
      </c>
      <c r="F24">
        <v>18004</v>
      </c>
    </row>
    <row r="25" spans="1:7">
      <c r="A25" t="s">
        <v>9</v>
      </c>
      <c r="B25">
        <v>483</v>
      </c>
      <c r="C25">
        <v>3102</v>
      </c>
      <c r="D25">
        <v>8438</v>
      </c>
      <c r="E25">
        <v>10809</v>
      </c>
      <c r="F25">
        <v>19625</v>
      </c>
    </row>
    <row r="26" spans="1:7">
      <c r="A26" t="s">
        <v>10</v>
      </c>
      <c r="B26">
        <v>482</v>
      </c>
      <c r="C26">
        <v>3027</v>
      </c>
      <c r="D26">
        <v>8424</v>
      </c>
      <c r="E26">
        <v>10811</v>
      </c>
      <c r="F26">
        <v>19500</v>
      </c>
    </row>
    <row r="27" spans="1:7">
      <c r="A27" t="s">
        <v>11</v>
      </c>
      <c r="B27">
        <v>437</v>
      </c>
      <c r="C27">
        <v>3029</v>
      </c>
      <c r="D27">
        <v>8346</v>
      </c>
      <c r="E27">
        <v>10939</v>
      </c>
      <c r="F27">
        <v>19387</v>
      </c>
    </row>
    <row r="28" spans="1:7">
      <c r="A28" t="s">
        <v>12</v>
      </c>
      <c r="B28">
        <v>452</v>
      </c>
      <c r="C28">
        <v>3011</v>
      </c>
      <c r="D28">
        <v>8548</v>
      </c>
      <c r="E28">
        <v>11342</v>
      </c>
      <c r="F28">
        <v>20503</v>
      </c>
    </row>
    <row r="29" spans="1:7">
      <c r="A29" t="s">
        <v>13</v>
      </c>
      <c r="B29">
        <f t="shared" ref="B29:F29" si="6">(SUM(B24:B28) -MAX(B24:B28) -MIN(B24:B28))/((COUNT(B24:B28)-2)*1000)</f>
        <v>0.45700000000000002</v>
      </c>
      <c r="C29">
        <f t="shared" si="6"/>
        <v>3.0223333333333335</v>
      </c>
      <c r="D29">
        <f t="shared" si="6"/>
        <v>8.4026666666666667</v>
      </c>
      <c r="E29">
        <f t="shared" si="6"/>
        <v>10.853</v>
      </c>
      <c r="F29">
        <f t="shared" si="6"/>
        <v>19.504000000000001</v>
      </c>
      <c r="G29" t="s">
        <v>17</v>
      </c>
    </row>
    <row r="30" spans="1:7">
      <c r="A30" t="s">
        <v>15</v>
      </c>
      <c r="B30">
        <f>STDEV(B24:B28)/1000</f>
        <v>2.8023204670415344E-2</v>
      </c>
      <c r="C30">
        <f t="shared" ref="C30:F30" si="7">STDEV(C24:C28)/1000</f>
        <v>0.17059249690417436</v>
      </c>
      <c r="D30">
        <f t="shared" si="7"/>
        <v>0.29384145384883498</v>
      </c>
      <c r="E30">
        <f t="shared" si="7"/>
        <v>0.5452143615129631</v>
      </c>
      <c r="F30">
        <f t="shared" si="7"/>
        <v>0.8980738833748525</v>
      </c>
    </row>
    <row r="31" spans="1:7">
      <c r="A31" t="s">
        <v>16</v>
      </c>
      <c r="B31">
        <f>CONFIDENCE(0.05,B30,5)</f>
        <v>2.4562970552809982E-2</v>
      </c>
      <c r="C31">
        <f t="shared" ref="C31:F31" si="8">CONFIDENCE(0.05,C30,5)</f>
        <v>0.14952816878974953</v>
      </c>
      <c r="D31">
        <f t="shared" si="8"/>
        <v>0.25755865765429714</v>
      </c>
      <c r="E31">
        <f t="shared" si="8"/>
        <v>0.47789267731218116</v>
      </c>
      <c r="F31">
        <f t="shared" si="8"/>
        <v>0.78718200188120235</v>
      </c>
    </row>
    <row r="33" spans="1:7">
      <c r="A33" t="s">
        <v>3</v>
      </c>
    </row>
    <row r="34" spans="1:7">
      <c r="A34" t="s">
        <v>8</v>
      </c>
      <c r="B34">
        <v>920</v>
      </c>
      <c r="C34">
        <v>5303</v>
      </c>
      <c r="D34">
        <v>14631</v>
      </c>
      <c r="E34">
        <v>21310</v>
      </c>
      <c r="F34">
        <v>49043</v>
      </c>
    </row>
    <row r="35" spans="1:7">
      <c r="A35" t="s">
        <v>9</v>
      </c>
      <c r="B35">
        <v>1107</v>
      </c>
      <c r="C35">
        <v>6240</v>
      </c>
      <c r="D35">
        <v>17132</v>
      </c>
      <c r="E35">
        <v>23666</v>
      </c>
      <c r="F35">
        <v>50094</v>
      </c>
    </row>
    <row r="36" spans="1:7">
      <c r="A36" t="s">
        <v>10</v>
      </c>
      <c r="B36">
        <v>997</v>
      </c>
      <c r="C36">
        <v>6192</v>
      </c>
      <c r="D36">
        <v>17685</v>
      </c>
      <c r="E36">
        <v>22961</v>
      </c>
      <c r="F36">
        <v>45363</v>
      </c>
    </row>
    <row r="37" spans="1:7">
      <c r="A37" t="s">
        <v>11</v>
      </c>
      <c r="B37">
        <v>1061</v>
      </c>
      <c r="C37">
        <v>6193</v>
      </c>
      <c r="D37">
        <v>16972</v>
      </c>
      <c r="E37">
        <v>22962</v>
      </c>
      <c r="F37">
        <v>43773</v>
      </c>
    </row>
    <row r="38" spans="1:7">
      <c r="A38" t="s">
        <v>12</v>
      </c>
      <c r="B38">
        <v>921</v>
      </c>
      <c r="C38">
        <v>6193</v>
      </c>
      <c r="D38">
        <v>17223</v>
      </c>
      <c r="E38">
        <v>23990</v>
      </c>
      <c r="F38">
        <v>41075</v>
      </c>
    </row>
    <row r="39" spans="1:7">
      <c r="A39" t="s">
        <v>13</v>
      </c>
      <c r="B39">
        <f t="shared" ref="B39:F39" si="9">(SUM(B34:B38) -MAX(B34:B38) -MIN(B34:B38))/((COUNT(B34:B38)-2)*1000)</f>
        <v>0.99299999999999999</v>
      </c>
      <c r="C39">
        <f t="shared" si="9"/>
        <v>6.1926666666666668</v>
      </c>
      <c r="D39">
        <f t="shared" si="9"/>
        <v>17.109000000000002</v>
      </c>
      <c r="E39">
        <f t="shared" si="9"/>
        <v>23.196333333333332</v>
      </c>
      <c r="F39">
        <f t="shared" si="9"/>
        <v>46.059666666666665</v>
      </c>
      <c r="G39" t="s">
        <v>17</v>
      </c>
    </row>
    <row r="40" spans="1:7">
      <c r="A40" t="s">
        <v>15</v>
      </c>
      <c r="B40">
        <f>STDEV(B34:B38)/1000</f>
        <v>8.3385850118589983E-2</v>
      </c>
      <c r="C40">
        <f t="shared" ref="C40:F40" si="10">STDEV(C34:C38)/1000</f>
        <v>0.4036839109996867</v>
      </c>
      <c r="D40">
        <f t="shared" si="10"/>
        <v>1.2021889618525083</v>
      </c>
      <c r="E40">
        <f t="shared" si="10"/>
        <v>1.0344390750547119</v>
      </c>
      <c r="F40">
        <f t="shared" si="10"/>
        <v>3.7268145647456339</v>
      </c>
    </row>
    <row r="41" spans="1:7">
      <c r="A41" t="s">
        <v>16</v>
      </c>
      <c r="B41">
        <f>CONFIDENCE(0.05,B40,5)</f>
        <v>7.3089577194084529E-2</v>
      </c>
      <c r="C41">
        <f t="shared" ref="C41:F41" si="11">CONFIDENCE(0.05,C40,5)</f>
        <v>0.35383804725933604</v>
      </c>
      <c r="D41">
        <f t="shared" si="11"/>
        <v>1.0537457230960836</v>
      </c>
      <c r="E41">
        <f t="shared" si="11"/>
        <v>0.90670916613864516</v>
      </c>
      <c r="F41">
        <f t="shared" si="11"/>
        <v>3.2666369705486495</v>
      </c>
    </row>
    <row r="43" spans="1:7">
      <c r="A43" t="s">
        <v>4</v>
      </c>
    </row>
    <row r="44" spans="1:7">
      <c r="A44" t="s">
        <v>8</v>
      </c>
      <c r="B44">
        <v>1074</v>
      </c>
      <c r="C44">
        <v>5556</v>
      </c>
      <c r="D44">
        <v>12403</v>
      </c>
      <c r="E44">
        <v>21122</v>
      </c>
      <c r="F44">
        <v>20063</v>
      </c>
    </row>
    <row r="45" spans="1:7">
      <c r="A45" t="s">
        <v>9</v>
      </c>
      <c r="B45">
        <v>1047</v>
      </c>
      <c r="C45">
        <v>5443</v>
      </c>
      <c r="D45">
        <v>13198</v>
      </c>
      <c r="E45">
        <v>21260</v>
      </c>
      <c r="F45">
        <v>20327</v>
      </c>
    </row>
    <row r="46" spans="1:7">
      <c r="A46" t="s">
        <v>10</v>
      </c>
      <c r="B46">
        <v>1030</v>
      </c>
      <c r="C46">
        <v>5319</v>
      </c>
      <c r="D46">
        <v>15398</v>
      </c>
      <c r="E46">
        <v>21059</v>
      </c>
      <c r="F46">
        <v>20216</v>
      </c>
    </row>
    <row r="47" spans="1:7">
      <c r="A47" t="s">
        <v>11</v>
      </c>
      <c r="B47">
        <v>1042</v>
      </c>
      <c r="C47">
        <v>5381</v>
      </c>
      <c r="D47">
        <v>13201</v>
      </c>
      <c r="E47">
        <v>24570</v>
      </c>
      <c r="F47">
        <v>20154</v>
      </c>
    </row>
    <row r="48" spans="1:7">
      <c r="A48" t="s">
        <v>12</v>
      </c>
      <c r="B48">
        <v>1042</v>
      </c>
      <c r="C48">
        <v>5272</v>
      </c>
      <c r="D48">
        <v>13555</v>
      </c>
      <c r="E48">
        <v>22386</v>
      </c>
      <c r="F48">
        <v>20813</v>
      </c>
    </row>
    <row r="49" spans="1:7">
      <c r="A49" t="s">
        <v>13</v>
      </c>
      <c r="B49">
        <f t="shared" ref="B49:F49" si="12">(SUM(B44:B48) -MAX(B44:B48) -MIN(B44:B48))/((COUNT(B44:B48)-2)*1000)</f>
        <v>1.0436666666666667</v>
      </c>
      <c r="C49">
        <f t="shared" si="12"/>
        <v>5.3810000000000002</v>
      </c>
      <c r="D49">
        <f t="shared" si="12"/>
        <v>13.318</v>
      </c>
      <c r="E49">
        <f t="shared" si="12"/>
        <v>21.589333333333332</v>
      </c>
      <c r="F49">
        <f t="shared" si="12"/>
        <v>20.232333333333333</v>
      </c>
      <c r="G49" t="s">
        <v>17</v>
      </c>
    </row>
    <row r="50" spans="1:7">
      <c r="A50" t="s">
        <v>15</v>
      </c>
      <c r="B50">
        <f>STDEV(B44:B48)/1000</f>
        <v>1.6340134638368191E-2</v>
      </c>
      <c r="C50">
        <f t="shared" ref="C50:F50" si="13">STDEV(C44:C48)/1000</f>
        <v>0.11104368509736598</v>
      </c>
      <c r="D50">
        <f t="shared" si="13"/>
        <v>1.1153965662489731</v>
      </c>
      <c r="E50">
        <f t="shared" si="13"/>
        <v>1.4938489883518857</v>
      </c>
      <c r="F50">
        <f t="shared" si="13"/>
        <v>0.29469187297923893</v>
      </c>
    </row>
    <row r="51" spans="1:7">
      <c r="A51" t="s">
        <v>16</v>
      </c>
      <c r="B51">
        <f>CONFIDENCE(0.05,B50,5)</f>
        <v>1.4322496326585887E-2</v>
      </c>
      <c r="C51">
        <f t="shared" ref="C51:F51" si="14">CONFIDENCE(0.05,C50,5)</f>
        <v>9.7332292976529108E-2</v>
      </c>
      <c r="D51">
        <f t="shared" si="14"/>
        <v>0.97767023199894521</v>
      </c>
      <c r="E51">
        <f t="shared" si="14"/>
        <v>1.3093923105079508</v>
      </c>
      <c r="F51">
        <f t="shared" si="14"/>
        <v>0.25830406919103377</v>
      </c>
    </row>
    <row r="53" spans="1:7">
      <c r="A53" t="s">
        <v>5</v>
      </c>
    </row>
    <row r="54" spans="1:7">
      <c r="A54" t="s">
        <v>8</v>
      </c>
      <c r="B54">
        <v>1653</v>
      </c>
      <c r="C54">
        <v>9359</v>
      </c>
      <c r="D54">
        <v>26828</v>
      </c>
      <c r="E54">
        <v>52213</v>
      </c>
      <c r="F54">
        <v>52154</v>
      </c>
    </row>
    <row r="55" spans="1:7">
      <c r="A55" t="s">
        <v>9</v>
      </c>
      <c r="B55">
        <v>1546</v>
      </c>
      <c r="C55">
        <v>10143</v>
      </c>
      <c r="D55">
        <v>28564</v>
      </c>
      <c r="E55">
        <v>51606</v>
      </c>
      <c r="F55">
        <v>57207</v>
      </c>
    </row>
    <row r="56" spans="1:7">
      <c r="A56" t="s">
        <v>10</v>
      </c>
      <c r="B56">
        <v>1576</v>
      </c>
      <c r="C56">
        <v>11013</v>
      </c>
      <c r="D56">
        <v>29998</v>
      </c>
      <c r="E56">
        <v>50278</v>
      </c>
      <c r="F56">
        <v>56516</v>
      </c>
    </row>
    <row r="57" spans="1:7">
      <c r="A57" t="s">
        <v>11</v>
      </c>
      <c r="B57">
        <v>1511</v>
      </c>
      <c r="C57">
        <v>11199</v>
      </c>
      <c r="D57">
        <v>25800</v>
      </c>
      <c r="E57">
        <v>52368</v>
      </c>
      <c r="F57">
        <v>56803</v>
      </c>
    </row>
    <row r="58" spans="1:7">
      <c r="A58" t="s">
        <v>12</v>
      </c>
      <c r="B58">
        <v>1496</v>
      </c>
      <c r="C58">
        <v>10666</v>
      </c>
      <c r="D58">
        <v>25553</v>
      </c>
      <c r="E58">
        <v>50279</v>
      </c>
      <c r="F58">
        <v>49422</v>
      </c>
    </row>
    <row r="59" spans="1:7">
      <c r="A59" t="s">
        <v>13</v>
      </c>
      <c r="B59">
        <f t="shared" ref="B59:F59" si="15">(SUM(B54:B58) -MAX(B54:B58) -MIN(B54:B58))/((COUNT(B54:B58)-2)*1000)</f>
        <v>1.5443333333333333</v>
      </c>
      <c r="C59">
        <f t="shared" si="15"/>
        <v>10.607333333333333</v>
      </c>
      <c r="D59">
        <f t="shared" si="15"/>
        <v>27.064</v>
      </c>
      <c r="E59">
        <f t="shared" si="15"/>
        <v>51.366</v>
      </c>
      <c r="F59">
        <f t="shared" si="15"/>
        <v>55.157666666666664</v>
      </c>
      <c r="G59" t="s">
        <v>17</v>
      </c>
    </row>
    <row r="60" spans="1:7">
      <c r="A60" t="s">
        <v>15</v>
      </c>
      <c r="B60">
        <f>STDEV(B54:B58)/1000</f>
        <v>6.231612953321005E-2</v>
      </c>
      <c r="C60">
        <f t="shared" ref="C60:F60" si="16">STDEV(C54:C58)/1000</f>
        <v>0.74259275514914636</v>
      </c>
      <c r="D60">
        <f t="shared" si="16"/>
        <v>1.8966999762745695</v>
      </c>
      <c r="E60">
        <f t="shared" si="16"/>
        <v>1.0176992188263727</v>
      </c>
      <c r="F60">
        <f t="shared" si="16"/>
        <v>3.4624425338191811</v>
      </c>
    </row>
    <row r="61" spans="1:7">
      <c r="A61" t="s">
        <v>16</v>
      </c>
      <c r="B61">
        <f>CONFIDENCE(0.05,B60,5)</f>
        <v>5.4621492177348616E-2</v>
      </c>
      <c r="C61">
        <f t="shared" ref="C61:F61" si="17">CONFIDENCE(0.05,C60,5)</f>
        <v>0.6508992883570931</v>
      </c>
      <c r="D61">
        <f t="shared" si="17"/>
        <v>1.6625002819157275</v>
      </c>
      <c r="E61">
        <f t="shared" si="17"/>
        <v>0.89203630482849461</v>
      </c>
      <c r="F61">
        <f t="shared" si="17"/>
        <v>3.0349089263436051</v>
      </c>
    </row>
    <row r="63" spans="1:7">
      <c r="A63" t="s">
        <v>6</v>
      </c>
    </row>
    <row r="64" spans="1:7">
      <c r="A64" t="s">
        <v>8</v>
      </c>
      <c r="B64">
        <v>3995</v>
      </c>
      <c r="C64">
        <v>32366</v>
      </c>
      <c r="D64">
        <v>94397</v>
      </c>
      <c r="E64">
        <v>210165</v>
      </c>
      <c r="F64">
        <v>211601</v>
      </c>
    </row>
    <row r="65" spans="1:8">
      <c r="A65" t="s">
        <v>9</v>
      </c>
      <c r="B65">
        <v>4430</v>
      </c>
      <c r="C65">
        <v>39729</v>
      </c>
      <c r="D65">
        <v>109295</v>
      </c>
      <c r="E65">
        <v>234219</v>
      </c>
      <c r="F65">
        <v>234425</v>
      </c>
    </row>
    <row r="66" spans="1:8">
      <c r="A66" t="s">
        <v>10</v>
      </c>
      <c r="B66">
        <v>4230</v>
      </c>
      <c r="C66">
        <v>36981</v>
      </c>
      <c r="D66">
        <v>117408</v>
      </c>
      <c r="E66">
        <v>292968</v>
      </c>
      <c r="F66">
        <v>232128</v>
      </c>
    </row>
    <row r="67" spans="1:8">
      <c r="A67" t="s">
        <v>11</v>
      </c>
      <c r="B67">
        <v>4136</v>
      </c>
      <c r="C67">
        <v>41830</v>
      </c>
      <c r="D67">
        <v>120606</v>
      </c>
      <c r="E67">
        <v>265876</v>
      </c>
      <c r="F67">
        <v>283205</v>
      </c>
    </row>
    <row r="68" spans="1:8">
      <c r="A68" t="s">
        <v>12</v>
      </c>
      <c r="B68">
        <v>4043</v>
      </c>
      <c r="C68">
        <v>36601</v>
      </c>
      <c r="D68">
        <v>117514</v>
      </c>
      <c r="E68">
        <v>234531</v>
      </c>
      <c r="F68">
        <v>253641</v>
      </c>
    </row>
    <row r="69" spans="1:8">
      <c r="A69" t="s">
        <v>13</v>
      </c>
      <c r="B69">
        <f t="shared" ref="B69:F69" si="18">(SUM(B64:B68) -MAX(B64:B68) -MIN(B64:B68))/((COUNT(B64:B68)-2)*1000)</f>
        <v>4.136333333333333</v>
      </c>
      <c r="C69">
        <f t="shared" si="18"/>
        <v>37.770333333333333</v>
      </c>
      <c r="D69">
        <f t="shared" si="18"/>
        <v>114.739</v>
      </c>
      <c r="E69">
        <f t="shared" si="18"/>
        <v>244.87533333333334</v>
      </c>
      <c r="F69">
        <f t="shared" si="18"/>
        <v>240.06466666666665</v>
      </c>
      <c r="G69" t="s">
        <v>17</v>
      </c>
    </row>
    <row r="70" spans="1:8">
      <c r="A70" t="s">
        <v>15</v>
      </c>
      <c r="B70">
        <f>STDEV(B64:B68)/1000</f>
        <v>0.17252449101504186</v>
      </c>
      <c r="C70">
        <f t="shared" ref="C70:F70" si="19">STDEV(C64:C68)/1000</f>
        <v>3.5760610033946501</v>
      </c>
      <c r="D70">
        <f t="shared" si="19"/>
        <v>10.615729485061307</v>
      </c>
      <c r="E70">
        <f t="shared" si="19"/>
        <v>32.184954290786195</v>
      </c>
      <c r="F70">
        <f t="shared" si="19"/>
        <v>26.959697309131641</v>
      </c>
    </row>
    <row r="71" spans="1:8">
      <c r="A71" t="s">
        <v>16</v>
      </c>
      <c r="B71">
        <f>CONFIDENCE(0.05,B70,5)</f>
        <v>0.1512216051761861</v>
      </c>
      <c r="C71">
        <f t="shared" ref="C71:F71" si="20">CONFIDENCE(0.05,C70,5)</f>
        <v>3.134498075952318</v>
      </c>
      <c r="D71">
        <f t="shared" si="20"/>
        <v>9.3049261783196613</v>
      </c>
      <c r="E71">
        <f t="shared" si="20"/>
        <v>28.210837903301062</v>
      </c>
      <c r="F71">
        <f t="shared" si="20"/>
        <v>23.630782378575695</v>
      </c>
    </row>
    <row r="73" spans="1:8">
      <c r="A73" s="1" t="s">
        <v>33</v>
      </c>
    </row>
    <row r="74" spans="1:8">
      <c r="A74" t="s">
        <v>27</v>
      </c>
    </row>
    <row r="75" spans="1:8">
      <c r="A75" t="s">
        <v>8</v>
      </c>
    </row>
    <row r="76" spans="1:8">
      <c r="A76" t="s">
        <v>9</v>
      </c>
    </row>
    <row r="77" spans="1:8">
      <c r="A77" t="s">
        <v>10</v>
      </c>
    </row>
    <row r="78" spans="1:8">
      <c r="A78" t="s">
        <v>11</v>
      </c>
    </row>
    <row r="79" spans="1:8">
      <c r="A79" t="s">
        <v>12</v>
      </c>
    </row>
    <row r="80" spans="1:8">
      <c r="A80" t="s">
        <v>13</v>
      </c>
      <c r="B80">
        <f t="shared" ref="B80:H80" si="21">(SUM(B75:B79) -MAX(B75:B79) -MIN(B75:B79))/((COUNT(B75:B79)-2)*1000)</f>
        <v>0</v>
      </c>
      <c r="C80">
        <f t="shared" si="21"/>
        <v>0</v>
      </c>
      <c r="D80">
        <f t="shared" si="21"/>
        <v>0</v>
      </c>
      <c r="E80">
        <f t="shared" si="21"/>
        <v>0</v>
      </c>
      <c r="F80">
        <f t="shared" si="21"/>
        <v>0</v>
      </c>
      <c r="G80">
        <f t="shared" si="21"/>
        <v>0</v>
      </c>
      <c r="H80">
        <f t="shared" si="21"/>
        <v>0</v>
      </c>
    </row>
    <row r="81" spans="1:8">
      <c r="A81" t="s">
        <v>15</v>
      </c>
      <c r="B81" t="e">
        <f>STDEV(B75:B79)/1000</f>
        <v>#DIV/0!</v>
      </c>
      <c r="C81" t="e">
        <f t="shared" ref="C81:H81" si="22">STDEV(C75:C79)/1000</f>
        <v>#DIV/0!</v>
      </c>
      <c r="D81" t="e">
        <f t="shared" si="22"/>
        <v>#DIV/0!</v>
      </c>
      <c r="E81" t="e">
        <f t="shared" si="22"/>
        <v>#DIV/0!</v>
      </c>
      <c r="F81" t="e">
        <f t="shared" si="22"/>
        <v>#DIV/0!</v>
      </c>
      <c r="G81" t="e">
        <f t="shared" si="22"/>
        <v>#DIV/0!</v>
      </c>
      <c r="H81" t="e">
        <f t="shared" si="22"/>
        <v>#DIV/0!</v>
      </c>
    </row>
    <row r="82" spans="1:8">
      <c r="A82" t="s">
        <v>16</v>
      </c>
      <c r="B82" t="e">
        <f>CONFIDENCE(0.05,B81,5)</f>
        <v>#DIV/0!</v>
      </c>
      <c r="C82" t="e">
        <f t="shared" ref="C82:H82" si="23">CONFIDENCE(0.05,C81,5)</f>
        <v>#DIV/0!</v>
      </c>
      <c r="D82" t="e">
        <f t="shared" si="23"/>
        <v>#DIV/0!</v>
      </c>
      <c r="E82" t="e">
        <f t="shared" si="23"/>
        <v>#DIV/0!</v>
      </c>
      <c r="F82" t="e">
        <f t="shared" si="23"/>
        <v>#DIV/0!</v>
      </c>
      <c r="G82" t="e">
        <f t="shared" si="23"/>
        <v>#DIV/0!</v>
      </c>
      <c r="H82" t="e">
        <f t="shared" si="23"/>
        <v>#DIV/0!</v>
      </c>
    </row>
    <row r="84" spans="1:8">
      <c r="A84" t="s">
        <v>28</v>
      </c>
    </row>
    <row r="85" spans="1:8">
      <c r="A85" t="s">
        <v>8</v>
      </c>
    </row>
    <row r="86" spans="1:8">
      <c r="A86" t="s">
        <v>9</v>
      </c>
    </row>
    <row r="87" spans="1:8">
      <c r="A87" t="s">
        <v>10</v>
      </c>
    </row>
    <row r="88" spans="1:8">
      <c r="A88" t="s">
        <v>11</v>
      </c>
    </row>
    <row r="89" spans="1:8">
      <c r="A89" t="s">
        <v>12</v>
      </c>
    </row>
    <row r="90" spans="1:8">
      <c r="A90" t="s">
        <v>13</v>
      </c>
      <c r="B90">
        <f>(SUM(B85:B89) -MAX(B85:B89) -MIN(B85:B89))/((COUNT(B85:B89)-2)*1000)</f>
        <v>0</v>
      </c>
      <c r="C90">
        <f t="shared" ref="C90:H90" si="24">(SUM(C85:C89) -MAX(C85:C89) -MIN(C85:C89))/((COUNT(C85:C89)-2)*1000)</f>
        <v>0</v>
      </c>
      <c r="D90">
        <f t="shared" si="24"/>
        <v>0</v>
      </c>
      <c r="E90">
        <f t="shared" si="24"/>
        <v>0</v>
      </c>
      <c r="F90">
        <f t="shared" si="24"/>
        <v>0</v>
      </c>
      <c r="G90">
        <f t="shared" si="24"/>
        <v>0</v>
      </c>
      <c r="H90">
        <f t="shared" si="24"/>
        <v>0</v>
      </c>
    </row>
    <row r="91" spans="1:8">
      <c r="A91" t="s">
        <v>15</v>
      </c>
      <c r="B91" t="e">
        <f>STDEV(B85:B89)/1000</f>
        <v>#DIV/0!</v>
      </c>
      <c r="C91" t="e">
        <f t="shared" ref="C91:H91" si="25">STDEV(C85:C89)/1000</f>
        <v>#DIV/0!</v>
      </c>
      <c r="D91" t="e">
        <f t="shared" si="25"/>
        <v>#DIV/0!</v>
      </c>
      <c r="E91" t="e">
        <f t="shared" si="25"/>
        <v>#DIV/0!</v>
      </c>
      <c r="F91" t="e">
        <f t="shared" si="25"/>
        <v>#DIV/0!</v>
      </c>
      <c r="G91" t="e">
        <f t="shared" si="25"/>
        <v>#DIV/0!</v>
      </c>
      <c r="H91" t="e">
        <f t="shared" si="25"/>
        <v>#DIV/0!</v>
      </c>
    </row>
    <row r="92" spans="1:8">
      <c r="A92" t="s">
        <v>16</v>
      </c>
      <c r="B92" t="e">
        <f>CONFIDENCE(0.05,B91,5)</f>
        <v>#DIV/0!</v>
      </c>
      <c r="C92" t="e">
        <f t="shared" ref="C92:H92" si="26">CONFIDENCE(0.05,C91,5)</f>
        <v>#DIV/0!</v>
      </c>
      <c r="D92" t="e">
        <f t="shared" si="26"/>
        <v>#DIV/0!</v>
      </c>
      <c r="E92" t="e">
        <f t="shared" si="26"/>
        <v>#DIV/0!</v>
      </c>
      <c r="F92" t="e">
        <f t="shared" si="26"/>
        <v>#DIV/0!</v>
      </c>
      <c r="G92" t="e">
        <f t="shared" si="26"/>
        <v>#DIV/0!</v>
      </c>
      <c r="H92" t="e">
        <f t="shared" si="26"/>
        <v>#DIV/0!</v>
      </c>
    </row>
    <row r="94" spans="1:8">
      <c r="A94" t="s">
        <v>29</v>
      </c>
    </row>
    <row r="95" spans="1:8">
      <c r="A95" t="s">
        <v>8</v>
      </c>
    </row>
    <row r="96" spans="1:8">
      <c r="A96" t="s">
        <v>9</v>
      </c>
    </row>
    <row r="97" spans="1:8">
      <c r="A97" t="s">
        <v>10</v>
      </c>
    </row>
    <row r="98" spans="1:8">
      <c r="A98" t="s">
        <v>11</v>
      </c>
    </row>
    <row r="99" spans="1:8">
      <c r="A99" t="s">
        <v>12</v>
      </c>
    </row>
    <row r="100" spans="1:8">
      <c r="A100" t="s">
        <v>13</v>
      </c>
      <c r="B100">
        <f t="shared" ref="B100:H100" si="27">(SUM(B95:B99) -MAX(B95:B99) -MIN(B95:B99))/((COUNT(B95:B99)-2)*1000)</f>
        <v>0</v>
      </c>
      <c r="C100">
        <f t="shared" si="27"/>
        <v>0</v>
      </c>
      <c r="D100">
        <f t="shared" si="27"/>
        <v>0</v>
      </c>
      <c r="E100">
        <f t="shared" si="27"/>
        <v>0</v>
      </c>
      <c r="F100">
        <f t="shared" si="27"/>
        <v>0</v>
      </c>
      <c r="G100">
        <f t="shared" si="27"/>
        <v>0</v>
      </c>
      <c r="H100">
        <f t="shared" si="27"/>
        <v>0</v>
      </c>
    </row>
    <row r="101" spans="1:8">
      <c r="A101" t="s">
        <v>15</v>
      </c>
      <c r="B101" t="e">
        <f>STDEV(B95:B99)/1000</f>
        <v>#DIV/0!</v>
      </c>
      <c r="C101" t="e">
        <f t="shared" ref="C101:H101" si="28">STDEV(C95:C99)/1000</f>
        <v>#DIV/0!</v>
      </c>
      <c r="D101" t="e">
        <f t="shared" si="28"/>
        <v>#DIV/0!</v>
      </c>
      <c r="E101" t="e">
        <f t="shared" si="28"/>
        <v>#DIV/0!</v>
      </c>
      <c r="F101" t="e">
        <f t="shared" si="28"/>
        <v>#DIV/0!</v>
      </c>
      <c r="G101" t="e">
        <f t="shared" si="28"/>
        <v>#DIV/0!</v>
      </c>
      <c r="H101" t="e">
        <f t="shared" si="28"/>
        <v>#DIV/0!</v>
      </c>
    </row>
    <row r="102" spans="1:8">
      <c r="A102" t="s">
        <v>16</v>
      </c>
      <c r="B102" t="e">
        <f>CONFIDENCE(0.05,B101,5)</f>
        <v>#DIV/0!</v>
      </c>
      <c r="C102" t="e">
        <f t="shared" ref="C102:H102" si="29">CONFIDENCE(0.05,C101,5)</f>
        <v>#DIV/0!</v>
      </c>
      <c r="D102" t="e">
        <f t="shared" si="29"/>
        <v>#DIV/0!</v>
      </c>
      <c r="E102" t="e">
        <f t="shared" si="29"/>
        <v>#DIV/0!</v>
      </c>
      <c r="F102" t="e">
        <f t="shared" si="29"/>
        <v>#DIV/0!</v>
      </c>
      <c r="G102" t="e">
        <f t="shared" si="29"/>
        <v>#DIV/0!</v>
      </c>
      <c r="H102" t="e">
        <f t="shared" si="29"/>
        <v>#DIV/0!</v>
      </c>
    </row>
    <row r="104" spans="1:8">
      <c r="A104" t="s">
        <v>30</v>
      </c>
    </row>
    <row r="105" spans="1:8">
      <c r="A105" t="s">
        <v>8</v>
      </c>
    </row>
    <row r="106" spans="1:8">
      <c r="A106" t="s">
        <v>9</v>
      </c>
    </row>
    <row r="107" spans="1:8">
      <c r="A107" t="s">
        <v>10</v>
      </c>
    </row>
    <row r="108" spans="1:8">
      <c r="A108" t="s">
        <v>11</v>
      </c>
    </row>
    <row r="109" spans="1:8">
      <c r="A109" t="s">
        <v>12</v>
      </c>
    </row>
    <row r="110" spans="1:8">
      <c r="A110" t="s">
        <v>13</v>
      </c>
      <c r="B110">
        <f t="shared" ref="B110:H110" si="30">(SUM(B105:B109) -MAX(B105:B109) -MIN(B105:B109))/((COUNT(B105:B109)-2)*1000)</f>
        <v>0</v>
      </c>
      <c r="C110">
        <f t="shared" si="30"/>
        <v>0</v>
      </c>
      <c r="D110">
        <f t="shared" si="30"/>
        <v>0</v>
      </c>
      <c r="E110">
        <f t="shared" si="30"/>
        <v>0</v>
      </c>
      <c r="F110">
        <f t="shared" si="30"/>
        <v>0</v>
      </c>
      <c r="G110">
        <f t="shared" si="30"/>
        <v>0</v>
      </c>
      <c r="H110">
        <f t="shared" si="30"/>
        <v>0</v>
      </c>
    </row>
    <row r="111" spans="1:8">
      <c r="A111" t="s">
        <v>15</v>
      </c>
      <c r="B111" t="e">
        <f>STDEV(B105:B109)/1000</f>
        <v>#DIV/0!</v>
      </c>
      <c r="C111" t="e">
        <f t="shared" ref="C111:H111" si="31">STDEV(C105:C109)/1000</f>
        <v>#DIV/0!</v>
      </c>
      <c r="D111" t="e">
        <f t="shared" si="31"/>
        <v>#DIV/0!</v>
      </c>
      <c r="E111" t="e">
        <f t="shared" si="31"/>
        <v>#DIV/0!</v>
      </c>
      <c r="F111" t="e">
        <f t="shared" si="31"/>
        <v>#DIV/0!</v>
      </c>
      <c r="G111" t="e">
        <f t="shared" si="31"/>
        <v>#DIV/0!</v>
      </c>
      <c r="H111" t="e">
        <f t="shared" si="31"/>
        <v>#DIV/0!</v>
      </c>
    </row>
    <row r="112" spans="1:8">
      <c r="A112" t="s">
        <v>16</v>
      </c>
      <c r="B112" t="e">
        <f>CONFIDENCE(0.05,B111,5)</f>
        <v>#DIV/0!</v>
      </c>
      <c r="C112" t="e">
        <f t="shared" ref="C112:H112" si="32">CONFIDENCE(0.05,C111,5)</f>
        <v>#DIV/0!</v>
      </c>
      <c r="D112" t="e">
        <f t="shared" si="32"/>
        <v>#DIV/0!</v>
      </c>
      <c r="E112" t="e">
        <f t="shared" si="32"/>
        <v>#DIV/0!</v>
      </c>
      <c r="F112" t="e">
        <f t="shared" si="32"/>
        <v>#DIV/0!</v>
      </c>
      <c r="G112" t="e">
        <f t="shared" si="32"/>
        <v>#DIV/0!</v>
      </c>
      <c r="H112" t="e">
        <f t="shared" si="32"/>
        <v>#DIV/0!</v>
      </c>
    </row>
    <row r="114" spans="1:8">
      <c r="A114" t="s">
        <v>31</v>
      </c>
    </row>
    <row r="115" spans="1:8">
      <c r="A115" t="s">
        <v>8</v>
      </c>
    </row>
    <row r="116" spans="1:8">
      <c r="A116" t="s">
        <v>9</v>
      </c>
    </row>
    <row r="117" spans="1:8">
      <c r="A117" t="s">
        <v>10</v>
      </c>
    </row>
    <row r="118" spans="1:8">
      <c r="A118" t="s">
        <v>11</v>
      </c>
    </row>
    <row r="119" spans="1:8">
      <c r="A119" t="s">
        <v>12</v>
      </c>
    </row>
    <row r="120" spans="1:8">
      <c r="A120" t="s">
        <v>13</v>
      </c>
      <c r="B120">
        <f t="shared" ref="B120:H120" si="33">(SUM(B115:B119) -MAX(B115:B119) -MIN(B115:B119))/((COUNT(B115:B119)-2)*1000)</f>
        <v>0</v>
      </c>
      <c r="C120">
        <f t="shared" si="33"/>
        <v>0</v>
      </c>
      <c r="D120">
        <f t="shared" si="33"/>
        <v>0</v>
      </c>
      <c r="E120">
        <f t="shared" si="33"/>
        <v>0</v>
      </c>
      <c r="F120">
        <f t="shared" si="33"/>
        <v>0</v>
      </c>
      <c r="G120">
        <f t="shared" si="33"/>
        <v>0</v>
      </c>
      <c r="H120">
        <f t="shared" si="33"/>
        <v>0</v>
      </c>
    </row>
    <row r="121" spans="1:8">
      <c r="A121" t="s">
        <v>15</v>
      </c>
      <c r="B121" t="e">
        <f>STDEV(B115:B119)/1000</f>
        <v>#DIV/0!</v>
      </c>
      <c r="C121" t="e">
        <f t="shared" ref="C121:H121" si="34">STDEV(C115:C119)/1000</f>
        <v>#DIV/0!</v>
      </c>
      <c r="D121" t="e">
        <f t="shared" si="34"/>
        <v>#DIV/0!</v>
      </c>
      <c r="E121" t="e">
        <f t="shared" si="34"/>
        <v>#DIV/0!</v>
      </c>
      <c r="F121" t="e">
        <f t="shared" si="34"/>
        <v>#DIV/0!</v>
      </c>
      <c r="G121" t="e">
        <f t="shared" si="34"/>
        <v>#DIV/0!</v>
      </c>
      <c r="H121" t="e">
        <f t="shared" si="34"/>
        <v>#DIV/0!</v>
      </c>
    </row>
    <row r="122" spans="1:8">
      <c r="A122" t="s">
        <v>16</v>
      </c>
      <c r="B122" t="e">
        <f>CONFIDENCE(0.05,B121,5)</f>
        <v>#DIV/0!</v>
      </c>
      <c r="C122" t="e">
        <f t="shared" ref="C122:H122" si="35">CONFIDENCE(0.05,C121,5)</f>
        <v>#DIV/0!</v>
      </c>
      <c r="D122" t="e">
        <f t="shared" si="35"/>
        <v>#DIV/0!</v>
      </c>
      <c r="E122" t="e">
        <f t="shared" si="35"/>
        <v>#DIV/0!</v>
      </c>
      <c r="F122" t="e">
        <f t="shared" si="35"/>
        <v>#DIV/0!</v>
      </c>
      <c r="G122" t="e">
        <f t="shared" si="35"/>
        <v>#DIV/0!</v>
      </c>
      <c r="H122" t="e">
        <f t="shared" si="35"/>
        <v>#DIV/0!</v>
      </c>
    </row>
    <row r="124" spans="1:8">
      <c r="A124" t="s">
        <v>32</v>
      </c>
    </row>
    <row r="125" spans="1:8">
      <c r="A125" t="s">
        <v>8</v>
      </c>
    </row>
    <row r="126" spans="1:8">
      <c r="A126" t="s">
        <v>9</v>
      </c>
    </row>
    <row r="127" spans="1:8">
      <c r="A127" t="s">
        <v>10</v>
      </c>
    </row>
    <row r="128" spans="1:8">
      <c r="A128" t="s">
        <v>11</v>
      </c>
    </row>
    <row r="129" spans="1:8">
      <c r="A129" t="s">
        <v>12</v>
      </c>
    </row>
    <row r="130" spans="1:8">
      <c r="A130" t="s">
        <v>13</v>
      </c>
      <c r="B130">
        <f t="shared" ref="B130:H130" si="36">(SUM(B125:B129) -MAX(B125:B129) -MIN(B125:B129))/((COUNT(B125:B129)-2)*1000)</f>
        <v>0</v>
      </c>
      <c r="C130">
        <f t="shared" si="36"/>
        <v>0</v>
      </c>
      <c r="D130">
        <f t="shared" si="36"/>
        <v>0</v>
      </c>
      <c r="E130">
        <f t="shared" si="36"/>
        <v>0</v>
      </c>
      <c r="F130">
        <f t="shared" si="36"/>
        <v>0</v>
      </c>
      <c r="G130">
        <f t="shared" si="36"/>
        <v>0</v>
      </c>
      <c r="H130">
        <f t="shared" si="36"/>
        <v>0</v>
      </c>
    </row>
    <row r="131" spans="1:8">
      <c r="A131" t="s">
        <v>15</v>
      </c>
      <c r="B131" t="e">
        <f>STDEV(B125:B129)/1000</f>
        <v>#DIV/0!</v>
      </c>
      <c r="C131" t="e">
        <f t="shared" ref="C131:H131" si="37">STDEV(C125:C129)/1000</f>
        <v>#DIV/0!</v>
      </c>
      <c r="D131" t="e">
        <f t="shared" si="37"/>
        <v>#DIV/0!</v>
      </c>
      <c r="E131" t="e">
        <f t="shared" si="37"/>
        <v>#DIV/0!</v>
      </c>
      <c r="F131" t="e">
        <f t="shared" si="37"/>
        <v>#DIV/0!</v>
      </c>
      <c r="G131" t="e">
        <f t="shared" si="37"/>
        <v>#DIV/0!</v>
      </c>
      <c r="H131" t="e">
        <f t="shared" si="37"/>
        <v>#DIV/0!</v>
      </c>
    </row>
    <row r="132" spans="1:8">
      <c r="A132" t="s">
        <v>16</v>
      </c>
      <c r="B132" t="e">
        <f>CONFIDENCE(0.05,B131,5)</f>
        <v>#DIV/0!</v>
      </c>
      <c r="C132" t="e">
        <f t="shared" ref="C132:H132" si="38">CONFIDENCE(0.05,C131,5)</f>
        <v>#DIV/0!</v>
      </c>
      <c r="D132" t="e">
        <f t="shared" si="38"/>
        <v>#DIV/0!</v>
      </c>
      <c r="E132" t="e">
        <f t="shared" si="38"/>
        <v>#DIV/0!</v>
      </c>
      <c r="F132" t="e">
        <f t="shared" si="38"/>
        <v>#DIV/0!</v>
      </c>
      <c r="G132" t="e">
        <f t="shared" si="38"/>
        <v>#DIV/0!</v>
      </c>
      <c r="H132" t="e">
        <f t="shared" si="38"/>
        <v>#DIV/0!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1"/>
  <sheetViews>
    <sheetView workbookViewId="0">
      <selection activeCell="F4" sqref="F4"/>
    </sheetView>
  </sheetViews>
  <sheetFormatPr defaultRowHeight="14.4"/>
  <cols>
    <col min="1" max="1" width="24.109375" customWidth="1"/>
    <col min="2" max="6" width="12.6640625" customWidth="1"/>
    <col min="7" max="7" width="10.6640625" customWidth="1"/>
    <col min="8" max="8" width="18.5546875" bestFit="1" customWidth="1"/>
  </cols>
  <sheetData>
    <row r="1" spans="1:7">
      <c r="A1" t="s">
        <v>21</v>
      </c>
      <c r="B1">
        <v>10</v>
      </c>
    </row>
    <row r="2" spans="1:7">
      <c r="A2" t="s">
        <v>20</v>
      </c>
      <c r="B2" t="str">
        <f>'str - 2k'!B1</f>
        <v>2k</v>
      </c>
      <c r="C2" t="str">
        <f>'str - 4k'!B1</f>
        <v>4k</v>
      </c>
      <c r="D2" t="str">
        <f>'str - 6k'!B1</f>
        <v>6k</v>
      </c>
      <c r="E2" t="str">
        <f>'str - 8k'!B1</f>
        <v>8k</v>
      </c>
      <c r="F2" t="str">
        <f>'str - 10k'!B1</f>
        <v>10k</v>
      </c>
    </row>
    <row r="3" spans="1:7">
      <c r="A3" t="s">
        <v>7</v>
      </c>
    </row>
    <row r="4" spans="1:7">
      <c r="A4" t="s">
        <v>8</v>
      </c>
      <c r="B4">
        <f>'str - 2k'!B4:B11</f>
        <v>26395</v>
      </c>
      <c r="C4">
        <f>'str - 4k'!C4:C11</f>
        <v>43120</v>
      </c>
      <c r="D4">
        <f>'str - 6k'!F4:F11</f>
        <v>63199</v>
      </c>
      <c r="E4">
        <f>'str - 8k'!F4:F11</f>
        <v>102742</v>
      </c>
      <c r="F4">
        <f>'str - 10k'!F4:F11</f>
        <v>149497</v>
      </c>
    </row>
    <row r="5" spans="1:7">
      <c r="A5" t="s">
        <v>9</v>
      </c>
      <c r="B5">
        <f>'str - 2k'!B5:B12</f>
        <v>42416</v>
      </c>
      <c r="C5">
        <f>'str - 4k'!C5:C12</f>
        <v>98906</v>
      </c>
      <c r="D5">
        <f>'str - 6k'!F5:F12</f>
        <v>183222</v>
      </c>
      <c r="E5">
        <f>'str - 8k'!F5:F12</f>
        <v>281223</v>
      </c>
      <c r="F5">
        <f>'str - 10k'!F5:F12</f>
        <v>407570</v>
      </c>
    </row>
    <row r="6" spans="1:7">
      <c r="A6" t="s">
        <v>10</v>
      </c>
      <c r="B6">
        <f>'str - 2k'!B6:B13</f>
        <v>44615</v>
      </c>
      <c r="C6">
        <f>'str - 4k'!C6:C13</f>
        <v>97438</v>
      </c>
      <c r="D6">
        <f>'str - 6k'!F6:F13</f>
        <v>183550</v>
      </c>
      <c r="E6">
        <f>'str - 8k'!F6:F13</f>
        <v>284904</v>
      </c>
      <c r="F6">
        <f>'str - 10k'!F6:F13</f>
        <v>412889</v>
      </c>
    </row>
    <row r="7" spans="1:7">
      <c r="A7" t="s">
        <v>11</v>
      </c>
      <c r="B7">
        <f>'str - 2k'!B7:B14</f>
        <v>42430</v>
      </c>
      <c r="C7">
        <f>'str - 4k'!C7:C14</f>
        <v>97189</v>
      </c>
      <c r="D7">
        <f>'str - 6k'!F7:F14</f>
        <v>182333</v>
      </c>
      <c r="E7">
        <f>'str - 8k'!F7:F14</f>
        <v>282285</v>
      </c>
      <c r="F7">
        <f>'str - 10k'!F7:F14</f>
        <v>411126</v>
      </c>
    </row>
    <row r="8" spans="1:7">
      <c r="A8" t="s">
        <v>12</v>
      </c>
      <c r="B8">
        <f>'str - 2k'!B8:B15</f>
        <v>33214</v>
      </c>
      <c r="C8">
        <f>'str - 4k'!C8:C15</f>
        <v>97548</v>
      </c>
      <c r="D8">
        <f>'str - 6k'!F8:F15</f>
        <v>182382</v>
      </c>
      <c r="E8">
        <f>'str - 8k'!F8:F15</f>
        <v>313299</v>
      </c>
      <c r="F8">
        <f>'str - 10k'!F8:F15</f>
        <v>549083</v>
      </c>
    </row>
    <row r="9" spans="1:7">
      <c r="A9" t="s">
        <v>13</v>
      </c>
      <c r="B9">
        <f>'str - 2k'!B9:B16</f>
        <v>39.353333333333332</v>
      </c>
      <c r="C9">
        <f>'str - 4k'!C9:C16</f>
        <v>97.391666666666666</v>
      </c>
      <c r="D9">
        <f>'str - 6k'!F9:F16</f>
        <v>182.64566666666667</v>
      </c>
      <c r="E9">
        <f>'str - 8k'!F9:F16</f>
        <v>282.80399999999997</v>
      </c>
      <c r="F9">
        <f>'str - 10k'!F9:F16</f>
        <v>410.52833333333331</v>
      </c>
      <c r="G9" t="s">
        <v>17</v>
      </c>
    </row>
    <row r="10" spans="1:7">
      <c r="A10" t="s">
        <v>15</v>
      </c>
      <c r="B10">
        <f>'str - 2k'!B10:B17</f>
        <v>7.7506938721639624</v>
      </c>
      <c r="C10">
        <f>'str - 4k'!C10:C17</f>
        <v>24.449475581288056</v>
      </c>
      <c r="D10">
        <f>'str - 6k'!F10:F17</f>
        <v>53.521879822181134</v>
      </c>
      <c r="E10">
        <f>'str - 8k'!F10:F17</f>
        <v>84.978512421082101</v>
      </c>
      <c r="F10">
        <f>'str - 10k'!F10:F17</f>
        <v>145.21477847485085</v>
      </c>
    </row>
    <row r="11" spans="1:7">
      <c r="A11" t="s">
        <v>16</v>
      </c>
      <c r="B11">
        <f>'str - 2k'!B11:B18</f>
        <v>6.7936578840604982</v>
      </c>
      <c r="C11">
        <f>'str - 4k'!C11:C18</f>
        <v>21.4305164522757</v>
      </c>
      <c r="D11">
        <f>'str - 6k'!F11:F18</f>
        <v>46.913134078172682</v>
      </c>
      <c r="E11">
        <f>'str - 8k'!F11:F18</f>
        <v>74.485581601745466</v>
      </c>
      <c r="F11">
        <f>'str - 10k'!F11:F18</f>
        <v>127.28402655804176</v>
      </c>
    </row>
    <row r="12" spans="1:7">
      <c r="B12">
        <f>'str - 2k'!B12:B19</f>
        <v>0</v>
      </c>
      <c r="C12">
        <f>'str - 4k'!C12:C19</f>
        <v>0</v>
      </c>
      <c r="D12">
        <f>'str - 6k'!F12:F19</f>
        <v>0</v>
      </c>
      <c r="E12">
        <f>'str - 8k'!F12:F19</f>
        <v>0</v>
      </c>
      <c r="F12">
        <f>'str - 10k'!F12:F19</f>
        <v>0</v>
      </c>
    </row>
    <row r="13" spans="1:7">
      <c r="A13" t="s">
        <v>1</v>
      </c>
      <c r="B13">
        <f>'str - 2k'!B13:B20</f>
        <v>0</v>
      </c>
      <c r="C13">
        <f>'str - 4k'!C13:C20</f>
        <v>0</v>
      </c>
      <c r="D13">
        <f>'str - 6k'!F13:F20</f>
        <v>0</v>
      </c>
      <c r="E13">
        <f>'str - 8k'!F13:F20</f>
        <v>0</v>
      </c>
      <c r="F13">
        <f>'str - 10k'!F13:F20</f>
        <v>0</v>
      </c>
    </row>
    <row r="14" spans="1:7">
      <c r="A14" t="s">
        <v>8</v>
      </c>
      <c r="B14">
        <f>'str - 2k'!B14:B21</f>
        <v>12183</v>
      </c>
      <c r="C14">
        <f>'str - 4k'!C14:C21</f>
        <v>13007</v>
      </c>
      <c r="D14">
        <f>'str - 6k'!F14:F21</f>
        <v>13325</v>
      </c>
      <c r="E14">
        <f>'str - 8k'!F14:F21</f>
        <v>13682</v>
      </c>
      <c r="F14">
        <f>'str - 10k'!F14:F21</f>
        <v>14543</v>
      </c>
    </row>
    <row r="15" spans="1:7">
      <c r="A15" t="s">
        <v>9</v>
      </c>
      <c r="B15">
        <f>'str - 2k'!B15:B22</f>
        <v>12090</v>
      </c>
      <c r="C15">
        <f>'str - 4k'!C15:C22</f>
        <v>12556</v>
      </c>
      <c r="D15">
        <f>'str - 6k'!F15:F22</f>
        <v>13060</v>
      </c>
      <c r="E15">
        <f>'str - 8k'!F15:F22</f>
        <v>13358</v>
      </c>
      <c r="F15">
        <f>'str - 10k'!F15:F22</f>
        <v>13741</v>
      </c>
    </row>
    <row r="16" spans="1:7">
      <c r="A16" t="s">
        <v>10</v>
      </c>
      <c r="B16">
        <f>'str - 2k'!B16:B23</f>
        <v>11935</v>
      </c>
      <c r="C16">
        <f>'str - 4k'!C16:C23</f>
        <v>13057</v>
      </c>
      <c r="D16">
        <f>'str - 6k'!F16:F23</f>
        <v>13243</v>
      </c>
      <c r="E16">
        <f>'str - 8k'!F16:F23</f>
        <v>13400</v>
      </c>
      <c r="F16">
        <f>'str - 10k'!F16:F23</f>
        <v>13839</v>
      </c>
    </row>
    <row r="17" spans="1:7">
      <c r="A17" t="s">
        <v>11</v>
      </c>
      <c r="B17">
        <f>'str - 2k'!B17:B24</f>
        <v>11936</v>
      </c>
      <c r="C17">
        <f>'str - 4k'!C17:C24</f>
        <v>12729</v>
      </c>
      <c r="D17">
        <f>'str - 6k'!F17:F24</f>
        <v>13542</v>
      </c>
      <c r="E17">
        <f>'str - 8k'!F17:F24</f>
        <v>13979</v>
      </c>
      <c r="F17">
        <f>'str - 10k'!F17:F24</f>
        <v>13539</v>
      </c>
    </row>
    <row r="18" spans="1:7">
      <c r="A18" t="s">
        <v>12</v>
      </c>
      <c r="B18">
        <f>'str - 2k'!B18:B25</f>
        <v>11869</v>
      </c>
      <c r="C18">
        <f>'str - 4k'!C18:C25</f>
        <v>12262</v>
      </c>
      <c r="D18">
        <f>'str - 6k'!F18:F25</f>
        <v>13011</v>
      </c>
      <c r="E18">
        <f>'str - 8k'!F18:F25</f>
        <v>13944</v>
      </c>
      <c r="F18">
        <f>'str - 10k'!F18:F25</f>
        <v>13838</v>
      </c>
    </row>
    <row r="19" spans="1:7">
      <c r="A19" t="s">
        <v>13</v>
      </c>
      <c r="B19">
        <f>'str - 2k'!B19:B26</f>
        <v>11.987</v>
      </c>
      <c r="C19">
        <f>'str - 4k'!C19:C26</f>
        <v>12.763999999999999</v>
      </c>
      <c r="D19">
        <f>'str - 6k'!F19:F26</f>
        <v>13.209333333333333</v>
      </c>
      <c r="E19">
        <f>'str - 8k'!F19:F26</f>
        <v>13.675333333333333</v>
      </c>
      <c r="F19">
        <f>'str - 10k'!F19:F26</f>
        <v>13.805999999999999</v>
      </c>
      <c r="G19" t="s">
        <v>17</v>
      </c>
    </row>
    <row r="20" spans="1:7">
      <c r="A20" t="s">
        <v>15</v>
      </c>
      <c r="B20">
        <f>'str - 2k'!B20:B27</f>
        <v>0.1294577151042452</v>
      </c>
      <c r="C20">
        <f>'str - 4k'!C20:C27</f>
        <v>0.32888250181483974</v>
      </c>
      <c r="D20">
        <f>'str - 6k'!F20:F27</f>
        <v>0.21401331734260856</v>
      </c>
      <c r="E20">
        <f>'str - 8k'!F20:F27</f>
        <v>0.29193800711797002</v>
      </c>
      <c r="F20">
        <f>'str - 10k'!F20:F27</f>
        <v>0.37967617781472679</v>
      </c>
    </row>
    <row r="21" spans="1:7">
      <c r="A21" t="s">
        <v>16</v>
      </c>
      <c r="B21">
        <f>'str - 2k'!B21:B28</f>
        <v>0.11347260534041229</v>
      </c>
      <c r="C21">
        <f>'str - 4k'!C21:C28</f>
        <v>0.28827292604192556</v>
      </c>
      <c r="D21">
        <f>'str - 6k'!F21:F28</f>
        <v>0.18758749663436541</v>
      </c>
      <c r="E21">
        <f>'str - 8k'!F21:F28</f>
        <v>0.2558902436899072</v>
      </c>
      <c r="F21">
        <f>'str - 10k'!F21:F28</f>
        <v>0.33279472797457021</v>
      </c>
    </row>
    <row r="22" spans="1:7">
      <c r="B22">
        <f>'str - 2k'!B22:B29</f>
        <v>0</v>
      </c>
      <c r="C22">
        <f>'str - 4k'!C22:C29</f>
        <v>0</v>
      </c>
      <c r="D22">
        <f>'str - 6k'!F22:F29</f>
        <v>0</v>
      </c>
      <c r="E22">
        <f>'str - 8k'!F22:F29</f>
        <v>0</v>
      </c>
      <c r="F22">
        <f>'str - 10k'!F22:F29</f>
        <v>0</v>
      </c>
    </row>
    <row r="23" spans="1:7">
      <c r="A23" t="s">
        <v>2</v>
      </c>
      <c r="B23">
        <f>'str - 2k'!B23:B30</f>
        <v>0</v>
      </c>
      <c r="C23">
        <f>'str - 4k'!C23:C30</f>
        <v>0</v>
      </c>
      <c r="D23">
        <f>'str - 6k'!F23:F30</f>
        <v>0</v>
      </c>
      <c r="E23">
        <f>'str - 8k'!F23:F30</f>
        <v>0</v>
      </c>
      <c r="F23">
        <f>'str - 10k'!F23:F30</f>
        <v>0</v>
      </c>
    </row>
    <row r="24" spans="1:7">
      <c r="A24" t="s">
        <v>8</v>
      </c>
      <c r="B24">
        <f>'str - 2k'!B24:B31</f>
        <v>12544</v>
      </c>
      <c r="C24">
        <f>'str - 4k'!C24:C31</f>
        <v>13684</v>
      </c>
      <c r="D24">
        <f>'str - 6k'!F24:F31</f>
        <v>15354</v>
      </c>
      <c r="E24">
        <f>'str - 8k'!F24:F31</f>
        <v>16817</v>
      </c>
      <c r="F24">
        <f>'str - 10k'!F24:F31</f>
        <v>18004</v>
      </c>
    </row>
    <row r="25" spans="1:7">
      <c r="A25" t="s">
        <v>9</v>
      </c>
      <c r="B25">
        <f>'str - 2k'!B25:B32</f>
        <v>12357</v>
      </c>
      <c r="C25">
        <f>'str - 4k'!C25:C32</f>
        <v>13887</v>
      </c>
      <c r="D25">
        <f>'str - 6k'!F25:F32</f>
        <v>15945</v>
      </c>
      <c r="E25">
        <f>'str - 8k'!F25:F32</f>
        <v>17930</v>
      </c>
      <c r="F25">
        <f>'str - 10k'!F25:F32</f>
        <v>19625</v>
      </c>
    </row>
    <row r="26" spans="1:7">
      <c r="A26" t="s">
        <v>10</v>
      </c>
      <c r="B26">
        <f>'str - 2k'!B26:B33</f>
        <v>12248</v>
      </c>
      <c r="C26">
        <f>'str - 4k'!C26:C33</f>
        <v>13627</v>
      </c>
      <c r="D26">
        <f>'str - 6k'!F26:F33</f>
        <v>15992</v>
      </c>
      <c r="E26">
        <f>'str - 8k'!F26:F33</f>
        <v>18171</v>
      </c>
      <c r="F26">
        <f>'str - 10k'!F26:F33</f>
        <v>19500</v>
      </c>
    </row>
    <row r="27" spans="1:7">
      <c r="A27" t="s">
        <v>11</v>
      </c>
      <c r="B27">
        <f>'str - 2k'!B27:B34</f>
        <v>12306</v>
      </c>
      <c r="C27">
        <f>'str - 4k'!C27:C34</f>
        <v>13668</v>
      </c>
      <c r="D27">
        <f>'str - 6k'!F27:F34</f>
        <v>16036</v>
      </c>
      <c r="E27">
        <f>'str - 8k'!F27:F34</f>
        <v>18019</v>
      </c>
      <c r="F27">
        <f>'str - 10k'!F27:F34</f>
        <v>19387</v>
      </c>
    </row>
    <row r="28" spans="1:7">
      <c r="A28" t="s">
        <v>12</v>
      </c>
      <c r="B28">
        <f>'str - 2k'!B28:B35</f>
        <v>12263</v>
      </c>
      <c r="C28">
        <f>'str - 4k'!C28:C35</f>
        <v>13680</v>
      </c>
      <c r="D28">
        <f>'str - 6k'!F28:F35</f>
        <v>16890</v>
      </c>
      <c r="E28">
        <f>'str - 8k'!F28:F35</f>
        <v>18235</v>
      </c>
      <c r="F28">
        <f>'str - 10k'!F28:F35</f>
        <v>20503</v>
      </c>
    </row>
    <row r="29" spans="1:7">
      <c r="A29" t="s">
        <v>13</v>
      </c>
      <c r="B29">
        <f>'str - 2k'!B29:B36</f>
        <v>12.308666666666667</v>
      </c>
      <c r="C29">
        <f>'str - 4k'!C29:C36</f>
        <v>13.677333333333333</v>
      </c>
      <c r="D29">
        <f>'str - 6k'!F29:F36</f>
        <v>15.991</v>
      </c>
      <c r="E29">
        <f>'str - 8k'!F29:F36</f>
        <v>18.04</v>
      </c>
      <c r="F29">
        <f>'str - 10k'!F29:F36</f>
        <v>19.504000000000001</v>
      </c>
      <c r="G29" t="s">
        <v>17</v>
      </c>
    </row>
    <row r="30" spans="1:7">
      <c r="A30" t="s">
        <v>15</v>
      </c>
      <c r="B30">
        <f>'str - 2k'!B30:B37</f>
        <v>0.11978021539474673</v>
      </c>
      <c r="C30">
        <f>'str - 4k'!C30:C37</f>
        <v>0.10192497240611879</v>
      </c>
      <c r="D30">
        <f>'str - 6k'!F30:F37</f>
        <v>0.54872196967135545</v>
      </c>
      <c r="E30">
        <f>'str - 8k'!F30:F37</f>
        <v>0.58139900240713516</v>
      </c>
      <c r="F30">
        <f>'str - 10k'!F30:F37</f>
        <v>0.8980738833748525</v>
      </c>
    </row>
    <row r="31" spans="1:7">
      <c r="A31" t="s">
        <v>16</v>
      </c>
      <c r="B31">
        <f>'str - 2k'!B31:B38</f>
        <v>0.10499005870861357</v>
      </c>
      <c r="C31">
        <f>'str - 4k'!C31:C38</f>
        <v>8.9339535761609218E-2</v>
      </c>
      <c r="D31">
        <f>'str - 6k'!F31:F38</f>
        <v>0.48096717492652236</v>
      </c>
      <c r="E31">
        <f>'str - 8k'!F31:F38</f>
        <v>0.50960933067859204</v>
      </c>
      <c r="F31">
        <f>'str - 10k'!F31:F38</f>
        <v>0.78718200188120235</v>
      </c>
    </row>
    <row r="32" spans="1:7">
      <c r="B32">
        <f>'str - 2k'!B32:B39</f>
        <v>0</v>
      </c>
      <c r="C32">
        <f>'str - 4k'!C32:C39</f>
        <v>0</v>
      </c>
      <c r="D32">
        <f>'str - 6k'!F32:F39</f>
        <v>0</v>
      </c>
      <c r="E32">
        <f>'str - 8k'!F32:F39</f>
        <v>0</v>
      </c>
      <c r="F32">
        <f>'str - 10k'!F32:F39</f>
        <v>0</v>
      </c>
    </row>
    <row r="33" spans="1:7">
      <c r="A33" t="s">
        <v>3</v>
      </c>
      <c r="B33">
        <f>'str - 2k'!B33:B40</f>
        <v>0</v>
      </c>
      <c r="C33">
        <f>'str - 4k'!C33:C40</f>
        <v>0</v>
      </c>
      <c r="D33">
        <f>'str - 6k'!F33:F40</f>
        <v>0</v>
      </c>
      <c r="E33">
        <f>'str - 8k'!F33:F40</f>
        <v>0</v>
      </c>
      <c r="F33">
        <f>'str - 10k'!F33:F40</f>
        <v>0</v>
      </c>
    </row>
    <row r="34" spans="1:7">
      <c r="A34" t="s">
        <v>8</v>
      </c>
      <c r="B34">
        <f>'str - 2k'!B34:B41</f>
        <v>22152</v>
      </c>
      <c r="C34">
        <f>'str - 4k'!C34:C41</f>
        <v>17360</v>
      </c>
      <c r="D34">
        <f>'str - 6k'!F34:F41</f>
        <v>25790</v>
      </c>
      <c r="E34">
        <f>'str - 8k'!F34:F41</f>
        <v>30611</v>
      </c>
      <c r="F34">
        <f>'str - 10k'!F34:F41</f>
        <v>49043</v>
      </c>
    </row>
    <row r="35" spans="1:7">
      <c r="A35" t="s">
        <v>9</v>
      </c>
      <c r="B35">
        <f>'str - 2k'!B35:B42</f>
        <v>13869</v>
      </c>
      <c r="C35">
        <f>'str - 4k'!C35:C42</f>
        <v>18721</v>
      </c>
      <c r="D35">
        <f>'str - 6k'!F35:F42</f>
        <v>28189</v>
      </c>
      <c r="E35">
        <f>'str - 8k'!F35:F42</f>
        <v>33262</v>
      </c>
      <c r="F35">
        <f>'str - 10k'!F35:F42</f>
        <v>50094</v>
      </c>
    </row>
    <row r="36" spans="1:7">
      <c r="A36" t="s">
        <v>10</v>
      </c>
      <c r="B36">
        <f>'str - 2k'!B36:B43</f>
        <v>13510</v>
      </c>
      <c r="C36">
        <f>'str - 4k'!C36:C43</f>
        <v>19172</v>
      </c>
      <c r="D36">
        <f>'str - 6k'!F36:F43</f>
        <v>30573</v>
      </c>
      <c r="E36">
        <f>'str - 8k'!F36:F43</f>
        <v>37474</v>
      </c>
      <c r="F36">
        <f>'str - 10k'!F36:F43</f>
        <v>45363</v>
      </c>
    </row>
    <row r="37" spans="1:7">
      <c r="A37" t="s">
        <v>11</v>
      </c>
      <c r="B37">
        <f>'str - 2k'!B37:B44</f>
        <v>13647</v>
      </c>
      <c r="C37">
        <f>'str - 4k'!C37:C44</f>
        <v>18846</v>
      </c>
      <c r="D37">
        <f>'str - 6k'!F37:F44</f>
        <v>26617</v>
      </c>
      <c r="E37">
        <f>'str - 8k'!F37:F44</f>
        <v>35444</v>
      </c>
      <c r="F37">
        <f>'str - 10k'!F37:F44</f>
        <v>43773</v>
      </c>
    </row>
    <row r="38" spans="1:7">
      <c r="A38" t="s">
        <v>12</v>
      </c>
      <c r="B38">
        <f>'str - 2k'!B38:B45</f>
        <v>13508</v>
      </c>
      <c r="C38">
        <f>'str - 4k'!C38:C45</f>
        <v>18679</v>
      </c>
      <c r="D38">
        <f>'str - 6k'!F38:F45</f>
        <v>27251</v>
      </c>
      <c r="E38">
        <f>'str - 8k'!F38:F45</f>
        <v>35798</v>
      </c>
      <c r="F38">
        <f>'str - 10k'!F38:F45</f>
        <v>41075</v>
      </c>
    </row>
    <row r="39" spans="1:7">
      <c r="A39" t="s">
        <v>13</v>
      </c>
      <c r="B39">
        <f>'str - 2k'!B39:B46</f>
        <v>13.675333333333333</v>
      </c>
      <c r="C39">
        <f>'str - 4k'!C39:C46</f>
        <v>18.748666666666665</v>
      </c>
      <c r="D39">
        <f>'str - 6k'!F39:F46</f>
        <v>27.352333333333334</v>
      </c>
      <c r="E39">
        <f>'str - 8k'!F39:F46</f>
        <v>34.834666666666664</v>
      </c>
      <c r="F39">
        <f>'str - 10k'!F39:F46</f>
        <v>46.059666666666665</v>
      </c>
      <c r="G39" t="s">
        <v>17</v>
      </c>
    </row>
    <row r="40" spans="1:7">
      <c r="A40" t="s">
        <v>15</v>
      </c>
      <c r="B40">
        <f>'str - 2k'!B40:B47</f>
        <v>3.8124309436368793</v>
      </c>
      <c r="C40">
        <f>'str - 4k'!C40:C47</f>
        <v>0.69575951305031536</v>
      </c>
      <c r="D40">
        <f>'str - 6k'!F40:F47</f>
        <v>1.8381077226321638</v>
      </c>
      <c r="E40">
        <f>'str - 8k'!F40:F47</f>
        <v>2.6493393893572881</v>
      </c>
      <c r="F40">
        <f>'str - 10k'!F40:F47</f>
        <v>3.7268145647456339</v>
      </c>
    </row>
    <row r="41" spans="1:7">
      <c r="A41" t="s">
        <v>16</v>
      </c>
      <c r="B41">
        <f>'str - 2k'!B41:B48</f>
        <v>3.3416816564893712</v>
      </c>
      <c r="C41">
        <f>'str - 4k'!C41:C48</f>
        <v>0.60984889600918768</v>
      </c>
      <c r="D41">
        <f>'str - 6k'!F41:F48</f>
        <v>1.6111428508949788</v>
      </c>
      <c r="E41">
        <f>'str - 8k'!F41:F48</f>
        <v>2.3222056924090588</v>
      </c>
      <c r="F41">
        <f>'str - 10k'!F41:F48</f>
        <v>3.2666369705486495</v>
      </c>
    </row>
    <row r="42" spans="1:7">
      <c r="B42">
        <f>'str - 2k'!B42:B49</f>
        <v>0</v>
      </c>
      <c r="C42">
        <f>'str - 4k'!C42:C49</f>
        <v>0</v>
      </c>
      <c r="D42">
        <f>'str - 6k'!F42:F49</f>
        <v>0</v>
      </c>
      <c r="E42">
        <f>'str - 8k'!F42:F49</f>
        <v>0</v>
      </c>
      <c r="F42">
        <f>'str - 10k'!F42:F49</f>
        <v>0</v>
      </c>
    </row>
    <row r="43" spans="1:7">
      <c r="A43" t="s">
        <v>4</v>
      </c>
      <c r="B43">
        <f>'str - 2k'!B43:B50</f>
        <v>0</v>
      </c>
      <c r="C43">
        <f>'str - 4k'!C43:C50</f>
        <v>0</v>
      </c>
      <c r="D43">
        <f>'str - 6k'!F43:F50</f>
        <v>0</v>
      </c>
      <c r="E43">
        <f>'str - 8k'!F43:F50</f>
        <v>0</v>
      </c>
      <c r="F43">
        <f>'str - 10k'!F43:F50</f>
        <v>0</v>
      </c>
    </row>
    <row r="44" spans="1:7">
      <c r="A44" t="s">
        <v>8</v>
      </c>
      <c r="B44">
        <f>'str - 2k'!B44:B51</f>
        <v>11979</v>
      </c>
      <c r="C44">
        <f>'str - 4k'!C44:C51</f>
        <v>15446</v>
      </c>
      <c r="D44">
        <f>'str - 6k'!F44:F51</f>
        <v>15987</v>
      </c>
      <c r="E44">
        <f>'str - 8k'!F44:F51</f>
        <v>18815</v>
      </c>
      <c r="F44">
        <f>'str - 10k'!F44:F51</f>
        <v>20063</v>
      </c>
    </row>
    <row r="45" spans="1:7">
      <c r="A45" t="s">
        <v>9</v>
      </c>
      <c r="B45">
        <f>'str - 2k'!B45:B52</f>
        <v>11622</v>
      </c>
      <c r="C45">
        <f>'str - 4k'!C45:C52</f>
        <v>12994</v>
      </c>
      <c r="D45">
        <f>'str - 6k'!F45:F52</f>
        <v>15699</v>
      </c>
      <c r="E45">
        <f>'str - 8k'!F45:F52</f>
        <v>18960</v>
      </c>
      <c r="F45">
        <f>'str - 10k'!F45:F52</f>
        <v>20327</v>
      </c>
    </row>
    <row r="46" spans="1:7">
      <c r="A46" t="s">
        <v>10</v>
      </c>
      <c r="B46">
        <f>'str - 2k'!B46:B53</f>
        <v>11591</v>
      </c>
      <c r="C46">
        <f>'str - 4k'!C46:C53</f>
        <v>13995</v>
      </c>
      <c r="D46">
        <f>'str - 6k'!F46:F53</f>
        <v>15664</v>
      </c>
      <c r="E46">
        <f>'str - 8k'!F46:F53</f>
        <v>18600</v>
      </c>
      <c r="F46">
        <f>'str - 10k'!F46:F53</f>
        <v>20216</v>
      </c>
    </row>
    <row r="47" spans="1:7">
      <c r="A47" t="s">
        <v>11</v>
      </c>
      <c r="B47">
        <f>'str - 2k'!B47:B54</f>
        <v>11608</v>
      </c>
      <c r="C47">
        <f>'str - 4k'!C47:C54</f>
        <v>14460</v>
      </c>
      <c r="D47">
        <f>'str - 6k'!F47:F54</f>
        <v>15851</v>
      </c>
      <c r="E47">
        <f>'str - 8k'!F47:F54</f>
        <v>18627</v>
      </c>
      <c r="F47">
        <f>'str - 10k'!F47:F54</f>
        <v>20154</v>
      </c>
    </row>
    <row r="48" spans="1:7">
      <c r="A48" t="s">
        <v>12</v>
      </c>
      <c r="B48">
        <f>'str - 2k'!B48:B55</f>
        <v>11626</v>
      </c>
      <c r="C48">
        <f>'str - 4k'!C48:C55</f>
        <v>14338</v>
      </c>
      <c r="D48">
        <f>'str - 6k'!F48:F55</f>
        <v>15788</v>
      </c>
      <c r="E48">
        <f>'str - 8k'!F48:F55</f>
        <v>18548</v>
      </c>
      <c r="F48">
        <f>'str - 10k'!F48:F55</f>
        <v>20813</v>
      </c>
    </row>
    <row r="49" spans="1:7">
      <c r="A49" t="s">
        <v>13</v>
      </c>
      <c r="B49">
        <f>'str - 2k'!B49:B56</f>
        <v>11.618666666666666</v>
      </c>
      <c r="C49">
        <f>'str - 4k'!C49:C56</f>
        <v>14.264333333333333</v>
      </c>
      <c r="D49">
        <f>'str - 6k'!F49:F56</f>
        <v>15.779333333333334</v>
      </c>
      <c r="E49">
        <f>'str - 8k'!F49:F56</f>
        <v>18.680666666666667</v>
      </c>
      <c r="F49">
        <f>'str - 10k'!F49:F56</f>
        <v>20.232333333333333</v>
      </c>
      <c r="G49" t="s">
        <v>17</v>
      </c>
    </row>
    <row r="50" spans="1:7">
      <c r="A50" t="s">
        <v>15</v>
      </c>
      <c r="B50">
        <f>'str - 2k'!B50:B57</f>
        <v>0.16481110399481</v>
      </c>
      <c r="C50">
        <f>'str - 4k'!C50:C57</f>
        <v>0.88384998727160247</v>
      </c>
      <c r="D50">
        <f>'str - 6k'!F50:F57</f>
        <v>0.12882818014700076</v>
      </c>
      <c r="E50">
        <f>'str - 8k'!F50:F57</f>
        <v>0.17230641311338357</v>
      </c>
      <c r="F50">
        <f>'str - 10k'!F50:F57</f>
        <v>0.29469187297923893</v>
      </c>
    </row>
    <row r="51" spans="1:7">
      <c r="A51" t="s">
        <v>16</v>
      </c>
      <c r="B51">
        <f>'str - 2k'!B51:B58</f>
        <v>0.14446064758876204</v>
      </c>
      <c r="C51">
        <f>'str - 4k'!C51:C58</f>
        <v>0.77471443633188419</v>
      </c>
      <c r="D51">
        <f>'str - 6k'!F51:F58</f>
        <v>0.11292080376030662</v>
      </c>
      <c r="E51">
        <f>'str - 8k'!F51:F58</f>
        <v>0.15103045497978099</v>
      </c>
      <c r="F51">
        <f>'str - 10k'!F51:F58</f>
        <v>0.25830406919103377</v>
      </c>
    </row>
    <row r="52" spans="1:7">
      <c r="B52">
        <f>'str - 2k'!B52:B59</f>
        <v>0</v>
      </c>
      <c r="C52">
        <f>'str - 4k'!C52:C59</f>
        <v>0</v>
      </c>
      <c r="D52">
        <f>'str - 6k'!F52:F59</f>
        <v>0</v>
      </c>
      <c r="E52">
        <f>'str - 8k'!F52:F59</f>
        <v>0</v>
      </c>
      <c r="F52">
        <f>'str - 10k'!F52:F59</f>
        <v>0</v>
      </c>
    </row>
    <row r="53" spans="1:7">
      <c r="A53" t="s">
        <v>5</v>
      </c>
      <c r="B53">
        <f>'str - 2k'!B53:B60</f>
        <v>0</v>
      </c>
      <c r="C53">
        <f>'str - 4k'!C53:C60</f>
        <v>0</v>
      </c>
      <c r="D53">
        <f>'str - 6k'!F53:F60</f>
        <v>0</v>
      </c>
      <c r="E53">
        <f>'str - 8k'!F53:F60</f>
        <v>0</v>
      </c>
      <c r="F53">
        <f>'str - 10k'!F53:F60</f>
        <v>0</v>
      </c>
    </row>
    <row r="54" spans="1:7">
      <c r="A54" t="s">
        <v>8</v>
      </c>
      <c r="B54">
        <f>'str - 2k'!B54:B61</f>
        <v>12525</v>
      </c>
      <c r="C54">
        <f>'str - 4k'!C54:C61</f>
        <v>19018</v>
      </c>
      <c r="D54">
        <f>'str - 6k'!F54:F61</f>
        <v>29127</v>
      </c>
      <c r="E54">
        <f>'str - 8k'!F54:F61</f>
        <v>36909</v>
      </c>
      <c r="F54">
        <f>'str - 10k'!F54:F61</f>
        <v>52154</v>
      </c>
    </row>
    <row r="55" spans="1:7">
      <c r="A55" t="s">
        <v>9</v>
      </c>
      <c r="B55">
        <f>'str - 2k'!B55:B62</f>
        <v>12526</v>
      </c>
      <c r="C55">
        <f>'str - 4k'!C55:C62</f>
        <v>19827</v>
      </c>
      <c r="D55">
        <f>'str - 6k'!F55:F62</f>
        <v>31077</v>
      </c>
      <c r="E55">
        <f>'str - 8k'!F55:F62</f>
        <v>37347</v>
      </c>
      <c r="F55">
        <f>'str - 10k'!F55:F62</f>
        <v>57207</v>
      </c>
    </row>
    <row r="56" spans="1:7">
      <c r="A56" t="s">
        <v>10</v>
      </c>
      <c r="B56">
        <f>'str - 2k'!B56:B63</f>
        <v>12356</v>
      </c>
      <c r="C56">
        <f>'str - 4k'!C56:C63</f>
        <v>19138</v>
      </c>
      <c r="D56">
        <f>'str - 6k'!F56:F63</f>
        <v>30357</v>
      </c>
      <c r="E56">
        <f>'str - 8k'!F56:F63</f>
        <v>42870</v>
      </c>
      <c r="F56">
        <f>'str - 10k'!F56:F63</f>
        <v>56516</v>
      </c>
    </row>
    <row r="57" spans="1:7">
      <c r="A57" t="s">
        <v>11</v>
      </c>
      <c r="B57">
        <f>'str - 2k'!B57:B64</f>
        <v>12279</v>
      </c>
      <c r="C57">
        <f>'str - 4k'!C57:C64</f>
        <v>19095</v>
      </c>
      <c r="D57">
        <f>'str - 6k'!F57:F64</f>
        <v>30545</v>
      </c>
      <c r="E57">
        <f>'str - 8k'!F57:F64</f>
        <v>43460</v>
      </c>
      <c r="F57">
        <f>'str - 10k'!F57:F64</f>
        <v>56803</v>
      </c>
    </row>
    <row r="58" spans="1:7">
      <c r="A58" t="s">
        <v>12</v>
      </c>
      <c r="B58">
        <f>'str - 2k'!B58:B65</f>
        <v>12246</v>
      </c>
      <c r="C58">
        <f>'str - 4k'!C58:C65</f>
        <v>18941</v>
      </c>
      <c r="D58">
        <f>'str - 6k'!F58:F65</f>
        <v>30810</v>
      </c>
      <c r="E58">
        <f>'str - 8k'!F58:F65</f>
        <v>40621</v>
      </c>
      <c r="F58">
        <f>'str - 10k'!F58:F65</f>
        <v>49422</v>
      </c>
    </row>
    <row r="59" spans="1:7">
      <c r="A59" t="s">
        <v>13</v>
      </c>
      <c r="B59">
        <f>'str - 2k'!B59:B66</f>
        <v>12.386666666666667</v>
      </c>
      <c r="C59">
        <f>'str - 4k'!C59:C66</f>
        <v>19.083666666666666</v>
      </c>
      <c r="D59">
        <f>'str - 6k'!F59:F66</f>
        <v>30.570666666666668</v>
      </c>
      <c r="E59">
        <f>'str - 8k'!F59:F66</f>
        <v>40.279333333333334</v>
      </c>
      <c r="F59">
        <f>'str - 10k'!F59:F66</f>
        <v>55.157666666666664</v>
      </c>
      <c r="G59" t="s">
        <v>17</v>
      </c>
    </row>
    <row r="60" spans="1:7">
      <c r="A60" t="s">
        <v>15</v>
      </c>
      <c r="B60">
        <f>'str - 2k'!B60:B67</f>
        <v>0.13310634845871147</v>
      </c>
      <c r="C60">
        <f>'str - 4k'!C60:C67</f>
        <v>0.35641646987756903</v>
      </c>
      <c r="D60">
        <f>'str - 6k'!F60:F67</f>
        <v>0.75306387511289352</v>
      </c>
      <c r="E60">
        <f>'str - 8k'!F60:F67</f>
        <v>3.0370817078241328</v>
      </c>
      <c r="F60">
        <f>'str - 10k'!F60:F67</f>
        <v>3.4624425338191811</v>
      </c>
    </row>
    <row r="61" spans="1:7">
      <c r="A61" t="s">
        <v>16</v>
      </c>
      <c r="B61">
        <f>'str - 2k'!B61:B68</f>
        <v>0.11667071471790152</v>
      </c>
      <c r="C61">
        <f>'str - 4k'!C61:C68</f>
        <v>0.31240706968042342</v>
      </c>
      <c r="D61">
        <f>'str - 6k'!F61:F68</f>
        <v>0.66007746103039888</v>
      </c>
      <c r="E61">
        <f>'str - 8k'!F61:F68</f>
        <v>2.6620705744806719</v>
      </c>
      <c r="F61">
        <f>'str - 10k'!F61:F68</f>
        <v>3.0349089263436051</v>
      </c>
    </row>
    <row r="62" spans="1:7">
      <c r="B62">
        <f>'str - 2k'!B62:B69</f>
        <v>0</v>
      </c>
      <c r="C62">
        <f>'str - 4k'!C62:C69</f>
        <v>0</v>
      </c>
      <c r="D62">
        <f>'str - 6k'!F62:F69</f>
        <v>0</v>
      </c>
      <c r="E62">
        <f>'str - 8k'!F62:F69</f>
        <v>0</v>
      </c>
      <c r="F62">
        <f>'str - 10k'!F62:F69</f>
        <v>0</v>
      </c>
    </row>
    <row r="63" spans="1:7">
      <c r="A63" t="s">
        <v>6</v>
      </c>
      <c r="B63">
        <f>'str - 2k'!B63:B70</f>
        <v>0</v>
      </c>
      <c r="C63">
        <f>'str - 4k'!C63:C70</f>
        <v>0</v>
      </c>
      <c r="D63">
        <f>'str - 6k'!F63:F70</f>
        <v>0</v>
      </c>
      <c r="E63">
        <f>'str - 8k'!F63:F70</f>
        <v>0</v>
      </c>
      <c r="F63">
        <f>'str - 10k'!F63:F70</f>
        <v>0</v>
      </c>
    </row>
    <row r="64" spans="1:7">
      <c r="A64" t="s">
        <v>8</v>
      </c>
      <c r="B64">
        <f>'str - 2k'!B64:B71</f>
        <v>19421</v>
      </c>
      <c r="C64">
        <f>'str - 4k'!C64:C71</f>
        <v>56413</v>
      </c>
      <c r="D64">
        <f>'str - 6k'!F64:F71</f>
        <v>100326</v>
      </c>
      <c r="E64">
        <f>'str - 8k'!F64:F71</f>
        <v>167828</v>
      </c>
      <c r="F64">
        <f>'str - 10k'!F64:F71</f>
        <v>211601</v>
      </c>
    </row>
    <row r="65" spans="1:7">
      <c r="A65" t="s">
        <v>9</v>
      </c>
      <c r="B65">
        <f>'str - 2k'!B65:B72</f>
        <v>19498</v>
      </c>
      <c r="C65">
        <f>'str - 4k'!C65:C72</f>
        <v>63150</v>
      </c>
      <c r="D65">
        <f>'str - 6k'!F65:F72</f>
        <v>129201</v>
      </c>
      <c r="E65">
        <f>'str - 8k'!F65:F72</f>
        <v>172662</v>
      </c>
      <c r="F65">
        <f>'str - 10k'!F65:F72</f>
        <v>234425</v>
      </c>
    </row>
    <row r="66" spans="1:7">
      <c r="A66" t="s">
        <v>10</v>
      </c>
      <c r="B66">
        <f>'str - 2k'!B66:B73</f>
        <v>19407</v>
      </c>
      <c r="C66">
        <f>'str - 4k'!C66:C73</f>
        <v>61702</v>
      </c>
      <c r="D66">
        <f>'str - 6k'!F66:F73</f>
        <v>125860</v>
      </c>
      <c r="E66">
        <f>'str - 8k'!F66:F73</f>
        <v>175985</v>
      </c>
      <c r="F66">
        <f>'str - 10k'!F66:F73</f>
        <v>232128</v>
      </c>
    </row>
    <row r="67" spans="1:7">
      <c r="A67" t="s">
        <v>11</v>
      </c>
      <c r="B67">
        <f>'str - 2k'!B67:B74</f>
        <v>19173</v>
      </c>
      <c r="C67">
        <f>'str - 4k'!C67:C74</f>
        <v>62281</v>
      </c>
      <c r="D67">
        <f>'str - 6k'!F67:F74</f>
        <v>122071</v>
      </c>
      <c r="E67">
        <f>'str - 8k'!F67:F74</f>
        <v>175208</v>
      </c>
      <c r="F67">
        <f>'str - 10k'!F67:F74</f>
        <v>283205</v>
      </c>
    </row>
    <row r="68" spans="1:7">
      <c r="A68" t="s">
        <v>12</v>
      </c>
      <c r="B68">
        <f>'str - 2k'!B68:B75</f>
        <v>19733</v>
      </c>
      <c r="C68">
        <f>'str - 4k'!C68:C75</f>
        <v>62522</v>
      </c>
      <c r="D68">
        <f>'str - 6k'!F68:F75</f>
        <v>123960</v>
      </c>
      <c r="E68">
        <f>'str - 8k'!F68:F75</f>
        <v>174766</v>
      </c>
      <c r="F68">
        <f>'str - 10k'!F68:F75</f>
        <v>253641</v>
      </c>
    </row>
    <row r="69" spans="1:7">
      <c r="A69" t="s">
        <v>13</v>
      </c>
      <c r="B69">
        <f>'str - 2k'!B69:B76</f>
        <v>19.442</v>
      </c>
      <c r="C69">
        <f>'str - 4k'!C69:C76</f>
        <v>62.168333333333337</v>
      </c>
      <c r="D69">
        <f>'str - 6k'!F69:F76</f>
        <v>123.96366666666667</v>
      </c>
      <c r="E69">
        <f>'str - 8k'!F69:F76</f>
        <v>174.21199999999999</v>
      </c>
      <c r="F69">
        <f>'str - 10k'!F69:F76</f>
        <v>240.06466666666665</v>
      </c>
      <c r="G69" t="s">
        <v>17</v>
      </c>
    </row>
    <row r="70" spans="1:7">
      <c r="A70" t="s">
        <v>15</v>
      </c>
      <c r="B70">
        <f>'str - 2k'!B70:B77</f>
        <v>0.20108903500691408</v>
      </c>
      <c r="C70">
        <f>'str - 4k'!C70:C77</f>
        <v>2.7333675749888071</v>
      </c>
      <c r="D70">
        <f>'str - 6k'!F70:F77</f>
        <v>11.463341279923549</v>
      </c>
      <c r="E70">
        <f>'str - 8k'!F70:F77</f>
        <v>3.2919657045596553</v>
      </c>
      <c r="F70">
        <f>'str - 10k'!F70:F77</f>
        <v>26.959697309131641</v>
      </c>
    </row>
    <row r="71" spans="1:7">
      <c r="A71" t="s">
        <v>16</v>
      </c>
      <c r="B71">
        <f>'str - 2k'!B71:B78</f>
        <v>0.17625907184635345</v>
      </c>
      <c r="C71">
        <f>'str - 4k'!C71:C78</f>
        <v>2.3958582911588389</v>
      </c>
      <c r="D71">
        <f>'str - 6k'!F71:F78</f>
        <v>10.04787702217499</v>
      </c>
      <c r="E71">
        <f>'str - 8k'!F71:F78</f>
        <v>2.8854821428516053</v>
      </c>
      <c r="F71">
        <f>'str - 10k'!F71:F78</f>
        <v>23.630782378575695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4.4"/>
  <cols>
    <col min="1" max="1" width="24.109375" customWidth="1"/>
    <col min="2" max="8" width="12.6640625" customWidth="1"/>
    <col min="9" max="9" width="10.6640625" customWidth="1"/>
    <col min="10" max="10" width="18.5546875" bestFit="1" customWidth="1"/>
  </cols>
  <sheetData>
    <row r="1" spans="1:9">
      <c r="A1" t="s">
        <v>0</v>
      </c>
    </row>
    <row r="2" spans="1:9">
      <c r="A2" t="s">
        <v>14</v>
      </c>
    </row>
    <row r="3" spans="1:9">
      <c r="A3" t="s">
        <v>7</v>
      </c>
    </row>
    <row r="4" spans="1:9">
      <c r="A4" t="s">
        <v>8</v>
      </c>
    </row>
    <row r="5" spans="1:9">
      <c r="A5" t="s">
        <v>9</v>
      </c>
    </row>
    <row r="6" spans="1:9">
      <c r="A6" t="s">
        <v>10</v>
      </c>
    </row>
    <row r="7" spans="1:9">
      <c r="A7" t="s">
        <v>11</v>
      </c>
    </row>
    <row r="8" spans="1:9">
      <c r="A8" t="s">
        <v>12</v>
      </c>
    </row>
    <row r="9" spans="1:9">
      <c r="A9" t="s">
        <v>13</v>
      </c>
      <c r="B9">
        <f>(SUM(B4:B8) -MAX(B4:B8) -MIN(B4:B8))/((COUNT(B4:B8)-2)*1000)</f>
        <v>0</v>
      </c>
      <c r="C9">
        <f t="shared" ref="C9:H9" si="0">(SUM(C4:C8) -MAX(C4:C8) -MIN(C4:C8))/((COUNT(C4:C8)-2)*1000)</f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 t="s">
        <v>17</v>
      </c>
    </row>
    <row r="10" spans="1:9">
      <c r="A10" t="s">
        <v>15</v>
      </c>
      <c r="B10" t="e">
        <f>STDEV(B4:B8)/1000</f>
        <v>#DIV/0!</v>
      </c>
      <c r="C10" t="e">
        <f t="shared" ref="C10:G10" si="1">STDEV(C4:C8)/1000</f>
        <v>#DIV/0!</v>
      </c>
      <c r="D10" t="e">
        <f t="shared" si="1"/>
        <v>#DIV/0!</v>
      </c>
      <c r="E10" t="e">
        <f t="shared" si="1"/>
        <v>#DIV/0!</v>
      </c>
      <c r="F10" t="e">
        <f t="shared" si="1"/>
        <v>#DIV/0!</v>
      </c>
      <c r="G10" t="e">
        <f t="shared" si="1"/>
        <v>#DIV/0!</v>
      </c>
      <c r="H10" t="e">
        <f>STDEV(H4:H8)/1000</f>
        <v>#DIV/0!</v>
      </c>
    </row>
    <row r="11" spans="1:9">
      <c r="A11" t="s">
        <v>16</v>
      </c>
      <c r="B11" t="e">
        <f>CONFIDENCE(0.05,B10,5)</f>
        <v>#DIV/0!</v>
      </c>
      <c r="C11" t="e">
        <f t="shared" ref="C11:G11" si="2">CONFIDENCE(0.05,C10,5)</f>
        <v>#DIV/0!</v>
      </c>
      <c r="D11" t="e">
        <f t="shared" si="2"/>
        <v>#DIV/0!</v>
      </c>
      <c r="E11" t="e">
        <f t="shared" si="2"/>
        <v>#DIV/0!</v>
      </c>
      <c r="F11" t="e">
        <f t="shared" si="2"/>
        <v>#DIV/0!</v>
      </c>
      <c r="G11" t="e">
        <f t="shared" si="2"/>
        <v>#DIV/0!</v>
      </c>
      <c r="H11" t="e">
        <f>CONFIDENCE(0.05,H10,5)</f>
        <v>#DIV/0!</v>
      </c>
    </row>
    <row r="13" spans="1:9">
      <c r="A13" t="s">
        <v>1</v>
      </c>
    </row>
    <row r="14" spans="1:9">
      <c r="A14" t="s">
        <v>8</v>
      </c>
    </row>
    <row r="15" spans="1:9">
      <c r="A15" t="s">
        <v>9</v>
      </c>
    </row>
    <row r="16" spans="1:9">
      <c r="A16" t="s">
        <v>10</v>
      </c>
    </row>
    <row r="17" spans="1:9">
      <c r="A17" t="s">
        <v>11</v>
      </c>
    </row>
    <row r="18" spans="1:9">
      <c r="A18" t="s">
        <v>12</v>
      </c>
    </row>
    <row r="19" spans="1:9">
      <c r="A19" t="s">
        <v>13</v>
      </c>
      <c r="B19">
        <f t="shared" ref="B19:H19" si="3">(SUM(B14:B18) -MAX(B14:B18) -MIN(B14:B18))/((COUNT(B14:B18)-2)*1000)</f>
        <v>0</v>
      </c>
      <c r="C19">
        <f t="shared" si="3"/>
        <v>0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 t="s">
        <v>17</v>
      </c>
    </row>
    <row r="20" spans="1:9">
      <c r="A20" t="s">
        <v>15</v>
      </c>
      <c r="B20" t="e">
        <f>STDEV(B14:B18)/1000</f>
        <v>#DIV/0!</v>
      </c>
      <c r="C20" t="e">
        <f t="shared" ref="C20:G20" si="4">STDEV(C14:C18)/1000</f>
        <v>#DIV/0!</v>
      </c>
      <c r="D20" t="e">
        <f t="shared" si="4"/>
        <v>#DIV/0!</v>
      </c>
      <c r="E20" t="e">
        <f t="shared" si="4"/>
        <v>#DIV/0!</v>
      </c>
      <c r="F20" t="e">
        <f t="shared" si="4"/>
        <v>#DIV/0!</v>
      </c>
      <c r="G20" t="e">
        <f t="shared" si="4"/>
        <v>#DIV/0!</v>
      </c>
      <c r="H20" t="e">
        <f>STDEV(H14:H18)/1000</f>
        <v>#DIV/0!</v>
      </c>
    </row>
    <row r="21" spans="1:9">
      <c r="A21" t="s">
        <v>16</v>
      </c>
      <c r="B21" t="e">
        <f>CONFIDENCE(0.05,B20,5)</f>
        <v>#DIV/0!</v>
      </c>
      <c r="C21" t="e">
        <f t="shared" ref="C21:G21" si="5">CONFIDENCE(0.05,C20,5)</f>
        <v>#DIV/0!</v>
      </c>
      <c r="D21" t="e">
        <f t="shared" si="5"/>
        <v>#DIV/0!</v>
      </c>
      <c r="E21" t="e">
        <f t="shared" si="5"/>
        <v>#DIV/0!</v>
      </c>
      <c r="F21" t="e">
        <f t="shared" si="5"/>
        <v>#DIV/0!</v>
      </c>
      <c r="G21" t="e">
        <f t="shared" si="5"/>
        <v>#DIV/0!</v>
      </c>
      <c r="H21" t="e">
        <f>CONFIDENCE(0.05,H20,5)</f>
        <v>#DIV/0!</v>
      </c>
    </row>
    <row r="23" spans="1:9">
      <c r="A23" t="s">
        <v>2</v>
      </c>
    </row>
    <row r="24" spans="1:9">
      <c r="A24" t="s">
        <v>8</v>
      </c>
    </row>
    <row r="25" spans="1:9">
      <c r="A25" t="s">
        <v>9</v>
      </c>
    </row>
    <row r="26" spans="1:9">
      <c r="A26" t="s">
        <v>10</v>
      </c>
    </row>
    <row r="27" spans="1:9">
      <c r="A27" t="s">
        <v>11</v>
      </c>
    </row>
    <row r="28" spans="1:9">
      <c r="A28" t="s">
        <v>12</v>
      </c>
    </row>
    <row r="29" spans="1:9">
      <c r="A29" t="s">
        <v>13</v>
      </c>
      <c r="B29">
        <f t="shared" ref="B29:H29" si="6">(SUM(B24:B28) -MAX(B24:B28) -MIN(B24:B28))/((COUNT(B24:B28)-2)*1000)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 t="s">
        <v>17</v>
      </c>
    </row>
    <row r="30" spans="1:9">
      <c r="A30" t="s">
        <v>15</v>
      </c>
      <c r="B30" t="e">
        <f>STDEV(B24:B28)/1000</f>
        <v>#DIV/0!</v>
      </c>
      <c r="C30" t="e">
        <f t="shared" ref="C30:G30" si="7">STDEV(C24:C28)/1000</f>
        <v>#DIV/0!</v>
      </c>
      <c r="D30" t="e">
        <f t="shared" si="7"/>
        <v>#DIV/0!</v>
      </c>
      <c r="E30" t="e">
        <f t="shared" si="7"/>
        <v>#DIV/0!</v>
      </c>
      <c r="F30" t="e">
        <f t="shared" si="7"/>
        <v>#DIV/0!</v>
      </c>
      <c r="G30" t="e">
        <f t="shared" si="7"/>
        <v>#DIV/0!</v>
      </c>
      <c r="H30" t="e">
        <f>STDEV(H24:H28)/1000</f>
        <v>#DIV/0!</v>
      </c>
    </row>
    <row r="31" spans="1:9">
      <c r="A31" t="s">
        <v>16</v>
      </c>
      <c r="B31" t="e">
        <f>CONFIDENCE(0.05,B30,5)</f>
        <v>#DIV/0!</v>
      </c>
      <c r="C31" t="e">
        <f t="shared" ref="C31:G31" si="8">CONFIDENCE(0.05,C30,5)</f>
        <v>#DIV/0!</v>
      </c>
      <c r="D31" t="e">
        <f t="shared" si="8"/>
        <v>#DIV/0!</v>
      </c>
      <c r="E31" t="e">
        <f t="shared" si="8"/>
        <v>#DIV/0!</v>
      </c>
      <c r="F31" t="e">
        <f t="shared" si="8"/>
        <v>#DIV/0!</v>
      </c>
      <c r="G31" t="e">
        <f t="shared" si="8"/>
        <v>#DIV/0!</v>
      </c>
      <c r="H31" t="e">
        <f>CONFIDENCE(0.05,H30,5)</f>
        <v>#DIV/0!</v>
      </c>
    </row>
    <row r="33" spans="1:9">
      <c r="A33" t="s">
        <v>3</v>
      </c>
    </row>
    <row r="34" spans="1:9">
      <c r="A34" t="s">
        <v>8</v>
      </c>
    </row>
    <row r="35" spans="1:9">
      <c r="A35" t="s">
        <v>9</v>
      </c>
    </row>
    <row r="36" spans="1:9">
      <c r="A36" t="s">
        <v>10</v>
      </c>
    </row>
    <row r="37" spans="1:9">
      <c r="A37" t="s">
        <v>11</v>
      </c>
    </row>
    <row r="38" spans="1:9">
      <c r="A38" t="s">
        <v>12</v>
      </c>
    </row>
    <row r="39" spans="1:9">
      <c r="A39" t="s">
        <v>13</v>
      </c>
      <c r="B39">
        <f t="shared" ref="B39:H39" si="9">(SUM(B34:B38) -MAX(B34:B38) -MIN(B34:B38))/((COUNT(B34:B38)-2)*1000)</f>
        <v>0</v>
      </c>
      <c r="C39">
        <f t="shared" si="9"/>
        <v>0</v>
      </c>
      <c r="D39">
        <f t="shared" si="9"/>
        <v>0</v>
      </c>
      <c r="E39">
        <f t="shared" si="9"/>
        <v>0</v>
      </c>
      <c r="F39">
        <f t="shared" si="9"/>
        <v>0</v>
      </c>
      <c r="G39">
        <f t="shared" si="9"/>
        <v>0</v>
      </c>
      <c r="H39">
        <f t="shared" si="9"/>
        <v>0</v>
      </c>
      <c r="I39" t="s">
        <v>17</v>
      </c>
    </row>
    <row r="40" spans="1:9">
      <c r="A40" t="s">
        <v>15</v>
      </c>
      <c r="B40" t="e">
        <f>STDEV(B34:B38)/1000</f>
        <v>#DIV/0!</v>
      </c>
      <c r="C40" t="e">
        <f t="shared" ref="C40:G40" si="10">STDEV(C34:C38)/1000</f>
        <v>#DIV/0!</v>
      </c>
      <c r="D40" t="e">
        <f t="shared" si="10"/>
        <v>#DIV/0!</v>
      </c>
      <c r="E40" t="e">
        <f t="shared" si="10"/>
        <v>#DIV/0!</v>
      </c>
      <c r="F40" t="e">
        <f t="shared" si="10"/>
        <v>#DIV/0!</v>
      </c>
      <c r="G40" t="e">
        <f t="shared" si="10"/>
        <v>#DIV/0!</v>
      </c>
      <c r="H40" t="e">
        <f>STDEV(H34:H38)/1000</f>
        <v>#DIV/0!</v>
      </c>
    </row>
    <row r="41" spans="1:9">
      <c r="A41" t="s">
        <v>16</v>
      </c>
      <c r="B41" t="e">
        <f>CONFIDENCE(0.05,B40,5)</f>
        <v>#DIV/0!</v>
      </c>
      <c r="C41" t="e">
        <f t="shared" ref="C41:G41" si="11">CONFIDENCE(0.05,C40,5)</f>
        <v>#DIV/0!</v>
      </c>
      <c r="D41" t="e">
        <f t="shared" si="11"/>
        <v>#DIV/0!</v>
      </c>
      <c r="E41" t="e">
        <f t="shared" si="11"/>
        <v>#DIV/0!</v>
      </c>
      <c r="F41" t="e">
        <f t="shared" si="11"/>
        <v>#DIV/0!</v>
      </c>
      <c r="G41" t="e">
        <f t="shared" si="11"/>
        <v>#DIV/0!</v>
      </c>
      <c r="H41" t="e">
        <f>CONFIDENCE(0.05,H40,5)</f>
        <v>#DIV/0!</v>
      </c>
    </row>
    <row r="43" spans="1:9">
      <c r="A43" t="s">
        <v>4</v>
      </c>
    </row>
    <row r="44" spans="1:9">
      <c r="A44" t="s">
        <v>8</v>
      </c>
    </row>
    <row r="45" spans="1:9">
      <c r="A45" t="s">
        <v>9</v>
      </c>
    </row>
    <row r="46" spans="1:9">
      <c r="A46" t="s">
        <v>10</v>
      </c>
    </row>
    <row r="47" spans="1:9">
      <c r="A47" t="s">
        <v>11</v>
      </c>
    </row>
    <row r="48" spans="1:9">
      <c r="A48" t="s">
        <v>12</v>
      </c>
    </row>
    <row r="49" spans="1:9">
      <c r="A49" t="s">
        <v>13</v>
      </c>
      <c r="B49">
        <f t="shared" ref="B49:H49" si="12">(SUM(B44:B48) -MAX(B44:B48) -MIN(B44:B48))/((COUNT(B44:B48)-2)*1000)</f>
        <v>0</v>
      </c>
      <c r="C49">
        <f t="shared" si="12"/>
        <v>0</v>
      </c>
      <c r="D49">
        <f t="shared" si="12"/>
        <v>0</v>
      </c>
      <c r="E49">
        <f t="shared" si="12"/>
        <v>0</v>
      </c>
      <c r="F49">
        <f t="shared" si="12"/>
        <v>0</v>
      </c>
      <c r="G49">
        <f t="shared" si="12"/>
        <v>0</v>
      </c>
      <c r="H49">
        <f t="shared" si="12"/>
        <v>0</v>
      </c>
      <c r="I49" t="s">
        <v>17</v>
      </c>
    </row>
    <row r="50" spans="1:9">
      <c r="A50" t="s">
        <v>15</v>
      </c>
      <c r="B50" t="e">
        <f>STDEV(B44:B48)/1000</f>
        <v>#DIV/0!</v>
      </c>
      <c r="C50" t="e">
        <f t="shared" ref="C50:G50" si="13">STDEV(C44:C48)/1000</f>
        <v>#DIV/0!</v>
      </c>
      <c r="D50" t="e">
        <f t="shared" si="13"/>
        <v>#DIV/0!</v>
      </c>
      <c r="E50" t="e">
        <f t="shared" si="13"/>
        <v>#DIV/0!</v>
      </c>
      <c r="F50" t="e">
        <f t="shared" si="13"/>
        <v>#DIV/0!</v>
      </c>
      <c r="G50" t="e">
        <f t="shared" si="13"/>
        <v>#DIV/0!</v>
      </c>
      <c r="H50" t="e">
        <f>STDEV(H44:H48)/1000</f>
        <v>#DIV/0!</v>
      </c>
    </row>
    <row r="51" spans="1:9">
      <c r="A51" t="s">
        <v>16</v>
      </c>
      <c r="B51" t="e">
        <f>CONFIDENCE(0.05,B50,5)</f>
        <v>#DIV/0!</v>
      </c>
      <c r="C51" t="e">
        <f t="shared" ref="C51:G51" si="14">CONFIDENCE(0.05,C50,5)</f>
        <v>#DIV/0!</v>
      </c>
      <c r="D51" t="e">
        <f t="shared" si="14"/>
        <v>#DIV/0!</v>
      </c>
      <c r="E51" t="e">
        <f t="shared" si="14"/>
        <v>#DIV/0!</v>
      </c>
      <c r="F51" t="e">
        <f t="shared" si="14"/>
        <v>#DIV/0!</v>
      </c>
      <c r="G51" t="e">
        <f t="shared" si="14"/>
        <v>#DIV/0!</v>
      </c>
      <c r="H51" t="e">
        <f>CONFIDENCE(0.05,H50,5)</f>
        <v>#DIV/0!</v>
      </c>
    </row>
    <row r="53" spans="1:9">
      <c r="A53" t="s">
        <v>5</v>
      </c>
    </row>
    <row r="54" spans="1:9">
      <c r="A54" t="s">
        <v>8</v>
      </c>
    </row>
    <row r="55" spans="1:9">
      <c r="A55" t="s">
        <v>9</v>
      </c>
    </row>
    <row r="56" spans="1:9">
      <c r="A56" t="s">
        <v>10</v>
      </c>
    </row>
    <row r="57" spans="1:9">
      <c r="A57" t="s">
        <v>11</v>
      </c>
    </row>
    <row r="58" spans="1:9">
      <c r="A58" t="s">
        <v>12</v>
      </c>
    </row>
    <row r="59" spans="1:9">
      <c r="A59" t="s">
        <v>13</v>
      </c>
      <c r="B59">
        <f t="shared" ref="B59:H59" si="15">(SUM(B54:B58) -MAX(B54:B58) -MIN(B54:B58))/((COUNT(B54:B58)-2)*1000)</f>
        <v>0</v>
      </c>
      <c r="C59">
        <f t="shared" si="15"/>
        <v>0</v>
      </c>
      <c r="D59">
        <f t="shared" si="15"/>
        <v>0</v>
      </c>
      <c r="E59">
        <f t="shared" si="15"/>
        <v>0</v>
      </c>
      <c r="F59">
        <f t="shared" si="15"/>
        <v>0</v>
      </c>
      <c r="G59">
        <f t="shared" si="15"/>
        <v>0</v>
      </c>
      <c r="H59">
        <f t="shared" si="15"/>
        <v>0</v>
      </c>
      <c r="I59" t="s">
        <v>17</v>
      </c>
    </row>
    <row r="60" spans="1:9">
      <c r="A60" t="s">
        <v>15</v>
      </c>
      <c r="B60" t="e">
        <f>STDEV(B54:B58)/1000</f>
        <v>#DIV/0!</v>
      </c>
      <c r="C60" t="e">
        <f t="shared" ref="C60:G60" si="16">STDEV(C54:C58)/1000</f>
        <v>#DIV/0!</v>
      </c>
      <c r="D60" t="e">
        <f t="shared" si="16"/>
        <v>#DIV/0!</v>
      </c>
      <c r="E60" t="e">
        <f t="shared" si="16"/>
        <v>#DIV/0!</v>
      </c>
      <c r="F60" t="e">
        <f t="shared" si="16"/>
        <v>#DIV/0!</v>
      </c>
      <c r="G60" t="e">
        <f t="shared" si="16"/>
        <v>#DIV/0!</v>
      </c>
      <c r="H60" t="e">
        <f>STDEV(H54:H58)/1000</f>
        <v>#DIV/0!</v>
      </c>
    </row>
    <row r="61" spans="1:9">
      <c r="A61" t="s">
        <v>16</v>
      </c>
      <c r="B61" t="e">
        <f>CONFIDENCE(0.05,B60,5)</f>
        <v>#DIV/0!</v>
      </c>
      <c r="C61" t="e">
        <f t="shared" ref="C61:G61" si="17">CONFIDENCE(0.05,C60,5)</f>
        <v>#DIV/0!</v>
      </c>
      <c r="D61" t="e">
        <f t="shared" si="17"/>
        <v>#DIV/0!</v>
      </c>
      <c r="E61" t="e">
        <f t="shared" si="17"/>
        <v>#DIV/0!</v>
      </c>
      <c r="F61" t="e">
        <f t="shared" si="17"/>
        <v>#DIV/0!</v>
      </c>
      <c r="G61" t="e">
        <f t="shared" si="17"/>
        <v>#DIV/0!</v>
      </c>
      <c r="H61" t="e">
        <f>CONFIDENCE(0.05,H60,5)</f>
        <v>#DIV/0!</v>
      </c>
    </row>
    <row r="63" spans="1:9">
      <c r="A63" t="s">
        <v>6</v>
      </c>
    </row>
    <row r="64" spans="1:9">
      <c r="A64" t="s">
        <v>8</v>
      </c>
    </row>
    <row r="65" spans="1:9">
      <c r="A65" t="s">
        <v>9</v>
      </c>
    </row>
    <row r="66" spans="1:9">
      <c r="A66" t="s">
        <v>10</v>
      </c>
    </row>
    <row r="67" spans="1:9">
      <c r="A67" t="s">
        <v>11</v>
      </c>
    </row>
    <row r="68" spans="1:9">
      <c r="A68" t="s">
        <v>12</v>
      </c>
    </row>
    <row r="69" spans="1:9">
      <c r="A69" t="s">
        <v>13</v>
      </c>
      <c r="B69">
        <f t="shared" ref="B69:H69" si="18">(SUM(B64:B68) -MAX(B64:B68) -MIN(B64:B68))/((COUNT(B64:B68)-2)*1000)</f>
        <v>0</v>
      </c>
      <c r="C69">
        <f t="shared" si="18"/>
        <v>0</v>
      </c>
      <c r="D69">
        <f t="shared" si="18"/>
        <v>0</v>
      </c>
      <c r="E69">
        <f t="shared" si="18"/>
        <v>0</v>
      </c>
      <c r="F69">
        <f t="shared" si="18"/>
        <v>0</v>
      </c>
      <c r="G69">
        <f t="shared" si="18"/>
        <v>0</v>
      </c>
      <c r="H69">
        <f t="shared" si="18"/>
        <v>0</v>
      </c>
      <c r="I69" t="s">
        <v>17</v>
      </c>
    </row>
    <row r="70" spans="1:9">
      <c r="A70" t="s">
        <v>15</v>
      </c>
      <c r="B70" t="e">
        <f>STDEV(B64:B68)/1000</f>
        <v>#DIV/0!</v>
      </c>
      <c r="C70" t="e">
        <f t="shared" ref="C70:G70" si="19">STDEV(C64:C68)/1000</f>
        <v>#DIV/0!</v>
      </c>
      <c r="D70" t="e">
        <f t="shared" si="19"/>
        <v>#DIV/0!</v>
      </c>
      <c r="E70" t="e">
        <f t="shared" si="19"/>
        <v>#DIV/0!</v>
      </c>
      <c r="F70" t="e">
        <f t="shared" si="19"/>
        <v>#DIV/0!</v>
      </c>
      <c r="G70" t="e">
        <f t="shared" si="19"/>
        <v>#DIV/0!</v>
      </c>
      <c r="H70" t="e">
        <f>STDEV(H64:H68)/1000</f>
        <v>#DIV/0!</v>
      </c>
    </row>
    <row r="71" spans="1:9">
      <c r="A71" t="s">
        <v>16</v>
      </c>
      <c r="B71" t="e">
        <f>CONFIDENCE(0.05,B70,5)</f>
        <v>#DIV/0!</v>
      </c>
      <c r="C71" t="e">
        <f t="shared" ref="C71:G71" si="20">CONFIDENCE(0.05,C70,5)</f>
        <v>#DIV/0!</v>
      </c>
      <c r="D71" t="e">
        <f t="shared" si="20"/>
        <v>#DIV/0!</v>
      </c>
      <c r="E71" t="e">
        <f t="shared" si="20"/>
        <v>#DIV/0!</v>
      </c>
      <c r="F71" t="e">
        <f t="shared" si="20"/>
        <v>#DIV/0!</v>
      </c>
      <c r="G71" t="e">
        <f t="shared" si="20"/>
        <v>#DIV/0!</v>
      </c>
      <c r="H71" t="e">
        <f>CONFIDENCE(0.05,H70,5)</f>
        <v>#DIV/0!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opLeftCell="B1" workbookViewId="0">
      <selection activeCell="A3" sqref="A3"/>
    </sheetView>
  </sheetViews>
  <sheetFormatPr defaultRowHeight="14.4"/>
  <cols>
    <col min="1" max="1" width="0" hidden="1" customWidth="1"/>
  </cols>
  <sheetData/>
  <pageMargins left="0.17" right="0.17" top="0.24" bottom="0.24" header="0.24" footer="0.2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14</vt:i4>
      </vt:variant>
      <vt:variant>
        <vt:lpstr>Named Ranges</vt:lpstr>
      </vt:variant>
      <vt:variant>
        <vt:i4>85</vt:i4>
      </vt:variant>
    </vt:vector>
  </HeadingPairs>
  <TitlesOfParts>
    <vt:vector size="113" baseType="lpstr">
      <vt:lpstr>int - 2k</vt:lpstr>
      <vt:lpstr>int - 4k</vt:lpstr>
      <vt:lpstr>int - 6k</vt:lpstr>
      <vt:lpstr>int - 8k</vt:lpstr>
      <vt:lpstr>int - 10k</vt:lpstr>
      <vt:lpstr>int - 10p</vt:lpstr>
      <vt:lpstr>str - 2k</vt:lpstr>
      <vt:lpstr>str - 4k</vt:lpstr>
      <vt:lpstr>str - 6k</vt:lpstr>
      <vt:lpstr>str - 8k</vt:lpstr>
      <vt:lpstr>str - 10k</vt:lpstr>
      <vt:lpstr>str - 10p</vt:lpstr>
      <vt:lpstr>int - empty</vt:lpstr>
      <vt:lpstr>Sheet1</vt:lpstr>
      <vt:lpstr>GRAPH Scale vs peers - int 2k</vt:lpstr>
      <vt:lpstr>GRAPH Scale vs peers - int 4k</vt:lpstr>
      <vt:lpstr>GRAPH Scale vs peers - int 6k</vt:lpstr>
      <vt:lpstr>GRAPH Scale vs peers - int 8k</vt:lpstr>
      <vt:lpstr>GRAPH Scale vs peers - int 10k</vt:lpstr>
      <vt:lpstr>GRAPH Scale vs data - int 10p</vt:lpstr>
      <vt:lpstr>GRAPH Scale vs peers - str 2k</vt:lpstr>
      <vt:lpstr>GRAPH Scale vs peers - str 4k</vt:lpstr>
      <vt:lpstr>GRAPH Scale vs peers - str  6k</vt:lpstr>
      <vt:lpstr>GRAPH Scale vs peers - str 8k</vt:lpstr>
      <vt:lpstr>GRAPH Scale vs peers - str 10k</vt:lpstr>
      <vt:lpstr>GRAPH Scale vs data - str 10p</vt:lpstr>
      <vt:lpstr>GRAPH 2 y axes sample</vt:lpstr>
      <vt:lpstr>GRAPH 1 y axis sample</vt:lpstr>
      <vt:lpstr>'int - 10k'!_10p.log</vt:lpstr>
      <vt:lpstr>'int - 10p'!_10p.log</vt:lpstr>
      <vt:lpstr>'int - 2k'!_10p.log</vt:lpstr>
      <vt:lpstr>'int - 4k'!_10p.log</vt:lpstr>
      <vt:lpstr>'int - 6k'!_10p.log</vt:lpstr>
      <vt:lpstr>'int - 8k'!_10p.log</vt:lpstr>
      <vt:lpstr>'int - empty'!_10p.log</vt:lpstr>
      <vt:lpstr>'str - 10k'!_10p.log</vt:lpstr>
      <vt:lpstr>'str - 10p'!_10p.log</vt:lpstr>
      <vt:lpstr>'str - 2k'!_10p.log</vt:lpstr>
      <vt:lpstr>'str - 4k'!_10p.log</vt:lpstr>
      <vt:lpstr>'str - 6k'!_10p.log</vt:lpstr>
      <vt:lpstr>'str - 8k'!_10p.log</vt:lpstr>
      <vt:lpstr>'int - 10k'!_20p.log</vt:lpstr>
      <vt:lpstr>'int - 10p'!_20p.log</vt:lpstr>
      <vt:lpstr>'int - 2k'!_20p.log</vt:lpstr>
      <vt:lpstr>'int - 4k'!_20p.log</vt:lpstr>
      <vt:lpstr>'int - 6k'!_20p.log</vt:lpstr>
      <vt:lpstr>'int - 8k'!_20p.log</vt:lpstr>
      <vt:lpstr>'int - empty'!_20p.log</vt:lpstr>
      <vt:lpstr>'str - 10k'!_20p.log</vt:lpstr>
      <vt:lpstr>'str - 10p'!_20p.log</vt:lpstr>
      <vt:lpstr>'str - 2k'!_20p.log</vt:lpstr>
      <vt:lpstr>'str - 4k'!_20p.log</vt:lpstr>
      <vt:lpstr>'str - 6k'!_20p.log</vt:lpstr>
      <vt:lpstr>'str - 8k'!_20p.log</vt:lpstr>
      <vt:lpstr>'int - 10k'!_30p.log</vt:lpstr>
      <vt:lpstr>'int - 10p'!_30p.log</vt:lpstr>
      <vt:lpstr>'int - 2k'!_30p.log</vt:lpstr>
      <vt:lpstr>'int - 4k'!_30p.log</vt:lpstr>
      <vt:lpstr>'int - 6k'!_30p.log</vt:lpstr>
      <vt:lpstr>'int - 8k'!_30p.log</vt:lpstr>
      <vt:lpstr>'int - empty'!_30p.log</vt:lpstr>
      <vt:lpstr>'str - 10k'!_30p.log</vt:lpstr>
      <vt:lpstr>'str - 10p'!_30p.log</vt:lpstr>
      <vt:lpstr>'str - 2k'!_30p.log</vt:lpstr>
      <vt:lpstr>'str - 4k'!_30p.log</vt:lpstr>
      <vt:lpstr>'str - 6k'!_30p.log</vt:lpstr>
      <vt:lpstr>'str - 8k'!_30p.log</vt:lpstr>
      <vt:lpstr>'int - 4k'!_35p.log</vt:lpstr>
      <vt:lpstr>'int - 10k'!_40p.log</vt:lpstr>
      <vt:lpstr>'int - 10p'!_40p.log</vt:lpstr>
      <vt:lpstr>'int - 2k'!_40p.log</vt:lpstr>
      <vt:lpstr>'int - 4k'!_40p.log</vt:lpstr>
      <vt:lpstr>'int - 6k'!_40p.log</vt:lpstr>
      <vt:lpstr>'int - 8k'!_40p.log</vt:lpstr>
      <vt:lpstr>'int - empty'!_40p.log</vt:lpstr>
      <vt:lpstr>'str - 10k'!_40p.log</vt:lpstr>
      <vt:lpstr>'str - 10p'!_40p.log</vt:lpstr>
      <vt:lpstr>'str - 2k'!_40p.log</vt:lpstr>
      <vt:lpstr>'str - 4k'!_40p.log</vt:lpstr>
      <vt:lpstr>'str - 6k'!_40p.log</vt:lpstr>
      <vt:lpstr>'str - 8k'!_40p.log</vt:lpstr>
      <vt:lpstr>'int - 10k'!_50p.log</vt:lpstr>
      <vt:lpstr>'int - 10p'!_50p.log</vt:lpstr>
      <vt:lpstr>'int - 2k'!_50p.log</vt:lpstr>
      <vt:lpstr>'int - 4k'!_50p.log</vt:lpstr>
      <vt:lpstr>'int - 6k'!_50p.log</vt:lpstr>
      <vt:lpstr>'int - 8k'!_50p.log</vt:lpstr>
      <vt:lpstr>'int - empty'!_50p.log</vt:lpstr>
      <vt:lpstr>'str - 10k'!_50p.log</vt:lpstr>
      <vt:lpstr>'str - 10p'!_50p.log</vt:lpstr>
      <vt:lpstr>'str - 2k'!_50p.log</vt:lpstr>
      <vt:lpstr>'str - 4k'!_50p.log</vt:lpstr>
      <vt:lpstr>'str - 6k'!_50p.log</vt:lpstr>
      <vt:lpstr>'str - 8k'!_50p.log</vt:lpstr>
      <vt:lpstr>'int - 10k'!_60p.log</vt:lpstr>
      <vt:lpstr>'int - 2k'!_60p.log</vt:lpstr>
      <vt:lpstr>'int - 4k'!_60p.log</vt:lpstr>
      <vt:lpstr>'int - 6k'!_60p.log</vt:lpstr>
      <vt:lpstr>'int - 8k'!_60p.log</vt:lpstr>
      <vt:lpstr>'int - empty'!_60p.log</vt:lpstr>
      <vt:lpstr>'int - 10k'!_70p.log</vt:lpstr>
      <vt:lpstr>'int - 10p'!_70p.log</vt:lpstr>
      <vt:lpstr>'int - 2k'!_70p.log</vt:lpstr>
      <vt:lpstr>'int - 4k'!_70p.log</vt:lpstr>
      <vt:lpstr>'int - 6k'!_70p.log</vt:lpstr>
      <vt:lpstr>'int - 8k'!_70p.log</vt:lpstr>
      <vt:lpstr>'int - empty'!_70p.log</vt:lpstr>
      <vt:lpstr>'str - 10k'!_70p.log</vt:lpstr>
      <vt:lpstr>'str - 10p'!_70p.log</vt:lpstr>
      <vt:lpstr>'str - 2k'!_70p.log</vt:lpstr>
      <vt:lpstr>'str - 4k'!_70p.log</vt:lpstr>
      <vt:lpstr>'str - 6k'!_70p.log</vt:lpstr>
      <vt:lpstr>'str - 8k'!_70p.log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SEAS</dc:creator>
  <cp:lastModifiedBy>gregkar</cp:lastModifiedBy>
  <cp:lastPrinted>2009-01-09T23:19:41Z</cp:lastPrinted>
  <dcterms:created xsi:type="dcterms:W3CDTF">2009-01-09T21:17:26Z</dcterms:created>
  <dcterms:modified xsi:type="dcterms:W3CDTF">2009-01-11T21:20:07Z</dcterms:modified>
</cp:coreProperties>
</file>